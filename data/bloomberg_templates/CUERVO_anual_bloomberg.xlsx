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B\OneDrive\Escritorio\Alberto Alarcón\Emisoras\CUERVO\"/>
    </mc:Choice>
  </mc:AlternateContent>
  <xr:revisionPtr revIDLastSave="0" documentId="13_ncr:1_{4F179AD9-AFC2-4519-99BB-495B8B03135A}" xr6:coauthVersionLast="47" xr6:coauthVersionMax="47" xr10:uidLastSave="{00000000-0000-0000-0000-000000000000}"/>
  <bookViews>
    <workbookView xWindow="-21840" yWindow="-120" windowWidth="21840" windowHeight="13140" firstSheet="13" activeTab="16" xr2:uid="{00000000-000D-0000-FFFF-FFFF00000000}"/>
  </bookViews>
  <sheets>
    <sheet name="Adj Highlights" sheetId="2" r:id="rId1"/>
    <sheet name="GAAP Highlights" sheetId="3" r:id="rId2"/>
    <sheet name="Enterprise Value" sheetId="4" r:id="rId3"/>
    <sheet name="Multiples" sheetId="5" r:id="rId4"/>
    <sheet name="Income - Adjusted" sheetId="6" r:id="rId5"/>
    <sheet name="Income - GAAP" sheetId="7" r:id="rId6"/>
    <sheet name="Income - As Reported" sheetId="8" r:id="rId7"/>
    <sheet name="Reconciliation" sheetId="9" r:id="rId8"/>
    <sheet name="SBC &amp; Amort" sheetId="10" r:id="rId9"/>
    <sheet name="Bal Sheet - Standardized" sheetId="11" r:id="rId10"/>
    <sheet name="Bal Sheet - As Reported" sheetId="12" r:id="rId11"/>
    <sheet name="Bal Sheet - Common Size" sheetId="13" r:id="rId12"/>
    <sheet name="Cash Flow - Standardized" sheetId="14" r:id="rId13"/>
    <sheet name="Cash Flow - As Reported" sheetId="15" r:id="rId14"/>
    <sheet name="Profitability" sheetId="16" r:id="rId15"/>
    <sheet name="By Measure" sheetId="17" r:id="rId16"/>
    <sheet name="By Geography" sheetId="18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3" l="1" a="1"/>
  <c r="N6" i="13" a="1"/>
  <c r="G6" i="13" a="1"/>
  <c r="L6" i="13" a="1"/>
  <c r="M6" i="13" a="1"/>
  <c r="E6" i="13" a="1"/>
  <c r="D6" i="13" a="1"/>
  <c r="O6" i="13" a="1"/>
  <c r="J6" i="13" a="1"/>
  <c r="K6" i="13" a="1"/>
  <c r="I6" i="13" a="1"/>
  <c r="H6" i="13" a="1"/>
  <c r="C6" i="13" a="1"/>
  <c r="C6" i="13" l="1"/>
  <c r="H6" i="13"/>
  <c r="I6" i="13"/>
  <c r="K6" i="13"/>
  <c r="J6" i="13"/>
  <c r="O6" i="13"/>
  <c r="D6" i="13"/>
  <c r="E6" i="13"/>
  <c r="M6" i="13"/>
  <c r="L6" i="13"/>
  <c r="G6" i="13"/>
  <c r="N6" i="13"/>
  <c r="F6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<sst xmlns="http://schemas.openxmlformats.org/spreadsheetml/2006/main" count="5275" uniqueCount="1279">
  <si>
    <t>Revenue</t>
  </si>
  <si>
    <t>Total Revenue</t>
  </si>
  <si>
    <t>Gross Profit</t>
  </si>
  <si>
    <t>Reference Items</t>
  </si>
  <si>
    <t>Right click to show data transparency (not supported for all values)</t>
  </si>
  <si>
    <t>Becle SAB de CV (CUERVO* MM) - Adj Highlights</t>
  </si>
  <si>
    <t>In Millions of MXN</t>
  </si>
  <si>
    <t>FY 2013</t>
  </si>
  <si>
    <t>FY 2014</t>
  </si>
  <si>
    <t>FY 2015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</si>
  <si>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</si>
  <si>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</si>
  <si>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</si>
  <si>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</si>
  <si>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</si>
  <si>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</si>
  <si>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</si>
  <si>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</si>
  <si>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</si>
  <si>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</si>
  <si>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Current/LTM</t>
  </si>
  <si>
    <t>12 Months Ending</t>
  </si>
  <si>
    <t>12/31/2013</t>
  </si>
  <si>
    <t>12/31/2014</t>
  </si>
  <si>
    <t>12/31/2015</t>
  </si>
  <si>
    <t>12/31/2016</t>
  </si>
  <si>
    <t>12/31/2017</t>
  </si>
  <si>
    <t>12/31/2018</t>
  </si>
  <si>
    <t>12/31/2019</t>
  </si>
  <si>
    <t>12/31/2020</t>
  </si>
  <si>
    <t>12/31/2021</t>
  </si>
  <si>
    <t>12/31/2022</t>
  </si>
  <si>
    <t>12/31/2023</t>
  </si>
  <si>
    <t>12/31/2024</t>
  </si>
  <si>
    <t>12/31/2025</t>
  </si>
  <si>
    <t>Market Capitalization</t>
  </si>
  <si>
    <t>HISTORICAL_MARKET_CAP</t>
  </si>
  <si>
    <t>- Cash &amp; Equivalents</t>
  </si>
  <si>
    <t>CASH_AND_MARKETABLE_SECURITIES</t>
  </si>
  <si>
    <t>+ Preferred &amp; Other</t>
  </si>
  <si>
    <t>PFD_EQTY_MINORTY_INTEREST</t>
  </si>
  <si>
    <t>+ Total Debt</t>
  </si>
  <si>
    <t>SHORT_AND_LONG_TERM_DEBT</t>
  </si>
  <si>
    <t>Enterprise Value</t>
  </si>
  <si>
    <t>ENTERPRISE_VALUE</t>
  </si>
  <si>
    <t>Revenue, Adj</t>
  </si>
  <si>
    <t>SALES_REV_TURN</t>
  </si>
  <si>
    <t xml:space="preserve">  Growth %, YoY</t>
  </si>
  <si>
    <t>SALES_GROWTH</t>
  </si>
  <si>
    <t>Gross Profit, Adj</t>
  </si>
  <si>
    <t>GROSS_PROFIT</t>
  </si>
  <si>
    <t xml:space="preserve">  Margin %</t>
  </si>
  <si>
    <t>EBITDA, Adj</t>
  </si>
  <si>
    <t>EBITDA</t>
  </si>
  <si>
    <t>Net Income, Adj</t>
  </si>
  <si>
    <t>EARN_FOR_COMMON</t>
  </si>
  <si>
    <t>EPS, Adj</t>
  </si>
  <si>
    <t>IS_DIL_EPS_CONT_OPS</t>
  </si>
  <si>
    <t>DILUTED_EPS_AFT_XO_ITEMS_GROWTH</t>
  </si>
  <si>
    <t>Cash from Operations</t>
  </si>
  <si>
    <t>CF_CASH_FROM_OPER</t>
  </si>
  <si>
    <t>Capital Expenditures</t>
  </si>
  <si>
    <t>CAPITAL_EXPEND</t>
  </si>
  <si>
    <t>Free Cash Flow</t>
  </si>
  <si>
    <t>CF_FREE_CASH_FLOW</t>
  </si>
  <si>
    <t>Source: Bloomberg</t>
  </si>
  <si>
    <t>Becle SAB de CV (CUERVO* MM) - GAAP Highlights</t>
  </si>
  <si>
    <t>In Millions of MXN except Per Share</t>
  </si>
  <si>
    <t>Total Revenues</t>
  </si>
  <si>
    <t>Operating Income</t>
  </si>
  <si>
    <t>IS_OPER_INC</t>
  </si>
  <si>
    <t>Net Income to Common</t>
  </si>
  <si>
    <t>Basic EPS, GAAP</t>
  </si>
  <si>
    <t>IS_EPS</t>
  </si>
  <si>
    <t>Diluted EPS, GAAP</t>
  </si>
  <si>
    <t>IS_DILUTED_EPS</t>
  </si>
  <si>
    <t xml:space="preserve">  Basic Weighted Avg Shares</t>
  </si>
  <si>
    <t>IS_AVG_NUM_SH_FOR_EPS</t>
  </si>
  <si>
    <t xml:space="preserve">  Diluted Weighted Avg Shares</t>
  </si>
  <si>
    <t>IS_SH_FOR_DILUTED_EPS</t>
  </si>
  <si>
    <t>Cash and Equivalents</t>
  </si>
  <si>
    <t>Total Current Assets</t>
  </si>
  <si>
    <t>BS_CUR_ASSET_REPORT</t>
  </si>
  <si>
    <t>Total Assets</t>
  </si>
  <si>
    <t>BS_TOT_ASSET</t>
  </si>
  <si>
    <t>Total Current Liabilities</t>
  </si>
  <si>
    <t>BS_CUR_LIAB</t>
  </si>
  <si>
    <t>Total Liabilities</t>
  </si>
  <si>
    <t>BS_TOT_LIAB2</t>
  </si>
  <si>
    <t>Total Equity</t>
  </si>
  <si>
    <t>TOTAL_EQUITY</t>
  </si>
  <si>
    <t xml:space="preserve">  Shares Out on Balance Sheet</t>
  </si>
  <si>
    <t>BS_SH_OUT</t>
  </si>
  <si>
    <t>Cash From Operations</t>
  </si>
  <si>
    <t>Cash From Investing</t>
  </si>
  <si>
    <t>CF_CASH_FROM_INV_ACT</t>
  </si>
  <si>
    <t>Cash From Financing</t>
  </si>
  <si>
    <t>CF_CASH_FROM_FNC_ACT</t>
  </si>
  <si>
    <t>Becle SAB de CV (CUERVO* MM) - Enterprise Value</t>
  </si>
  <si>
    <t>Current</t>
  </si>
  <si>
    <t>04/27/2026</t>
  </si>
  <si>
    <t xml:space="preserve">  - Cash &amp; Equivalents</t>
  </si>
  <si>
    <t xml:space="preserve">  + Preferred Equity</t>
  </si>
  <si>
    <t>PFD_EQTY_HYBRID_CAPITAL</t>
  </si>
  <si>
    <t xml:space="preserve">  + Minority Interest</t>
  </si>
  <si>
    <t>MINORITY_NONCONTROLLING_INTEREST</t>
  </si>
  <si>
    <t xml:space="preserve">  + Total Debt</t>
  </si>
  <si>
    <t xml:space="preserve">  - Adjustments</t>
  </si>
  <si>
    <t>ENTERPRISE_VALUE_ADJUSTMENT</t>
  </si>
  <si>
    <t>Total Capital</t>
  </si>
  <si>
    <t>BS_TOT_CAP</t>
  </si>
  <si>
    <t>Total Debt/Total Capital</t>
  </si>
  <si>
    <t>TOT_DEBT_TO_TOT_CAP</t>
  </si>
  <si>
    <t>Total Debt/EV</t>
  </si>
  <si>
    <t>TOTAL_DEBT_TO_EV</t>
  </si>
  <si>
    <t>EV/Sales</t>
  </si>
  <si>
    <t>EV_TO_T12M_SALES</t>
  </si>
  <si>
    <t>EV/EBITDA</t>
  </si>
  <si>
    <t>EV_TO_T12M_EBITDA</t>
  </si>
  <si>
    <t>EV/EBIT</t>
  </si>
  <si>
    <t>EV_TO_T12M_EBIT</t>
  </si>
  <si>
    <t>EV/Cash Flow to Firm</t>
  </si>
  <si>
    <t>EV_TO_T12M_CASH_FLOW_FIRM</t>
  </si>
  <si>
    <t>EV/Free Cash Flow to Firm</t>
  </si>
  <si>
    <t>EV_TO_T12M_FREE_CASH_FLOW_FIRM</t>
  </si>
  <si>
    <t>Diluted Market Cap</t>
  </si>
  <si>
    <t>DILUTED_MKT_CAP</t>
  </si>
  <si>
    <t>Diluted Enterprise Value</t>
  </si>
  <si>
    <t>DILUTED_EV</t>
  </si>
  <si>
    <t>EV per Share</t>
  </si>
  <si>
    <t>EV_TO_SH_OUT</t>
  </si>
  <si>
    <t>Trailing 12 Month Values for Ratios</t>
  </si>
  <si>
    <t>IFRS 16/ASC 842 Adoption</t>
  </si>
  <si>
    <t>IFRS_16_ASC_842_ADOPTION_IND</t>
  </si>
  <si>
    <t>No</t>
  </si>
  <si>
    <t>Yes</t>
  </si>
  <si>
    <t>Sales</t>
  </si>
  <si>
    <t>TRAIL_12M_NET_SALES</t>
  </si>
  <si>
    <t>TRAIL_12M_EBITDA</t>
  </si>
  <si>
    <t>EBIT</t>
  </si>
  <si>
    <t>TRAIL_12M_OPER_INC</t>
  </si>
  <si>
    <t>Cash Flow To Firm</t>
  </si>
  <si>
    <t>TRAIL_12M_CASH_FLOW_FIRM</t>
  </si>
  <si>
    <t>Free Cash Flow To Firm</t>
  </si>
  <si>
    <t>TRAIL_12M_FREE_CASH_FLOW_FIRM</t>
  </si>
  <si>
    <t>Becle SAB de CV (CUERVO* MM) - Multiples</t>
  </si>
  <si>
    <t>P/E</t>
  </si>
  <si>
    <t>PE_RATIO</t>
  </si>
  <si>
    <t xml:space="preserve">  Average</t>
  </si>
  <si>
    <t>AVERAGE_PRICE_EARNINGS_RATIO</t>
  </si>
  <si>
    <t xml:space="preserve">  High</t>
  </si>
  <si>
    <t>PX_ERN_RATIO_WITH_HIGH_CLOS_PX</t>
  </si>
  <si>
    <t xml:space="preserve">  Low</t>
  </si>
  <si>
    <t>PX_ERN_RATIO_WITH_LOW_CLOS_PX</t>
  </si>
  <si>
    <t>P/Book</t>
  </si>
  <si>
    <t>PX_TO_BOOK_RATIO</t>
  </si>
  <si>
    <t>AVERAGE_PRICE_TO_BOOK_RATIO</t>
  </si>
  <si>
    <t>HIGH_CLOSING_PRICE_TO_BOOK_RATIO</t>
  </si>
  <si>
    <t>LOW_CLOSING_PRICE_TO_BOOK_RATIO</t>
  </si>
  <si>
    <t>P/Tangible Book</t>
  </si>
  <si>
    <t>PX_TO_TANG_BV_PER_SH</t>
  </si>
  <si>
    <t>AVERAGE_PRICE_TO_TANGIBLE_BPS</t>
  </si>
  <si>
    <t>HIGH_PRICE_TO_TANGIBLE_BPS</t>
  </si>
  <si>
    <t>LOW_PRICE_TO_TANGIBLE_BPS</t>
  </si>
  <si>
    <t>P/Sales</t>
  </si>
  <si>
    <t>PX_TO_SALES_RATIO</t>
  </si>
  <si>
    <t>AVERAGE_PRICE_TO_SALES_RATIO</t>
  </si>
  <si>
    <t>HIGH_PX_TO_SALES_RATIO</t>
  </si>
  <si>
    <t>LOW_PX_TO_SALES_RATIO</t>
  </si>
  <si>
    <t>P/Cash Flow</t>
  </si>
  <si>
    <t>PX_TO_CASH_FLOW</t>
  </si>
  <si>
    <t>AVERAGE_PRICE_TO_CASH_FLOW</t>
  </si>
  <si>
    <t>HIGH_CLOSING_PRICE_TO_CASH_FLOW</t>
  </si>
  <si>
    <t>LOW_CLOSING_PRICE_TO_CASH_FLOW</t>
  </si>
  <si>
    <t>P/Free Cash Flow</t>
  </si>
  <si>
    <t>PX_TO_FREE_CASH_FLOW</t>
  </si>
  <si>
    <t>AVERAGE_PRICE_TO_FREE_CASH_FLOW</t>
  </si>
  <si>
    <t>HIGH_PRICE_TO_FREE_CASH_FLOW</t>
  </si>
  <si>
    <t>LOW_PRICE_TO_FREE_CASH_FLOW</t>
  </si>
  <si>
    <t>AVERAGE_EV_TO_T12M_SALES</t>
  </si>
  <si>
    <t>HIGH_EV_TO_T12M_SALES</t>
  </si>
  <si>
    <t>LOW_EV_TO_T12M_SALES</t>
  </si>
  <si>
    <t>AVG_EV_TO_T12M_EBITDA</t>
  </si>
  <si>
    <t>HIGH_EV_TO_T12M_EBITDA</t>
  </si>
  <si>
    <t>LOW_EV_TO_T12M_EBITDA</t>
  </si>
  <si>
    <t>AVERAGE_EV_TO_T12M_EBIT</t>
  </si>
  <si>
    <t>HIGH_EV_TO_T12M_EBIT</t>
  </si>
  <si>
    <t>LOW_EV_TO_T12M_EBIT</t>
  </si>
  <si>
    <t>Price/Share</t>
  </si>
  <si>
    <t>PX_LAST</t>
  </si>
  <si>
    <t>PX_HIGH</t>
  </si>
  <si>
    <t>PX_LOW</t>
  </si>
  <si>
    <t>AVERAGE_ENTERPRISE_VALUE</t>
  </si>
  <si>
    <t>HIGH_ENTERPRISE_VALUE</t>
  </si>
  <si>
    <t>LOW_ENTERPRISE_VALUE</t>
  </si>
  <si>
    <t>Becle SAB de CV (CUERVO* MM) - Adjusted</t>
  </si>
  <si>
    <t>Last 12M</t>
  </si>
  <si>
    <t xml:space="preserve">    Growth (YoY)</t>
  </si>
  <si>
    <t>—</t>
  </si>
  <si>
    <t xml:space="preserve">    + Sales &amp; Services Revenue</t>
  </si>
  <si>
    <t>IS_SALES_AND_SERVICES_REVENUES</t>
  </si>
  <si>
    <t xml:space="preserve">  - Cost of Revenue</t>
  </si>
  <si>
    <t>IS_COGS_TO_FE_AND_PP_AND_G</t>
  </si>
  <si>
    <t xml:space="preserve">    + Cost of Goods &amp; Services</t>
  </si>
  <si>
    <t>IS_COG_AND_SERVICES_SOLD</t>
  </si>
  <si>
    <t xml:space="preserve">    + Depreciation &amp; Amortization</t>
  </si>
  <si>
    <t>IS_DA_COST_OF_REVENUE_GAAP</t>
  </si>
  <si>
    <t xml:space="preserve">    + Research &amp; Development</t>
  </si>
  <si>
    <t>IS_RESEARCH_AND_DEVELOPMENT</t>
  </si>
  <si>
    <t xml:space="preserve">  + Other Operating Income</t>
  </si>
  <si>
    <t>IS_OTHER_OPER_INC</t>
  </si>
  <si>
    <t xml:space="preserve">  - Operating Expenses</t>
  </si>
  <si>
    <t>IS_OPERATING_EXPN</t>
  </si>
  <si>
    <t xml:space="preserve">    + Selling, General &amp; Admin</t>
  </si>
  <si>
    <t>IS_SGA_EXPENSE</t>
  </si>
  <si>
    <t xml:space="preserve">    + Selling &amp; Marketing</t>
  </si>
  <si>
    <t>IS_SELLING_EXPENSES</t>
  </si>
  <si>
    <t xml:space="preserve">    + General &amp; Administrative</t>
  </si>
  <si>
    <t>IS_GENERAL_AND_ADMINISTRATIVE</t>
  </si>
  <si>
    <t>IS_OPERATING_EXPENSES_RD</t>
  </si>
  <si>
    <t xml:space="preserve">    + Other Operating Expense</t>
  </si>
  <si>
    <t>IS_OTHER_OPERATING_EXPENSES</t>
  </si>
  <si>
    <t>Operating Income (Loss)</t>
  </si>
  <si>
    <t xml:space="preserve">  - Non-Operating (Income) Loss</t>
  </si>
  <si>
    <t>IS_NONOP_INCOME_LOSS</t>
  </si>
  <si>
    <t xml:space="preserve">    + Interest Expense, Net</t>
  </si>
  <si>
    <t>IS_NET_INTEREST_EXPENSE</t>
  </si>
  <si>
    <t xml:space="preserve">    + Interest Expense</t>
  </si>
  <si>
    <t>IS_INT_EXPENSE</t>
  </si>
  <si>
    <t xml:space="preserve">    - Interest Income</t>
  </si>
  <si>
    <t>IS_INT_INC</t>
  </si>
  <si>
    <t xml:space="preserve">    + Foreign Exch (Gain) Loss</t>
  </si>
  <si>
    <t>IS_FOREIGN_EXCH_LOSS</t>
  </si>
  <si>
    <t xml:space="preserve">    + (Income) Loss from Affiliates</t>
  </si>
  <si>
    <t>INCOME_LOSS_FROM_AFFILIATES</t>
  </si>
  <si>
    <t xml:space="preserve">    + Other Non-Op (Income) Loss</t>
  </si>
  <si>
    <t>IS_OTHER_NON_OPERATING_INC_LOSS</t>
  </si>
  <si>
    <t>Pretax Income (Loss), Adjusted</t>
  </si>
  <si>
    <t>PRETAX_INC</t>
  </si>
  <si>
    <t xml:space="preserve">  - Abnormal Losses (Gains)</t>
  </si>
  <si>
    <t>IS_ABNORMAL_ITEM</t>
  </si>
  <si>
    <t xml:space="preserve">    + Disposal of Assets</t>
  </si>
  <si>
    <t>IS_GAIN_LOSS_DISPOSAL_ASSETS</t>
  </si>
  <si>
    <t xml:space="preserve">    + Unrealized Investments</t>
  </si>
  <si>
    <t>IS_UNREALIZED_INVESTMENTS</t>
  </si>
  <si>
    <t>Pretax Income (Loss), GAAP</t>
  </si>
  <si>
    <t xml:space="preserve">  - Income Tax Expense (Benefit)</t>
  </si>
  <si>
    <t>IS_INC_TAX_EXP</t>
  </si>
  <si>
    <t xml:space="preserve">    + Current Income Tax</t>
  </si>
  <si>
    <t>IS_CURRENT_INCOME_TAX_BENEFIT</t>
  </si>
  <si>
    <t xml:space="preserve">    + Deferred Income Tax</t>
  </si>
  <si>
    <t>IS_DEFERRED_INCOME_TAX_BENEFIT</t>
  </si>
  <si>
    <t>Income (Loss) from Cont Ops</t>
  </si>
  <si>
    <t>IS_INC_BEF_XO_ITEM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</si>
  <si>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</si>
  <si>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</si>
  <si>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</si>
  <si>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</si>
  <si>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</si>
  <si>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EXTRAORD_ITEMS_ACCOUNTING_CHANGS</t>
  </si>
  <si>
    <t>Income (Loss) Incl. MI</t>
  </si>
  <si>
    <t>NI_INCLUDING_MINORITY_INT_RATIO</t>
  </si>
  <si>
    <t xml:space="preserve">  - Minority Interest</t>
  </si>
  <si>
    <t>MIN_NONCONTROL_INTEREST_CREDITS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</si>
  <si>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</si>
  <si>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</si>
  <si>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</si>
  <si>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</si>
  <si>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</si>
  <si>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</si>
  <si>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</si>
  <si>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</si>
  <si>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</si>
  <si>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</si>
  <si>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</si>
  <si>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</si>
  <si>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</si>
  <si>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</si>
  <si>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</si>
  <si>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</si>
  <si>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</si>
  <si>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Diluted EPS from Cont Ops, GAAP</t>
  </si>
  <si>
    <t>IS_DIL_EPS_BEF_XO</t>
  </si>
  <si>
    <t>Diluted EPS from Cont Ops, Adjusted</t>
  </si>
  <si>
    <t>Accounting Standard</t>
  </si>
  <si>
    <t>ACCOUNTING_STANDARD</t>
  </si>
  <si>
    <t>IAS/IFRS</t>
  </si>
  <si>
    <t>EBITDA Margin (T12M)</t>
  </si>
  <si>
    <t>EBITDA_MARGIN</t>
  </si>
  <si>
    <t>EBITA</t>
  </si>
  <si>
    <t>Gross Margin</t>
  </si>
  <si>
    <t>GROSS_MARGIN</t>
  </si>
  <si>
    <t>Operating Margin</t>
  </si>
  <si>
    <t>OPER_MARGIN</t>
  </si>
  <si>
    <t>Profit Margin</t>
  </si>
  <si>
    <t>PROF_MARGIN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</si>
  <si>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</si>
  <si>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</si>
  <si>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</si>
  <si>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</si>
  <si>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</si>
  <si>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</si>
  <si>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Export Sales</t>
  </si>
  <si>
    <t>IS_EXPORT_SALES</t>
  </si>
  <si>
    <t>Depreciation Expense</t>
  </si>
  <si>
    <t>IS_DEPR_EXP</t>
  </si>
  <si>
    <t>Rental Expense</t>
  </si>
  <si>
    <t>BS_CURR_RENTAL_EXPENSE</t>
  </si>
  <si>
    <t>Becle SAB de CV (CUERVO* MM) - GAAP</t>
  </si>
  <si>
    <t>IS_OPER_EXPENSES_RD_GAAP</t>
  </si>
  <si>
    <t>OTHER_OPERATING_EXPENSES_RATIO</t>
  </si>
  <si>
    <t>NONOP_INCOME_LOSS</t>
  </si>
  <si>
    <t>OTHER_NONOP_INCOME_LOSS</t>
  </si>
  <si>
    <t>Pretax Income</t>
  </si>
  <si>
    <t>Becle SAB de CV (CUERVO* MM) - As Reported</t>
  </si>
  <si>
    <t>Income Statement</t>
  </si>
  <si>
    <t xml:space="preserve">  Revenues</t>
  </si>
  <si>
    <t>ARD_TOTAL_REVENUES</t>
  </si>
  <si>
    <t xml:space="preserve">  Operating Expenses</t>
  </si>
  <si>
    <t>Cost of Goods Sold</t>
  </si>
  <si>
    <t>ARD_COST_OF_GOODS_SOLD</t>
  </si>
  <si>
    <t>Other Operating Expenses</t>
  </si>
  <si>
    <t>ARD_OTHER_OPERATING_EXPENSES</t>
  </si>
  <si>
    <t>General and Administrative Expenses</t>
  </si>
  <si>
    <t>ARD_GENERAL_ADMINISTRATIVE_EXP</t>
  </si>
  <si>
    <t>ARD_GROSS_PROFITS</t>
  </si>
  <si>
    <t>ARD_OPERATING_INCOME</t>
  </si>
  <si>
    <t>Other Operating (Income)/Expense - Net</t>
  </si>
  <si>
    <t>ARD_OTH_OPERATING_INC_EXP_NET</t>
  </si>
  <si>
    <t>Distribution Expenses</t>
  </si>
  <si>
    <t>ARD_DISTRIBUTION_EXP</t>
  </si>
  <si>
    <t>EBITDA - IS</t>
  </si>
  <si>
    <t>ARD_EBITDA_IS</t>
  </si>
  <si>
    <t>Selling Expenses</t>
  </si>
  <si>
    <t>ARD_SELLING_EXPENSES</t>
  </si>
  <si>
    <t>Advertising Expenses</t>
  </si>
  <si>
    <t>ARD_ADVERTISING_EXPENSES</t>
  </si>
  <si>
    <t>Interest Expense</t>
  </si>
  <si>
    <t>ARDR_INT_EXP</t>
  </si>
  <si>
    <t>Interest Income</t>
  </si>
  <si>
    <t>ARDR_INT_INCOME</t>
  </si>
  <si>
    <t>Financial Income</t>
  </si>
  <si>
    <t>ARDR_FINANCIAL_INCOME</t>
  </si>
  <si>
    <t>Other Finance Income</t>
  </si>
  <si>
    <t>ARDR_OTHER_FINANCE_INCOME</t>
  </si>
  <si>
    <t xml:space="preserve">  Non-Operating Expenses</t>
  </si>
  <si>
    <t>Foreign Exchange</t>
  </si>
  <si>
    <t>ARD_FOREIGN_EXCHANGE</t>
  </si>
  <si>
    <t>Equity In Earnings of Affiliate/Joint Ventures</t>
  </si>
  <si>
    <t>ARD_EQY_IN_EARN_AFFILIATE_JV</t>
  </si>
  <si>
    <t>Income Tax Expense (Benefit)</t>
  </si>
  <si>
    <t>ARD_INCOME_TAX_EXP_BENEFIT</t>
  </si>
  <si>
    <t>Income Before Income Taxes</t>
  </si>
  <si>
    <t>ARD_INCOME_BEFORE_INCOME_TAXES</t>
  </si>
  <si>
    <t>Current Income Tax Expense (Benefit)</t>
  </si>
  <si>
    <t>ARD_CUR_INCOME_TAX_EXP_BENEFIT</t>
  </si>
  <si>
    <t>Deferred Income Tax Expense (Benefit)</t>
  </si>
  <si>
    <t>ARD_DEFERRED_INC_TAX_EXP_BEN</t>
  </si>
  <si>
    <t>Other Non-Operating (Income)/Expense - Net</t>
  </si>
  <si>
    <t>ARD_OTH_NON_OPER_INC_EXP_NET</t>
  </si>
  <si>
    <t>Total Financial Losses (Gains)</t>
  </si>
  <si>
    <t>ARD_TOTAL_FINANCIAL_LOSSES_GAINS</t>
  </si>
  <si>
    <t>Total Financial Costs</t>
  </si>
  <si>
    <t>ARD_TOTAL_FINANCIAL_LOSSES</t>
  </si>
  <si>
    <t>ARD_FINANCIAL_INCOME</t>
  </si>
  <si>
    <t>Unrealized (Gain)/Loss From Secs Non-Operating</t>
  </si>
  <si>
    <t>ARD_UNREAL_GL_FROM_SECS_NON_OP</t>
  </si>
  <si>
    <t xml:space="preserve">  Extraordinary Items</t>
  </si>
  <si>
    <t>Discontinued Operations Loss/(Benefit) - Net</t>
  </si>
  <si>
    <t>ARD_DISC_OPS_LOSS_BEN_NET</t>
  </si>
  <si>
    <t xml:space="preserve">  Earnings</t>
  </si>
  <si>
    <t>Minority/Non Controlling Interest</t>
  </si>
  <si>
    <t>ARD_MINORITY_NONCONTROL_INTEREST</t>
  </si>
  <si>
    <t>Dividends Per Share</t>
  </si>
  <si>
    <t>ARD_DVD_PER_SH</t>
  </si>
  <si>
    <t>Basic EPS</t>
  </si>
  <si>
    <t>ARD_BASIC_EPS</t>
  </si>
  <si>
    <t>Weighted Avg. Shares - Basic</t>
  </si>
  <si>
    <t>ARD_WEIGHTED_AVG_SHARES_BASIC</t>
  </si>
  <si>
    <t>Diluted EPS</t>
  </si>
  <si>
    <t>ARD_DILUTED_EPS</t>
  </si>
  <si>
    <t>Weighted Avg. Shares - Diluted</t>
  </si>
  <si>
    <t>ARD_WEIGHTED_AVG_SHARE_DILUTED</t>
  </si>
  <si>
    <t>Profit After Taxation Before Minority</t>
  </si>
  <si>
    <t>ARD_PROF_AFTER_TAX_BEF_MINORITY</t>
  </si>
  <si>
    <t>Net Income</t>
  </si>
  <si>
    <t>ARD_NET_INC</t>
  </si>
  <si>
    <t xml:space="preserve">  Comprehensive Income</t>
  </si>
  <si>
    <t>Foreign Currency Translation Adjustments</t>
  </si>
  <si>
    <t>ARD_FOR_CRNCY_TRANSLATION_ADJ</t>
  </si>
  <si>
    <t>Pension Related Adjustments</t>
  </si>
  <si>
    <t>ARD_PENSION_RELATED_ADJUSTMENTS</t>
  </si>
  <si>
    <t>Other Comprehensive Income</t>
  </si>
  <si>
    <t>ARD_OTHER_COMPREHENSIVE_INCOME</t>
  </si>
  <si>
    <t>Total Comprehensive Income</t>
  </si>
  <si>
    <t>ARD_TOTAL_COMPREHENSIVE_INCOME</t>
  </si>
  <si>
    <t>Tax Related To Other Comprehensive Income</t>
  </si>
  <si>
    <t>ARD_TAX_RELATE_TO_OTH_COMP_INC</t>
  </si>
  <si>
    <t>Comprehensive Income Attrib to Minority Int</t>
  </si>
  <si>
    <t>ARD_COMPREHENSIVE_INC_ATTRIB_MI</t>
  </si>
  <si>
    <t>Net Income - Comprehensive Income</t>
  </si>
  <si>
    <t>ARD_COMPREHENSIVE_INCOME_NET_INC</t>
  </si>
  <si>
    <t>Total Adjustments Comprehensive Income</t>
  </si>
  <si>
    <t>ARD_TOT_ADJUSTMENTS_COMP_INC</t>
  </si>
  <si>
    <t>Total Comprehensive Inc Including Minority Int</t>
  </si>
  <si>
    <t>ARD_TOT_COMP_INC_INCL_MIN_INT</t>
  </si>
  <si>
    <t xml:space="preserve">  Reference Items</t>
  </si>
  <si>
    <t>ARDR_COST_OF_GOODS_SOLD</t>
  </si>
  <si>
    <t>Amortization Expense</t>
  </si>
  <si>
    <t>ARDR_AMORT_EXP</t>
  </si>
  <si>
    <t>ARDR_DEPRECIATION_EXP</t>
  </si>
  <si>
    <t>Depreciation and Amortization</t>
  </si>
  <si>
    <t>ARDR_DEPRECIATION_AMORTIZATION</t>
  </si>
  <si>
    <t>ARDR_FOREIGN_EXCHANGE</t>
  </si>
  <si>
    <t>(Gain)/Loss On Sale of Assets</t>
  </si>
  <si>
    <t>ARDR_GL_ON_SALE_OF_ASSETS</t>
  </si>
  <si>
    <t>Write-Down/Impairment of Assets</t>
  </si>
  <si>
    <t>ARDR_WRITEDOWN_IMPAIR_OF_ASSETS</t>
  </si>
  <si>
    <t>ARDR_INCOME_TAX_EXP_BENEFIT</t>
  </si>
  <si>
    <t>ARDR_GENERAL_ADMINISTRATIVE_EXP</t>
  </si>
  <si>
    <t>Projected Benefit Obligation</t>
  </si>
  <si>
    <t>ARDR_PROJECTED_BENEFIT_OBLIG</t>
  </si>
  <si>
    <t>Fair Value of Plan Assets</t>
  </si>
  <si>
    <t>ARDR_FAIR_VALUE_OF_PLAN_ASSETS</t>
  </si>
  <si>
    <t>ARDR_BASIC_EPS</t>
  </si>
  <si>
    <t>ARDR_WEIGHTED_AVG_SHARES_BASIC</t>
  </si>
  <si>
    <t>ARDR_WEIGHTED_AVG_SHARE_DILUTED</t>
  </si>
  <si>
    <t>Pension Expense (Income)</t>
  </si>
  <si>
    <t>ARDR_PENSION_EXP_INCOME</t>
  </si>
  <si>
    <t>Service Cost</t>
  </si>
  <si>
    <t>ARDR_SRVC_COST</t>
  </si>
  <si>
    <t>Discount Rate Used On Plan Liabs-Pension %</t>
  </si>
  <si>
    <t>ARDR_DISC_RATE_USED_LIAB_PENS</t>
  </si>
  <si>
    <t>Rate of Compensation Increase(Pension) - %</t>
  </si>
  <si>
    <t>ARDR_RATE_OF_COMP_INCR_PENSION</t>
  </si>
  <si>
    <t>Actual Return/Loss On Pension Plan Assets</t>
  </si>
  <si>
    <t>ARDR_ACT_RET_LOSS_ON_PENS_PLAN</t>
  </si>
  <si>
    <t>ARDR_EXPORT_SALES</t>
  </si>
  <si>
    <t>ARDR_TOTAL_REVENUES</t>
  </si>
  <si>
    <t>Product Revenue</t>
  </si>
  <si>
    <t>ARDR_PRODUCT_REVENUE</t>
  </si>
  <si>
    <t>Cost of Products Sold</t>
  </si>
  <si>
    <t>ARDR_COST_OF_PRODUCTS_SOLD</t>
  </si>
  <si>
    <t>ARDR_CUR_INCOME_TAX_EXP_BENEFIT</t>
  </si>
  <si>
    <t>ARDR_DEFERRED_INC_TAX_EXP_BEN</t>
  </si>
  <si>
    <t>Other Cost of Revenues</t>
  </si>
  <si>
    <t>ARDR_OTHER_COST_OF_REVENUES</t>
  </si>
  <si>
    <t>ARDR_OTH_OPERATING_INC_EXP_NET</t>
  </si>
  <si>
    <t>Actuarial Gains and Losses - Pension Exp</t>
  </si>
  <si>
    <t>ARDR_ACTUARIAL_GAIN_LOSS_PEN_EXP</t>
  </si>
  <si>
    <t>Unrecognized Prior Service Cost - RBO</t>
  </si>
  <si>
    <t>ARDR_UNRECOG_PRIOR_SRVC_COST_RBO</t>
  </si>
  <si>
    <t>REF Split/Dividend Adjustment Factor</t>
  </si>
  <si>
    <t>ARDR_SPLIT_DVD_ADJUSTMENT_FACTOR</t>
  </si>
  <si>
    <t>Effective Tax Rate - %</t>
  </si>
  <si>
    <t>ARDR_EFFECTIVE_TAX_RATE_PCT</t>
  </si>
  <si>
    <t>Employer Contribution (Pension)</t>
  </si>
  <si>
    <t>ARDR_EMPLOYER_CONTRIB_PENSION</t>
  </si>
  <si>
    <t>Benefits Paid (Pension)</t>
  </si>
  <si>
    <t>ARDR_BENEFITS_PAID_PENSION</t>
  </si>
  <si>
    <t>Interest Cost (Pension)</t>
  </si>
  <si>
    <t>ARDR_INTEREST_COST_PENSION</t>
  </si>
  <si>
    <t>Auditors Remuneration For Audit</t>
  </si>
  <si>
    <t>ARDR_AUDITOR_REMEN_AUDIT</t>
  </si>
  <si>
    <t>ARDR_DISTRIBUTION_EXP</t>
  </si>
  <si>
    <t>Total Fees Paid To Audit Firms</t>
  </si>
  <si>
    <t>ARDR_TOT_FEES_PAID_AUDIT_FIRMS</t>
  </si>
  <si>
    <t>Local Sales</t>
  </si>
  <si>
    <t>ARDR_LOCAL_SALES</t>
  </si>
  <si>
    <t>Unrealized (Gain)/Loss From Secs Non-Op</t>
  </si>
  <si>
    <t>ARDR_UNREAL_GL_FROM_SECS_NON_OP</t>
  </si>
  <si>
    <t>Foreign Exchange Losses Non-Operating</t>
  </si>
  <si>
    <t>ARDR_FOREIGN_EXCH_LOSSES_NON_OP</t>
  </si>
  <si>
    <t>ARD_REF_EBITDA_IS</t>
  </si>
  <si>
    <t>ARDR_SELLING_EXPENSES</t>
  </si>
  <si>
    <t>Statutory Tax Rate - %</t>
  </si>
  <si>
    <t>ARDR_STATUTORY_TAX_RATE_PCT</t>
  </si>
  <si>
    <t>ARDR_ADVERTISING_EXPENSES</t>
  </si>
  <si>
    <t>Other Accounting Svc Fee to All Auditor</t>
  </si>
  <si>
    <t>ARDR_OTHER_SVC_FEE_TO_ALL_AUDIT</t>
  </si>
  <si>
    <t>Unrecognized Transitional Obligation - RBO</t>
  </si>
  <si>
    <t>ARDR_UNRECOG_TRANS_OBLIG_RBO</t>
  </si>
  <si>
    <t>Non-GAAP Selling General &amp; Administrative</t>
  </si>
  <si>
    <t>ARDR_NON_GAAP_SG&amp;A</t>
  </si>
  <si>
    <t>Earnings Before Interest and Taxes</t>
  </si>
  <si>
    <t>ARDR_EBIT</t>
  </si>
  <si>
    <t>EBITDA Margin</t>
  </si>
  <si>
    <t>ARDR_EBITDA_MARGIN</t>
  </si>
  <si>
    <t>Adjusted EBITDA Margin</t>
  </si>
  <si>
    <t>ARDR_ADJUSTED_EBITDA_MARGIN</t>
  </si>
  <si>
    <t>ARDR EBIT Margin</t>
  </si>
  <si>
    <t>ARDR_EBIT_MARGIN</t>
  </si>
  <si>
    <t>EBITDA Adjusted (One Time Items)</t>
  </si>
  <si>
    <t>ARDR_ADJUSTED_EBITDA</t>
  </si>
  <si>
    <t>Becle SAB de CV (CUERVO* MM) - Reconciliation</t>
  </si>
  <si>
    <t>EBITDA Reconciliation</t>
  </si>
  <si>
    <t>EBIT, GAAP</t>
  </si>
  <si>
    <t xml:space="preserve">  + Revenue Adjustments</t>
  </si>
  <si>
    <t>IS_REVENUE_ADJUSTMENTS</t>
  </si>
  <si>
    <t xml:space="preserve">  + Cost of Revenue Adjustments</t>
  </si>
  <si>
    <t>IS_COST_OF_REVENUE_ADJUSTMENTS</t>
  </si>
  <si>
    <t xml:space="preserve">  + Other Op Inc Adjustments</t>
  </si>
  <si>
    <t>IS_OTHER_OPER_INC_NONGAAP_ADJUST</t>
  </si>
  <si>
    <t xml:space="preserve">  + SG&amp;A Adjustments</t>
  </si>
  <si>
    <t>IS_SGA_ADJ</t>
  </si>
  <si>
    <t xml:space="preserve">  + R&amp;D Expense Adjustments</t>
  </si>
  <si>
    <t>IS_RD_EXPENSE_NON_GAAP_ADJ</t>
  </si>
  <si>
    <t xml:space="preserve">  + D&amp;A Adjustments</t>
  </si>
  <si>
    <t>IS_DA_NON_GAAP_ADJ</t>
  </si>
  <si>
    <t xml:space="preserve">  + Prov for Doubtful Acct Adj</t>
  </si>
  <si>
    <t>IS_PDA_NONGAAP_ADJUSTMENTS</t>
  </si>
  <si>
    <t xml:space="preserve">  + Other Op Exp Adjustments</t>
  </si>
  <si>
    <t>IS_OTHER_OPERATING_EXPN_ADJUST</t>
  </si>
  <si>
    <t>EBIT, Adjusted</t>
  </si>
  <si>
    <t xml:space="preserve">  + Depreciation &amp; Amortization</t>
  </si>
  <si>
    <t>ADJUSTED_DA_EXPENSES</t>
  </si>
  <si>
    <t xml:space="preserve">  + Cost of Capitalized Operating Leases</t>
  </si>
  <si>
    <t>COST_CAPITALIZED_OPERATING_LEAS</t>
  </si>
  <si>
    <t>EBITDA, Adjusted</t>
  </si>
  <si>
    <t>EBIT Reconciliation</t>
  </si>
  <si>
    <t xml:space="preserve">  + Disposal of Assets</t>
  </si>
  <si>
    <t>IS_GAIN_LOSS_ON_DISP_OF_AST_OP</t>
  </si>
  <si>
    <t>Pretax Income Reconciliation</t>
  </si>
  <si>
    <t xml:space="preserve">  + Unrealized Investments</t>
  </si>
  <si>
    <t>Net Income Reconciliation</t>
  </si>
  <si>
    <t>Net Inc Avail to Common, GAAP</t>
  </si>
  <si>
    <t xml:space="preserve">  + Discontinued Operations</t>
  </si>
  <si>
    <t xml:space="preserve">  + XO &amp; Accounting Changes</t>
  </si>
  <si>
    <t>Net Inc Avail to Common Cont, GAAP</t>
  </si>
  <si>
    <t>INC_BEF_XO_LESS_MIN_INT_PREF_DVD</t>
  </si>
  <si>
    <t>IS_DISPOSAL_ASSETS_AFTER_TAX</t>
  </si>
  <si>
    <t>IS_UNREALIZED_INVEST_AFT_TAX</t>
  </si>
  <si>
    <t>Earnings Per Share Reconciliation</t>
  </si>
  <si>
    <t>IS_DISC_OPS_DILUTED_SH</t>
  </si>
  <si>
    <t>IS_XO_ITEMS_ACCT_CHG_DIL_SH</t>
  </si>
  <si>
    <t>IS_DISPOSAL_ASSETS_DILUTED_SHARE</t>
  </si>
  <si>
    <t>IS_UNREALIZED_INVEST_DILUTED_SH</t>
  </si>
  <si>
    <t>Diluted EPS from Cont Ops, Adj</t>
  </si>
  <si>
    <t>Becle SAB de CV (CUERVO* MM) - SBC &amp; Amort</t>
  </si>
  <si>
    <t>Basic EPS Ex-SBC, Adj</t>
  </si>
  <si>
    <t>BASIC_EPS_EX_STK_BASED_COMP</t>
  </si>
  <si>
    <t>Diluted EPS Ex-SBC, Adj</t>
  </si>
  <si>
    <t>DILUTED_EPS_EX_STK_BASED_COMP</t>
  </si>
  <si>
    <t>Basic EPS Ex-Amortization, Adj</t>
  </si>
  <si>
    <t>ADJ_EPS_EX_AMORT_TOT_INTANG_BAS</t>
  </si>
  <si>
    <t>Diluted EPS Ex-Amortization, Adj</t>
  </si>
  <si>
    <t>ADJ_EPS_EX_AMORT_TOT_INTANG_DIL</t>
  </si>
  <si>
    <t>Basic EPS Ex-SBC &amp; Amort, Adj</t>
  </si>
  <si>
    <t>ADJ_EPS_EX_SBC_AMORT_TOT_INT_BAS</t>
  </si>
  <si>
    <t>Diluted EPS Ex-SBC &amp; Amort, Adj</t>
  </si>
  <si>
    <t>ADJ_EPS_EX_SBC_AMORT_TOT_INT_DIL</t>
  </si>
  <si>
    <t>Stock Based Compensation</t>
  </si>
  <si>
    <t>Pre-Tax</t>
  </si>
  <si>
    <t>IS_EXPENSE_STOCK_BASED_COMP</t>
  </si>
  <si>
    <t>After-Tax</t>
  </si>
  <si>
    <t>IS_STK_BASED_COMP_AFT_TAX</t>
  </si>
  <si>
    <t>Per Basic Share</t>
  </si>
  <si>
    <t>IS_STK_BASED_COMP_PER_BAS_SH</t>
  </si>
  <si>
    <t>Per Diluted Share</t>
  </si>
  <si>
    <t>IS_STK_BASED_COMP_PER_DIL_SH</t>
  </si>
  <si>
    <t>Amortization of Acquisition Related Intangibles</t>
  </si>
  <si>
    <t>Amortization of Total Intangibles</t>
  </si>
  <si>
    <t>IS_AMORT_OF_TOT_INTANG_PRETX</t>
  </si>
  <si>
    <t>IS_AMORT_OF_TOT_INTANG_AFT_TAX</t>
  </si>
  <si>
    <t>IS_AMORT_OF_TOT_INTANG_P_BAS_SH</t>
  </si>
  <si>
    <t>IS_AMORT_OF_TOT_INTANG_P_DIL_SH</t>
  </si>
  <si>
    <t>Becle SAB de CV (CUERVO* MM) - Standardized</t>
  </si>
  <si>
    <t xml:space="preserve">  + Cash, Cash Equivalents &amp; STI</t>
  </si>
  <si>
    <t>CASH_CASH_EQTY_STI_DETAILED</t>
  </si>
  <si>
    <t xml:space="preserve">    + Cash &amp; Cash Equivalents</t>
  </si>
  <si>
    <t>BS_CASH_NEAR_CASH_ITEM</t>
  </si>
  <si>
    <t xml:space="preserve">    + ST Investments</t>
  </si>
  <si>
    <t>BS_MKT_SEC_OTHER_ST_INVEST</t>
  </si>
  <si>
    <t xml:space="preserve">  + Accounts &amp; Notes Receiv</t>
  </si>
  <si>
    <t>BS_ACCT_NOTE_RCV</t>
  </si>
  <si>
    <t xml:space="preserve">    + Accounts Receivable, Net</t>
  </si>
  <si>
    <t>BS_ACCTS_REC_EXCL_NOTES_REC</t>
  </si>
  <si>
    <t xml:space="preserve">    + Notes Receivable, Net</t>
  </si>
  <si>
    <t>NOTES_RECEIVABLE</t>
  </si>
  <si>
    <t xml:space="preserve">  + Inventories</t>
  </si>
  <si>
    <t>BS_INVENTORIES</t>
  </si>
  <si>
    <t xml:space="preserve">    + Raw Materials</t>
  </si>
  <si>
    <t>INVTRY_RAW_MATERIALS</t>
  </si>
  <si>
    <t xml:space="preserve">    + Work In Process</t>
  </si>
  <si>
    <t>INVTRY_IN_PROGRESS</t>
  </si>
  <si>
    <t xml:space="preserve">    + Finished Goods</t>
  </si>
  <si>
    <t>INVTRY_FINISHED_GOODS</t>
  </si>
  <si>
    <t xml:space="preserve">    + Other Inventory</t>
  </si>
  <si>
    <t>BS_OTHER_INV</t>
  </si>
  <si>
    <t xml:space="preserve">  + Other ST Assets</t>
  </si>
  <si>
    <t>OTHER_CURRENT_ASSETS_DETAILED</t>
  </si>
  <si>
    <t xml:space="preserve">    + Prepaid Expenses</t>
  </si>
  <si>
    <t>BS_PREPAY</t>
  </si>
  <si>
    <t xml:space="preserve">    + Derivative &amp; Hedging Assets</t>
  </si>
  <si>
    <t>BS_DERIV_HEDGING_ASST_ST</t>
  </si>
  <si>
    <t xml:space="preserve">    + Assets Held-for-Sale</t>
  </si>
  <si>
    <t>BS_ASSETS_HELD_FOR_SALE_ST</t>
  </si>
  <si>
    <t xml:space="preserve">    + Taxes Receivable</t>
  </si>
  <si>
    <t>BS_TAXES_RECEIVABLE_SHORT_TERM</t>
  </si>
  <si>
    <t xml:space="preserve">    + Misc ST Assets</t>
  </si>
  <si>
    <t>BS_OTHER_CUR_ASSET_LESS_PREPAY</t>
  </si>
  <si>
    <t xml:space="preserve">  + Property, Plant &amp; Equip, Net</t>
  </si>
  <si>
    <t>BS_NET_FIX_ASSET</t>
  </si>
  <si>
    <t xml:space="preserve">    + Property, Plant &amp; Equip</t>
  </si>
  <si>
    <t>BS_GROSS_FIX_ASSET</t>
  </si>
  <si>
    <t xml:space="preserve">    - Accumulated Depreciation</t>
  </si>
  <si>
    <t>BS_ACCUM_DEPR</t>
  </si>
  <si>
    <t xml:space="preserve">  + LT Investments &amp; Receivables</t>
  </si>
  <si>
    <t>BS_LT_INVEST</t>
  </si>
  <si>
    <t xml:space="preserve">    + LT Investments</t>
  </si>
  <si>
    <t>BS_LONG_TERM_INVESTMENTS</t>
  </si>
  <si>
    <t xml:space="preserve">    + LT Receivables</t>
  </si>
  <si>
    <t>BS_LT_RECEIVABLES</t>
  </si>
  <si>
    <t xml:space="preserve">  + Other LT Assets</t>
  </si>
  <si>
    <t>BS_OTHER_ASSETS_DEF_CHRG_OTHER</t>
  </si>
  <si>
    <t xml:space="preserve">    + Total Intangible Assets</t>
  </si>
  <si>
    <t>BS_DISCLOSED_INTANGIBLES</t>
  </si>
  <si>
    <t xml:space="preserve">    + Goodwill</t>
  </si>
  <si>
    <t>BS_GOODWILL</t>
  </si>
  <si>
    <t xml:space="preserve">    + Other Intangible Assets</t>
  </si>
  <si>
    <t>OTHER_INTANGIBLE_ASSETS_DETAILED</t>
  </si>
  <si>
    <t xml:space="preserve">    + Deferred Tax Assets</t>
  </si>
  <si>
    <t>BS_DEFERRED_TAX_ASSETS_LT</t>
  </si>
  <si>
    <t>BS_DERIV_HEDGING_ASST_LT</t>
  </si>
  <si>
    <t xml:space="preserve">    + Prepaid Pension Costs</t>
  </si>
  <si>
    <t>BS_PREPAID_PENSION_COSTS_LT</t>
  </si>
  <si>
    <t xml:space="preserve">    + Investments in Affiliates</t>
  </si>
  <si>
    <t>BS_INVEST_IN_ASSOC_CO</t>
  </si>
  <si>
    <t xml:space="preserve">    + Misc LT Assets</t>
  </si>
  <si>
    <t>OTHER_NONCURRENT_ASSETS_DETAILED</t>
  </si>
  <si>
    <t>Total Noncurrent Assets</t>
  </si>
  <si>
    <t>BS_TOT_NON_CUR_ASSET</t>
  </si>
  <si>
    <t>Liabilities &amp; Shareholders' Equity</t>
  </si>
  <si>
    <t xml:space="preserve">  + Payables &amp; Accruals</t>
  </si>
  <si>
    <t>ACCT_PAYABLE_ACCRUALS_DETAILED</t>
  </si>
  <si>
    <t xml:space="preserve">    + Accounts Payable</t>
  </si>
  <si>
    <t>BS_ACCT_PAYABLE</t>
  </si>
  <si>
    <t xml:space="preserve">    + Interest &amp; Dividends Payable</t>
  </si>
  <si>
    <t>INTEREST_DIVIDENDS_PAYABLE</t>
  </si>
  <si>
    <t xml:space="preserve">    + Other Payables &amp; Accruals</t>
  </si>
  <si>
    <t>BS_ACCRUAL</t>
  </si>
  <si>
    <t xml:space="preserve">  + ST Debt</t>
  </si>
  <si>
    <t>BS_ST_BORROW</t>
  </si>
  <si>
    <t xml:space="preserve">    + ST Borrowings</t>
  </si>
  <si>
    <t>SHORT_TERM_DEBT_DETAILED</t>
  </si>
  <si>
    <t xml:space="preserve">    + ST Lease Liabilities</t>
  </si>
  <si>
    <t>ST_CAPITALIZED_LEASE_LIABILITIES</t>
  </si>
  <si>
    <t xml:space="preserve">      + ST Finance Leases</t>
  </si>
  <si>
    <t>ST_CAPITAL_LEASE_OBLIGATIONS</t>
  </si>
  <si>
    <t xml:space="preserve">  + Other ST Liabilities</t>
  </si>
  <si>
    <t>OTHER_CURRENT_LIABS_SUB_DETAILED</t>
  </si>
  <si>
    <t xml:space="preserve">    + Deferred Revenue</t>
  </si>
  <si>
    <t>ST_DEFERRED_REVENUE</t>
  </si>
  <si>
    <t xml:space="preserve">    + Derivatives &amp; Hedging</t>
  </si>
  <si>
    <t>BS_DERIV_HEDGING_LIAB_ST</t>
  </si>
  <si>
    <t xml:space="preserve">    + Misc ST Liabilities</t>
  </si>
  <si>
    <t>OTHER_CURRENT_LIABS_DETAILED</t>
  </si>
  <si>
    <t xml:space="preserve">  + LT Debt</t>
  </si>
  <si>
    <t>BS_LT_BORROW</t>
  </si>
  <si>
    <t xml:space="preserve">    + LT Borrowings</t>
  </si>
  <si>
    <t>LONG_TERM_BORROWINGS_DETAILED</t>
  </si>
  <si>
    <t xml:space="preserve">    + LT Lease Liabilities</t>
  </si>
  <si>
    <t>LT_CAPITALIZED_LEASE_LIABILITIES</t>
  </si>
  <si>
    <t xml:space="preserve">      + LT Finance Leases</t>
  </si>
  <si>
    <t>LT_CAPITAL_LEASE_OBLIGATIONS</t>
  </si>
  <si>
    <t xml:space="preserve">  + Other LT Liabilities</t>
  </si>
  <si>
    <t>OTHER_NONCUR_LIABS_SUB_DETAILED</t>
  </si>
  <si>
    <t xml:space="preserve">    + Accrued Liabilities</t>
  </si>
  <si>
    <t>BS_ACCRUED_LIABILITIES</t>
  </si>
  <si>
    <t xml:space="preserve">    + Pension Liabilities</t>
  </si>
  <si>
    <t>PENSION_LIABILITIES</t>
  </si>
  <si>
    <t xml:space="preserve">    + Pensions</t>
  </si>
  <si>
    <t>BS_PENSIONS_LT_LIABS</t>
  </si>
  <si>
    <t xml:space="preserve">    + Other Post-Ret Benefits</t>
  </si>
  <si>
    <t>BS_OPRB_LT_LIABS</t>
  </si>
  <si>
    <t>LT_DEFERRED_REVENUE</t>
  </si>
  <si>
    <t xml:space="preserve">    + Deferred Tax Liabilities</t>
  </si>
  <si>
    <t>BS_DEFERRED_TAX_LIABILITIES_LT</t>
  </si>
  <si>
    <t>BS_DERIV_HEDGING_LIAB_LT</t>
  </si>
  <si>
    <t xml:space="preserve">    + Misc LT Liabilities</t>
  </si>
  <si>
    <t>OTHER_NONCURRENT_LIABS_DETAILED</t>
  </si>
  <si>
    <t>Total Noncurrent Liabilities</t>
  </si>
  <si>
    <t>NON_CUR_LIAB</t>
  </si>
  <si>
    <t xml:space="preserve">  + Preferred Equity and Hybrid Capital</t>
  </si>
  <si>
    <t xml:space="preserve">  + Share Capital &amp; APIC</t>
  </si>
  <si>
    <t>BS_SH_CAP_AND_APIC</t>
  </si>
  <si>
    <t xml:space="preserve">    + Common Stock</t>
  </si>
  <si>
    <t>BS_COMMON_STOCK</t>
  </si>
  <si>
    <t xml:space="preserve">    + Additional Paid in Capital</t>
  </si>
  <si>
    <t>BS_ADD_PAID_IN_CAP</t>
  </si>
  <si>
    <t xml:space="preserve">  - Treasury Stock</t>
  </si>
  <si>
    <t>BS_AMT_OF_TSY_STOCK</t>
  </si>
  <si>
    <t xml:space="preserve">  + Retained Earnings</t>
  </si>
  <si>
    <t>BS_PURE_RETAINED_EARNINGS</t>
  </si>
  <si>
    <t xml:space="preserve">  + Other Equity</t>
  </si>
  <si>
    <t>OTHER_EQUITY_RATIO</t>
  </si>
  <si>
    <t>Equity Before Minority Interest</t>
  </si>
  <si>
    <t>EQTY_BEF_MINORITY_INT_DETAILED</t>
  </si>
  <si>
    <t xml:space="preserve">  + Minority/Non Controlling Interest</t>
  </si>
  <si>
    <t>Total Liabilities &amp; Equity</t>
  </si>
  <si>
    <t>TOT_LIAB_AND_EQY</t>
  </si>
  <si>
    <t>Shares Outstanding</t>
  </si>
  <si>
    <t>Number of Treasury Shares</t>
  </si>
  <si>
    <t>BS_NUM_OF_TSY_SH</t>
  </si>
  <si>
    <t>Pension Obligations</t>
  </si>
  <si>
    <t>BS_PENSION_RSRV</t>
  </si>
  <si>
    <t>Future Minimum Operating Lease Obligations</t>
  </si>
  <si>
    <t>BS_FUTURE_MIN_OPER_LEASE_OBLIG</t>
  </si>
  <si>
    <t>Capital Leases - Total</t>
  </si>
  <si>
    <t>BS_TOTAL_CAPITAL_LEASES</t>
  </si>
  <si>
    <t>Options Outstanding at Period End</t>
  </si>
  <si>
    <t>BS_OPTIONS_OUTSTANDING</t>
  </si>
  <si>
    <t>Net Debt</t>
  </si>
  <si>
    <t>NET_DEBT</t>
  </si>
  <si>
    <t>Net Debt to Equity</t>
  </si>
  <si>
    <t>NET_DEBT_TO_SHRHLDR_EQTY</t>
  </si>
  <si>
    <t>Tangible Common Equity Ratio</t>
  </si>
  <si>
    <t>TCE_RATIO</t>
  </si>
  <si>
    <t>Current Ratio</t>
  </si>
  <si>
    <t>CUR_RATIO</t>
  </si>
  <si>
    <t>Cash Conversion Cycle</t>
  </si>
  <si>
    <t>CASH_CONVERSION_CYCLE</t>
  </si>
  <si>
    <t>Number of Employees</t>
  </si>
  <si>
    <t>NUM_OF_EMPLOYEES</t>
  </si>
  <si>
    <t>Balance Sheet</t>
  </si>
  <si>
    <t xml:space="preserve">  Current Assets</t>
  </si>
  <si>
    <t>ARD_CASH_AND_EQUIVALENTS</t>
  </si>
  <si>
    <t>Accounts Receivable - Trade</t>
  </si>
  <si>
    <t>ARD_ACCTS_RECEIVABLE_TRADE</t>
  </si>
  <si>
    <t>Inventories</t>
  </si>
  <si>
    <t>ARD_INVENTORY</t>
  </si>
  <si>
    <t>Prepaid Expenses (Short-Term)</t>
  </si>
  <si>
    <t>ARD_PREPAID_EXPENSES_ST</t>
  </si>
  <si>
    <t>Assets Held For Sale</t>
  </si>
  <si>
    <t>ARD_ASSETS_HELD_FOR_SALE</t>
  </si>
  <si>
    <t>Other Current Assets</t>
  </si>
  <si>
    <t>ARD_OTHER_CURRENT_ASSETS</t>
  </si>
  <si>
    <t>Short-Term Investments</t>
  </si>
  <si>
    <t>ARD_ST_INVEST</t>
  </si>
  <si>
    <t>Taxes Receivable</t>
  </si>
  <si>
    <t>ARD_INCOME_TAX_RECEIVABLE</t>
  </si>
  <si>
    <t>Other Receivables (Short-Term)</t>
  </si>
  <si>
    <t>ARD_OTHER_RECEIVABLES_ST</t>
  </si>
  <si>
    <t>Due From Parties/Affiliates (Short-Term)</t>
  </si>
  <si>
    <t>ARD_DUE_FROM_PARTIES_AFF_ST</t>
  </si>
  <si>
    <t>Accounts Receivable And Other Receivables</t>
  </si>
  <si>
    <t>ARD_ACCTS_REC_OTHER_REC</t>
  </si>
  <si>
    <t>Other Financial Assets - Short Term</t>
  </si>
  <si>
    <t>ARD_OTHER_FINL_ASSETS_ST</t>
  </si>
  <si>
    <t>Trade Receivables-Related Parties</t>
  </si>
  <si>
    <t>ARD_TRADE_REC_RELATED_PARTIES</t>
  </si>
  <si>
    <t>Prepayment/Advance</t>
  </si>
  <si>
    <t>ARD_PREPAYMENT_ADVANCE</t>
  </si>
  <si>
    <t>Livestock (Current)</t>
  </si>
  <si>
    <t>ARD_LIVESTOCK_CURRENT</t>
  </si>
  <si>
    <t>ARD_TOTAL_CUR_ASSETS</t>
  </si>
  <si>
    <t xml:space="preserve">  Noncurrent Assets</t>
  </si>
  <si>
    <t>Long Term Investments</t>
  </si>
  <si>
    <t>ARD_LT_INVEST</t>
  </si>
  <si>
    <t>Property Plant &amp; Equipment - Net</t>
  </si>
  <si>
    <t>ARD_PROPERTY_PLANT_EQUIP_NET</t>
  </si>
  <si>
    <t>Deferred Income Tax Asset (Long-Term)</t>
  </si>
  <si>
    <t>ARD_DEFERRED_INC_TAX_ASSET_LT</t>
  </si>
  <si>
    <t>Total Intangible Assets - Net</t>
  </si>
  <si>
    <t>ARD_TOTAL_INTANGIBLE_ASSET_NET</t>
  </si>
  <si>
    <t>Investment In Affiliates/Joint Ventures</t>
  </si>
  <si>
    <t>ARD_INVESTMENT_IN_AFFILIATE_JV</t>
  </si>
  <si>
    <t>Prepaid Pensions/Postretirement Benefits</t>
  </si>
  <si>
    <t>ARD_PREPAID_PEN_POSTRETIRE_BEN</t>
  </si>
  <si>
    <t>Goodwill</t>
  </si>
  <si>
    <t>ARD_GOODWLL</t>
  </si>
  <si>
    <t>Other Noncurrent Assets</t>
  </si>
  <si>
    <t>ARD_OTHER_NONCURRENT_ASSET</t>
  </si>
  <si>
    <t>Accounts Receivable - Long-Term</t>
  </si>
  <si>
    <t>ARD_ACCOUNTS_RECEIVABLE_LT</t>
  </si>
  <si>
    <t>Total Non-Current Assets</t>
  </si>
  <si>
    <t>ARD_TOTAL_NONCURRENT_ASSETS</t>
  </si>
  <si>
    <t>Deposits And Others - Net</t>
  </si>
  <si>
    <t>ARD_DEPOSITS_OTHERS_NET</t>
  </si>
  <si>
    <t>Intangible Assets Excluding Goodwill</t>
  </si>
  <si>
    <t>ARD_INTANG_ASSETS_EXCL_GOODWILL</t>
  </si>
  <si>
    <t>Livestock (Noncurrent)</t>
  </si>
  <si>
    <t>ARD_LIVESTOCK_NONCURRENT</t>
  </si>
  <si>
    <t>Inventories (Noncurrent)</t>
  </si>
  <si>
    <t>ARD_INVENTORIES_NONCURRENT</t>
  </si>
  <si>
    <t>ARD_TOT_ASSETS</t>
  </si>
  <si>
    <t xml:space="preserve">  Current Liabilities</t>
  </si>
  <si>
    <t>Accounts Payable - Trade</t>
  </si>
  <si>
    <t>ARD_ACCOUNTS_PAYABLE_TRADE</t>
  </si>
  <si>
    <t>Short-Term Borrowings</t>
  </si>
  <si>
    <t>ARD_ST_BORROW</t>
  </si>
  <si>
    <t>Accrued Compensation/Postretirement Obligation</t>
  </si>
  <si>
    <t>ARD_ACC_COMP_POSTRETIRE_OBLIG</t>
  </si>
  <si>
    <t>Dividends Accrued/Payable</t>
  </si>
  <si>
    <t>ARD_DVD_ACCRUED_PAYABLE</t>
  </si>
  <si>
    <t>Other Current Liabilities</t>
  </si>
  <si>
    <t>ARD_OTHER_CURRENT_LIABILITIES</t>
  </si>
  <si>
    <t>Amounts Due To Related Companies</t>
  </si>
  <si>
    <t>ARD_AMTS_DUE_TO_RELATED_CO</t>
  </si>
  <si>
    <t>Short-Term Provisions</t>
  </si>
  <si>
    <t>ARD_ST_PROVISIONS</t>
  </si>
  <si>
    <t>Trade Payable - Related Parties</t>
  </si>
  <si>
    <t>ARD_TRADE_PAY_RELATED_PARTIES</t>
  </si>
  <si>
    <t>Trade Payable And Other Payables</t>
  </si>
  <si>
    <t>ARD_TRADE_PAYABLE_OTHER_PAYABLES</t>
  </si>
  <si>
    <t>ARD_TOTAL_CURRENT_LIABILITIES</t>
  </si>
  <si>
    <t xml:space="preserve">  Non Current Liabilities</t>
  </si>
  <si>
    <t>ARD_TOT_NONCURRENT_LIABILITIES</t>
  </si>
  <si>
    <t>Long Term Debt</t>
  </si>
  <si>
    <t>ARD_LT_DEBT</t>
  </si>
  <si>
    <t>Other Noncurrent Liabilities</t>
  </si>
  <si>
    <t>ARD_OTH_NONCURRENT_LIABILITIES</t>
  </si>
  <si>
    <t>Deferred Tax Liabilities (Long-Term)</t>
  </si>
  <si>
    <t>ARD_DEFERRED_TAX_LIAB_LT</t>
  </si>
  <si>
    <t>Provisions For Liabilities And Charges &amp; Other</t>
  </si>
  <si>
    <t>ARD_PROV_LIAB_CHARGES_AND_OTHER</t>
  </si>
  <si>
    <t>ARD_TOT_LIABILITIES</t>
  </si>
  <si>
    <t xml:space="preserve">  Stockholder Equity</t>
  </si>
  <si>
    <t>Minority/Non Controlling Int (Stckhldrs Eqty)</t>
  </si>
  <si>
    <t>ARD_MIN_NONCONTROL_INT_SE</t>
  </si>
  <si>
    <t>Common Stock</t>
  </si>
  <si>
    <t>ARD_COMMON_STOCK</t>
  </si>
  <si>
    <t>Additional Paid In Capital</t>
  </si>
  <si>
    <t>ARD_ADDITIONAL_PAID_IN_CAPITAL</t>
  </si>
  <si>
    <t>Treasury Stock (Amount)</t>
  </si>
  <si>
    <t>ARD_TREASURY_STOCK_AMOUNT</t>
  </si>
  <si>
    <t>Retained Earnings (Accumulated Deficit)</t>
  </si>
  <si>
    <t>ARD_RETAINED_EARN_ACC_DEFICIT</t>
  </si>
  <si>
    <t>Other Equity</t>
  </si>
  <si>
    <t>ARD_OTHER_EQUITY</t>
  </si>
  <si>
    <t>Total Shareholders Equity</t>
  </si>
  <si>
    <t>ARD_TOTAL_SHAREHOLDERS_EQUITY</t>
  </si>
  <si>
    <t>Other Reserve</t>
  </si>
  <si>
    <t>ARD_OTHER_RESERVE</t>
  </si>
  <si>
    <t>Total Shareholders Equity Excluding Minority</t>
  </si>
  <si>
    <t>ARD_TOT_SHARE_EQY_EXCL_MINORITY</t>
  </si>
  <si>
    <t>Share Capital &amp; Additional Paid In Capital</t>
  </si>
  <si>
    <t>ARD_SHARE_CAP_ADDL_PAID_IN_CAP</t>
  </si>
  <si>
    <t>Additional Paid In Capital -Common &amp; Preferred</t>
  </si>
  <si>
    <t>ARD_ADDL_PAID_IN_CAP_COM_PREF</t>
  </si>
  <si>
    <t>Total Liabilities and Shareholders Equity</t>
  </si>
  <si>
    <t>ARD_TOT_LIAB_AND_SHAREHOLDER_EQY</t>
  </si>
  <si>
    <t>ARDR_CASH_AND_EQUIVALENTS</t>
  </si>
  <si>
    <t>ARDR_ACCTS_RECEIVABLE_TRADE</t>
  </si>
  <si>
    <t>ARDR_INVENTORY</t>
  </si>
  <si>
    <t>Prepaid Expenses (ST)</t>
  </si>
  <si>
    <t>ARDR_PREPAID_EXPENSES_ST</t>
  </si>
  <si>
    <t>Prepaid Expenses and Other</t>
  </si>
  <si>
    <t>ARDR_PREPAID_EXP_AND_OTHER</t>
  </si>
  <si>
    <t>ARDR_OTHER_CURRENT_ASSETS</t>
  </si>
  <si>
    <t>Land</t>
  </si>
  <si>
    <t>ARDR_LAND</t>
  </si>
  <si>
    <t>Buildings</t>
  </si>
  <si>
    <t>ARDR_BUILDING</t>
  </si>
  <si>
    <t>Leasehold Improvements</t>
  </si>
  <si>
    <t>ARDR_LEASEHOLD_IMPROVEMENTS</t>
  </si>
  <si>
    <t>Construction In Progress</t>
  </si>
  <si>
    <t>ARDR_CONSTRUCTION_IN_PROGRESS</t>
  </si>
  <si>
    <t>Furniture/Machinery/Equipment</t>
  </si>
  <si>
    <t>ARDR_FURNITURE_MACHINERY_EQUIP</t>
  </si>
  <si>
    <t>Property Plant &amp; Equipment - Gross</t>
  </si>
  <si>
    <t>ARDR_PROPERTY_PLANT_EQUIP_GROSS</t>
  </si>
  <si>
    <t>Accumulated Depreciation</t>
  </si>
  <si>
    <t>ARDR_ACCUMULATED_DEPREC</t>
  </si>
  <si>
    <t>ARDR_PROPERTY_PLANT_EQUIP_NET</t>
  </si>
  <si>
    <t>ARDR_TOTAL_INTANGIBLE_ASSET_NET</t>
  </si>
  <si>
    <t>ARDR_INVESTMENT_IN_AFFILIATE_JV</t>
  </si>
  <si>
    <t>ARDR_GOODWLL</t>
  </si>
  <si>
    <t>Patents/Trademarks/Copyrights</t>
  </si>
  <si>
    <t>ARDR_PATENTS_TRADEMRK_COPYRIGHT</t>
  </si>
  <si>
    <t>ARDR_ACCOUNTS_PAYABLE_TRADE</t>
  </si>
  <si>
    <t>Notes Payable (ST)</t>
  </si>
  <si>
    <t>ARDR_NOTES_PAYABLE_ST</t>
  </si>
  <si>
    <t>ARDR_ST_BORROW</t>
  </si>
  <si>
    <t>ARDR_LT_DEBT</t>
  </si>
  <si>
    <t>Min/Non Cntrlling Int(Stckhldrs Eqty)</t>
  </si>
  <si>
    <t>ARDR_MIN_NONCONTROL_INT_SE</t>
  </si>
  <si>
    <t>ARDR_COMMON_STOCK</t>
  </si>
  <si>
    <t>ARDR_ADDITIONAL_PAID_IN_CAPITAL</t>
  </si>
  <si>
    <t>ARDR_RETAINED_EARN_ACC_DEFICIT</t>
  </si>
  <si>
    <t>ARDR_OTHER_EQUITY</t>
  </si>
  <si>
    <t>ARDR_SHARES_OUTSTANDING</t>
  </si>
  <si>
    <t>Treasury Shares (Number)</t>
  </si>
  <si>
    <t>ARDR_TREASURY_SHARES_NUM</t>
  </si>
  <si>
    <t>Raw Materials</t>
  </si>
  <si>
    <t>ARDR_RAW_MATERIAL</t>
  </si>
  <si>
    <t>Work In Progress</t>
  </si>
  <si>
    <t>ARDR_WORK_IN_PROGRESS</t>
  </si>
  <si>
    <t>Finished Goods</t>
  </si>
  <si>
    <t>ARDR_FINISHED_GOOD</t>
  </si>
  <si>
    <t>Supplies and Materials</t>
  </si>
  <si>
    <t>ARDR_SUPPLIES_AND_MATERIALS</t>
  </si>
  <si>
    <t>Other Inventory</t>
  </si>
  <si>
    <t>ARDR_OTHER_INVENTORY</t>
  </si>
  <si>
    <t>Current Rental Expense</t>
  </si>
  <si>
    <t>ARDR_CURRENT_RENTAL_EXP</t>
  </si>
  <si>
    <t>Rental Expense - Beyond Year 5</t>
  </si>
  <si>
    <t>ARDR_RENTAL_EXP_BEYOND_YR5</t>
  </si>
  <si>
    <t>Allowance For Doubtful Accounts</t>
  </si>
  <si>
    <t>ARDR_ALLOW_FOR_DOUBTFUL_ACCTS</t>
  </si>
  <si>
    <t>Capitalized Software - Net</t>
  </si>
  <si>
    <t>ARDR_CAPITALIZED_SOFTWARE_NET</t>
  </si>
  <si>
    <t>ARDR_TOTAL_SHAREHOLDERS_EQUITY</t>
  </si>
  <si>
    <t>Cash and Due From Banks</t>
  </si>
  <si>
    <t>ARDR_CASH_AND_DUE_FROM_BANKS</t>
  </si>
  <si>
    <t>ARDR_INCOME_TAX_RECEIVABLE</t>
  </si>
  <si>
    <t>Other Receivables (ST)</t>
  </si>
  <si>
    <t>ARDR_OTHER_RECEIVABLES_ST</t>
  </si>
  <si>
    <t>Due From Parties/Affiliates (ST)</t>
  </si>
  <si>
    <t>ARDR_DUE_FROM_PARTIES_AFF_ST</t>
  </si>
  <si>
    <t>Other Payables</t>
  </si>
  <si>
    <t>ARDR_OTHER_PAYABLES</t>
  </si>
  <si>
    <t>Number of Employees at Period End Date</t>
  </si>
  <si>
    <t>ARDR_NUM_OF_EMPLOYEES_PERIOD_END</t>
  </si>
  <si>
    <t>Other Fixed Assets</t>
  </si>
  <si>
    <t>ARDR_OTHER_FIXED_ASSETS</t>
  </si>
  <si>
    <t>Bank Loans - Noncurrent</t>
  </si>
  <si>
    <t>ARDR_BANK_LOANS_NONCURRENT</t>
  </si>
  <si>
    <t>Inventory - Gross</t>
  </si>
  <si>
    <t>ARDR_INVENTORY_GROSS</t>
  </si>
  <si>
    <t>ARDR_OTHER_RESERVE</t>
  </si>
  <si>
    <t>Trade Receivables-Gross</t>
  </si>
  <si>
    <t>ARDR_TRADE_RECEIVABLES_GROSS</t>
  </si>
  <si>
    <t>Provisions For Liabilities/Charges/Other</t>
  </si>
  <si>
    <t>ARDR_PROV_LIAB_CHARGES_AND_OTHER</t>
  </si>
  <si>
    <t>ARDR_OTHER_FINL_ASSETS_ST</t>
  </si>
  <si>
    <t>ARDR_TRADE_REC_RELATED_PARTIES</t>
  </si>
  <si>
    <t>ARDR_PREPAYMENT_ADVANCE</t>
  </si>
  <si>
    <t>Bonds Payable</t>
  </si>
  <si>
    <t>ARDR_BONDS_PAYABLE</t>
  </si>
  <si>
    <t>Buildings - Net</t>
  </si>
  <si>
    <t>ARDR_BUILDING_NET</t>
  </si>
  <si>
    <t>Cash on Hand</t>
  </si>
  <si>
    <t>ARDR_CASH_ON_HAND</t>
  </si>
  <si>
    <t>Construction In Progress - Net</t>
  </si>
  <si>
    <t>ARDR_CONSTRUCTION_PROGRESS_NET</t>
  </si>
  <si>
    <t>Spares And Consumables</t>
  </si>
  <si>
    <t>ARDR_SPARES_AND_CONSUMABLES</t>
  </si>
  <si>
    <t>Goods In Transit</t>
  </si>
  <si>
    <t>ARDR_GOODS_IN_TRANSIT</t>
  </si>
  <si>
    <t>Provision - Obsolete/Slow Moving Inventory</t>
  </si>
  <si>
    <t>ARDR_PROV_OBSOL_SLOW_MOV_INVEN</t>
  </si>
  <si>
    <t>Land - Net</t>
  </si>
  <si>
    <t>ARDR_LAND_NET</t>
  </si>
  <si>
    <t>ARDR_INTANG_ASSETS_EXCL_GOODWILL</t>
  </si>
  <si>
    <t>Operating Leases Expiring Within 2 &amp; 5 Yrs</t>
  </si>
  <si>
    <t>ARDR_OP_LEASES_EXP_2_TO_5YRS</t>
  </si>
  <si>
    <t>Packaging Material</t>
  </si>
  <si>
    <t>ARDR_PACKAGING_MATERIAL</t>
  </si>
  <si>
    <t>ARDR_ST_PROVISIONS</t>
  </si>
  <si>
    <t>ARDR_TRADE_PAY_RELATED_PARTIES</t>
  </si>
  <si>
    <t>Transportation Equipment - Gross</t>
  </si>
  <si>
    <t>ARDR_TRANSPORTATION_EQUIP_GROSS</t>
  </si>
  <si>
    <t>ARDR_LIVESTOCK_CURRENT</t>
  </si>
  <si>
    <t>Due To Banks (ST)</t>
  </si>
  <si>
    <t>ARDR_DUE_TO_BANKS_ST</t>
  </si>
  <si>
    <t>Total Shareholder Equity Excludes Minority</t>
  </si>
  <si>
    <t>ARDR_TOT_SHARE_EQY_EXCL_MINORITY</t>
  </si>
  <si>
    <t>Debt In Foreign Currency</t>
  </si>
  <si>
    <t>ARDR_DEBT_IN_FOREIGN_CURRENCY</t>
  </si>
  <si>
    <t>Motor Vehicles - Gross</t>
  </si>
  <si>
    <t>ARDR_MOTOR_VEHICLES_GROSS</t>
  </si>
  <si>
    <t>Machinery And Equipment - Net</t>
  </si>
  <si>
    <t>ARDR_MACHINERY_AND_EQUIPMENT_NET</t>
  </si>
  <si>
    <t>Debt Schedule In Yr 1</t>
  </si>
  <si>
    <t>ARDR_DEBT_SCHEDULE_IN_YR1</t>
  </si>
  <si>
    <t>Debt Schedule In Yr 3</t>
  </si>
  <si>
    <t>ARDR_DEBT_SCHEDULE_IN_YR3</t>
  </si>
  <si>
    <t>Debt Schedule In Yr 4</t>
  </si>
  <si>
    <t>ARDR_DEBT_SCHEDULE_IN_YR4</t>
  </si>
  <si>
    <t>Debt Schedule Thereafter</t>
  </si>
  <si>
    <t>ARDR_DEBT_SCHEDULE_THEREAFTER</t>
  </si>
  <si>
    <t>Debt Schedule - Total Debt</t>
  </si>
  <si>
    <t>ARDR_DEBT_SCHEDULE_TOTAL_DEBT</t>
  </si>
  <si>
    <t>Number of Common Shares Repurchased</t>
  </si>
  <si>
    <t>ARDR_COMMON_SHARES_REPURCHASED</t>
  </si>
  <si>
    <t>Capital Lease Year 1</t>
  </si>
  <si>
    <t>ARDR_CAPITAL_LEASE_YEAR_1</t>
  </si>
  <si>
    <t>Capital Lease Beyond Year 5</t>
  </si>
  <si>
    <t>ARDR_CAPITAL_LEASE_BEYOND_YEAR_5</t>
  </si>
  <si>
    <t>Total Capital Lease</t>
  </si>
  <si>
    <t>ARDR_TOTAL_CAPITAL_LEASE</t>
  </si>
  <si>
    <t>Capital Leases - Years 2 - 5</t>
  </si>
  <si>
    <t>ARDR_CAPITAL_LEASE_YR_2_5</t>
  </si>
  <si>
    <t>Work in Progress and Finished Goods</t>
  </si>
  <si>
    <t>ARDR_WIP_AND_FINISHED_GOODS</t>
  </si>
  <si>
    <t>Becle SAB de CV (CUERVO* MM) - Common Size</t>
  </si>
  <si>
    <t>Cash from Operating Activities</t>
  </si>
  <si>
    <t xml:space="preserve">  + Net Income</t>
  </si>
  <si>
    <t>CF_NET_INC</t>
  </si>
  <si>
    <t>CF_DEPR_AMORT</t>
  </si>
  <si>
    <t xml:space="preserve">  + Non-Cash Items</t>
  </si>
  <si>
    <t>NON_CASH_ITEMS_DETAILED</t>
  </si>
  <si>
    <t xml:space="preserve">    + Stock-Based Compensation</t>
  </si>
  <si>
    <t>CF_STOCK_BASED_COMPENSATION</t>
  </si>
  <si>
    <t xml:space="preserve">    + Other Non-Cash Adj</t>
  </si>
  <si>
    <t>OTHER_NON_CASH_ADJ_LESS_DETAILED</t>
  </si>
  <si>
    <t xml:space="preserve">  + Chg in Non-Cash Work Cap</t>
  </si>
  <si>
    <t>CF_CHNG_NON_CASH_WORK_CAP</t>
  </si>
  <si>
    <t xml:space="preserve">    + (Inc) Dec in Accts Receiv</t>
  </si>
  <si>
    <t>CF_ACCT_RCV_UNBILLED_REV</t>
  </si>
  <si>
    <t xml:space="preserve">    + (Inc) Dec in Inventories</t>
  </si>
  <si>
    <t>CF_CHANGE_IN_INVENTORIES</t>
  </si>
  <si>
    <t xml:space="preserve">    + Inc (Dec) in Accts Payable</t>
  </si>
  <si>
    <t>CF_CHANGE_IN_ACCOUNTS_PAYABLE</t>
  </si>
  <si>
    <t xml:space="preserve">    + Inc (Dec) in Other</t>
  </si>
  <si>
    <t>INC_DEC_IN_OT_OP_AST_LIAB_DETAIL</t>
  </si>
  <si>
    <t xml:space="preserve">  + Net Cash From Disc Ops</t>
  </si>
  <si>
    <t>CF_NET_CASH_DISCONT_OPS_OPER</t>
  </si>
  <si>
    <t>Cash from Investing Activities</t>
  </si>
  <si>
    <t xml:space="preserve">  + Change in Fixed &amp; Intang</t>
  </si>
  <si>
    <t>FIXED_INTANG_ASST_CHANGE</t>
  </si>
  <si>
    <t xml:space="preserve">    + Disp in Fixed &amp; Intang</t>
  </si>
  <si>
    <t>DISPOSAL_OF_FIXED_INTANG</t>
  </si>
  <si>
    <t xml:space="preserve">    + Disp of Fixed Prod Assets</t>
  </si>
  <si>
    <t>CF_DISPOSAL_OF_FIXED_PROD_ASSETS</t>
  </si>
  <si>
    <t xml:space="preserve">    + Disp of Intangible Assets</t>
  </si>
  <si>
    <t>CF_DISPOSAL_OF_INTANGIBLE_ASSETS</t>
  </si>
  <si>
    <t xml:space="preserve">    + Acq of Fixed &amp; Intang</t>
  </si>
  <si>
    <t>ACQUIS_OF_FIXED_INTANG</t>
  </si>
  <si>
    <t xml:space="preserve">    + Acq of Fixed Prod Assets</t>
  </si>
  <si>
    <t>CF_PURCHASE_OF_FIXED_PROD_ASSETS</t>
  </si>
  <si>
    <t xml:space="preserve">    + Acq of Intangible Assets</t>
  </si>
  <si>
    <t>CF_ACQUISITION_OF_INTANG_ASSETS</t>
  </si>
  <si>
    <t xml:space="preserve">  + Net Change in LT Investment</t>
  </si>
  <si>
    <t>NET_CHG_IN_LT_INVEST_DETAILED</t>
  </si>
  <si>
    <t xml:space="preserve">    + Dec in LT Investment</t>
  </si>
  <si>
    <t>CF_DECR_INVEST</t>
  </si>
  <si>
    <t xml:space="preserve">    + Inc in LT Investment</t>
  </si>
  <si>
    <t>CF_INCR_INVEST</t>
  </si>
  <si>
    <t xml:space="preserve">  + Net Cash From Acq &amp; Div</t>
  </si>
  <si>
    <t>CF_NT_CSH_RCVD_PD_FOR_ACQUIS_DIV</t>
  </si>
  <si>
    <t xml:space="preserve">    + Cash from Divestitures</t>
  </si>
  <si>
    <t>CF_CASH_FOR_DIVESTITURES</t>
  </si>
  <si>
    <t xml:space="preserve">    + Cash for Acq of Subs</t>
  </si>
  <si>
    <t>CF_CASH_FOR_ACQUIS_SUBSIDIARIES</t>
  </si>
  <si>
    <t xml:space="preserve">    + Cash for JVs</t>
  </si>
  <si>
    <t>CF_CASH_FOR_JOINT_VENTURES_ASSOC</t>
  </si>
  <si>
    <t xml:space="preserve">  + Other Investing Activities</t>
  </si>
  <si>
    <t>OTHER_INVESTING_ACT_DETAILED</t>
  </si>
  <si>
    <t>CF_NET_CASH_DISCONTINUED_OPS_INV</t>
  </si>
  <si>
    <t>Cash from Financing Activities</t>
  </si>
  <si>
    <t xml:space="preserve">  + Dividends Paid</t>
  </si>
  <si>
    <t>CF_DVD_PAID</t>
  </si>
  <si>
    <t xml:space="preserve">  + Cash From (Repayment) Debt</t>
  </si>
  <si>
    <t>PROC_FR_REPAYMNTS_BOR_DETAILED</t>
  </si>
  <si>
    <t xml:space="preserve">    + Cash From (Repay) ST Debt</t>
  </si>
  <si>
    <t>CF_NET_CHG_ST_DEBT_CPTL_LEAS</t>
  </si>
  <si>
    <t xml:space="preserve">    + Cash From LT Debt</t>
  </si>
  <si>
    <t>CF_LT_DEBT_CAP_LEAS_PROCEEDS</t>
  </si>
  <si>
    <t xml:space="preserve">    + Repayments of LT Debt</t>
  </si>
  <si>
    <t>CF_LT_DEBT_CAP_LEAS_PAYMENT</t>
  </si>
  <si>
    <t xml:space="preserve">  + Cash (Repurchase) of Equity</t>
  </si>
  <si>
    <t>PROC_FR_REPURCH_EQTY_DETAILED</t>
  </si>
  <si>
    <t xml:space="preserve">    + Increase in Capital Stock</t>
  </si>
  <si>
    <t>CF_INCR_CAP_STOCK</t>
  </si>
  <si>
    <t xml:space="preserve">    + Decrease in Capital Stock</t>
  </si>
  <si>
    <t>CF_DECR_CAP_STOCK</t>
  </si>
  <si>
    <t xml:space="preserve">  + Other Financing Activities</t>
  </si>
  <si>
    <t>OTHER_FIN_AND_DEC_CAP</t>
  </si>
  <si>
    <t>CF_NET_CASH_DISCONTINUED_OPS_FIN</t>
  </si>
  <si>
    <t>CFF_ACTIVITIES_DETAILED</t>
  </si>
  <si>
    <t xml:space="preserve">  Effect of Foreign Exchange Rates</t>
  </si>
  <si>
    <t>CF_EFFECT_FOREIGN_EXCHANGES</t>
  </si>
  <si>
    <t>Net Changes in Cash</t>
  </si>
  <si>
    <t>CF_NET_CHNG_CASH</t>
  </si>
  <si>
    <t>Cash Paid for Taxes</t>
  </si>
  <si>
    <t>CF_CASH_PAID_FOR_TAX</t>
  </si>
  <si>
    <t>Cash Paid for Interest</t>
  </si>
  <si>
    <t>CF_ACT_CASH_PAID_FOR_INT_DEBT</t>
  </si>
  <si>
    <t>Trailing 12M EBITDA Margin</t>
  </si>
  <si>
    <t>Interest Received</t>
  </si>
  <si>
    <t>CF_INTEREST_RECEIVED</t>
  </si>
  <si>
    <t>Net Cash Paid for Acquisitions</t>
  </si>
  <si>
    <t>CF_NET_CASH_PAID_FOR_AQUIS</t>
  </si>
  <si>
    <t>Free Cash Flow to Firm</t>
  </si>
  <si>
    <t>CF_FREE_CASH_FLOW_FIRM</t>
  </si>
  <si>
    <t>Free Cash Flow to Equity</t>
  </si>
  <si>
    <t>FREE_CASH_FLOW_EQUITY</t>
  </si>
  <si>
    <t>Free Cash Flow per Basic Share</t>
  </si>
  <si>
    <t>FREE_CASH_FLOW_PER_SH</t>
  </si>
  <si>
    <t>Price to Free Cash Flow</t>
  </si>
  <si>
    <t>Cash Flow to Net Income</t>
  </si>
  <si>
    <t>CASH_FLOW_TO_NET_INC</t>
  </si>
  <si>
    <t>Cash Flow</t>
  </si>
  <si>
    <t xml:space="preserve">  Cash From Operating Activities</t>
  </si>
  <si>
    <t>Net Income - CF</t>
  </si>
  <si>
    <t>ARD_NET_INCOME_CF</t>
  </si>
  <si>
    <t>Amortization - CF</t>
  </si>
  <si>
    <t>ARD_AMORTIZATION_CF</t>
  </si>
  <si>
    <t>Depreciation And Amortization - CF</t>
  </si>
  <si>
    <t>ARD_DEPRECIATION_AND_AMORT_CF</t>
  </si>
  <si>
    <t>Disposal/Sale of Assets</t>
  </si>
  <si>
    <t>ARD_DISPOSAL_SALE_OF_ASSETS</t>
  </si>
  <si>
    <t>ARD_STOCK_BASED_COMPENSATION</t>
  </si>
  <si>
    <t>Other Non-Cash Items</t>
  </si>
  <si>
    <t>ARD_OTHER_NON_CASH_ITEMS</t>
  </si>
  <si>
    <t>Change in Inventories</t>
  </si>
  <si>
    <t>ARD_CHANGE_IN_INVENTORIES</t>
  </si>
  <si>
    <t>Change in Accounts Payable</t>
  </si>
  <si>
    <t>ARD_CHANGE_IN_ACCOUNTS_PAYABLE</t>
  </si>
  <si>
    <t>Change in Accounts Receivable</t>
  </si>
  <si>
    <t>ARD_CHG_IN_ACCOUNTS_RECEIVABLE</t>
  </si>
  <si>
    <t>Change in Prepaid Expenses</t>
  </si>
  <si>
    <t>ARD_CHANGE_IN_PREPAID_EXP</t>
  </si>
  <si>
    <t>Change in Income Taxes Payable (Receivable)</t>
  </si>
  <si>
    <t>ARD_CHG_IN_INC_TAX_PAYABLE_REC</t>
  </si>
  <si>
    <t>Change in Other Current Assets</t>
  </si>
  <si>
    <t>ARD_CHANGE_IN_OTHER_CUR_ASSETS</t>
  </si>
  <si>
    <t>Change in Other Current Liabilities</t>
  </si>
  <si>
    <t>ARD_CHG_IN_OTHER_CURRENT_LIAB</t>
  </si>
  <si>
    <t>Equity In Earnings Of Affiliates/JV-CF</t>
  </si>
  <si>
    <t>ARD_EQY_IN_EARN_OF_AFF_JV_CF</t>
  </si>
  <si>
    <t>Impairments</t>
  </si>
  <si>
    <t>ARD_IMPAIRMENTS</t>
  </si>
  <si>
    <t>Pension/Postretirement Benefits</t>
  </si>
  <si>
    <t>ARD_PENSION_POSTRETIREMENT_BEN</t>
  </si>
  <si>
    <t>Cash Paid For Interest</t>
  </si>
  <si>
    <t>ARD_CASH_PAID_FOR_INTEREST</t>
  </si>
  <si>
    <t>Change in Other Assets</t>
  </si>
  <si>
    <t>ARD_CHANGE_IN_OTHER_ASSETS</t>
  </si>
  <si>
    <t>Change In Other Liabilites</t>
  </si>
  <si>
    <t>ARD_CHG_IN_OTHER_LIABILITES</t>
  </si>
  <si>
    <t>Total Cash Flows From Operations</t>
  </si>
  <si>
    <t>ARD_TOT_CASH_FLOWS_FROM_OPS</t>
  </si>
  <si>
    <t>Change in Other Current Assets and Liabilities</t>
  </si>
  <si>
    <t>ARD_CHG_IN_OTH_CUR_ASSETS_LIAB</t>
  </si>
  <si>
    <t>ARD_INTEREST_RECEIVED</t>
  </si>
  <si>
    <t>Foreign Exchange Gains/Losses</t>
  </si>
  <si>
    <t>ARD_FOREIGN_EXCHANGE_GAIN_LOSS</t>
  </si>
  <si>
    <t>Change In Other Provisions</t>
  </si>
  <si>
    <t>ARD_CHANGE_OTHER_PROVISIONS</t>
  </si>
  <si>
    <t>Income Tax Expense</t>
  </si>
  <si>
    <t>ARD_INC_TAX_EXPENSE</t>
  </si>
  <si>
    <t>ARD_INTEREST_EXPENSE</t>
  </si>
  <si>
    <t>Payment Of Other Operational Expenses</t>
  </si>
  <si>
    <t>ARD_PAY_OTHER_OPERATIONAL_EXP</t>
  </si>
  <si>
    <t>Change In Other Receivable</t>
  </si>
  <si>
    <t>ARD_CHANGE_IN_OTHER_RECEIVABLE</t>
  </si>
  <si>
    <t>Increase/Decrease In Payables</t>
  </si>
  <si>
    <t>ARD_INCREASE_DECR_IN_PAYABLES</t>
  </si>
  <si>
    <t>Dividends Received</t>
  </si>
  <si>
    <t>ARD_DIV_RECEIVED</t>
  </si>
  <si>
    <t>Gain/Loss On Disposal Of Affiliates</t>
  </si>
  <si>
    <t>ARD_GAIN_LOSS_DISPOSAL_AFFILIATE</t>
  </si>
  <si>
    <t>Increase/Decrease In Amts Due From Related Co</t>
  </si>
  <si>
    <t>ARD_INCR_DECR_AMTS_FROM_REL_CO</t>
  </si>
  <si>
    <t>Increase/Decrease In Amts Due To Related Co</t>
  </si>
  <si>
    <t>ARD_INCR_DECR_AMTS_TO_RELATED_CO</t>
  </si>
  <si>
    <t>Prepayments And Other Assets</t>
  </si>
  <si>
    <t>ARD_PREPAYMENTS_AND_OTHER_ASSETS</t>
  </si>
  <si>
    <t>Profit Before Taxation And Minority Interest</t>
  </si>
  <si>
    <t>ARD_PROF_BEFORE_TAX_MINORITY_INT</t>
  </si>
  <si>
    <t>Tax Paid</t>
  </si>
  <si>
    <t>ARD_TAX_PAID</t>
  </si>
  <si>
    <t>Tax Refund</t>
  </si>
  <si>
    <t>ARD_TAX_REFUND</t>
  </si>
  <si>
    <t>Finance Costs</t>
  </si>
  <si>
    <t>ARD_FINANCE_COSTS</t>
  </si>
  <si>
    <t>Other Financial Items - CF</t>
  </si>
  <si>
    <t>ARD_OTHER_FINANCIAL_ITEMS_CF</t>
  </si>
  <si>
    <t>Change In Advance Payment</t>
  </si>
  <si>
    <t>ARD_CHANGE_IN_ADVANCE_PAYMENT</t>
  </si>
  <si>
    <t>Change In Deposit Payment</t>
  </si>
  <si>
    <t>ARD_CHANGE_IN_DEPOSIT_PAYMENT</t>
  </si>
  <si>
    <t xml:space="preserve">  Cash From Investing Activities</t>
  </si>
  <si>
    <t>Disposal of Fixed Assets</t>
  </si>
  <si>
    <t>ARD_DISPOSAL_OF_FIXED_ASSETS</t>
  </si>
  <si>
    <t>ARD_CAPITAL_EXPENDITURES</t>
  </si>
  <si>
    <t>Purchases of Investments</t>
  </si>
  <si>
    <t>ARD_PURCHASES_OF_INVESTMENTS</t>
  </si>
  <si>
    <t>Acquisition of Business</t>
  </si>
  <si>
    <t>ARD_ACQUISITION_OF_BUSINESS</t>
  </si>
  <si>
    <t>Other Investing Activities</t>
  </si>
  <si>
    <t>ARD_OTHER_INVESTING_ACTIVITIES</t>
  </si>
  <si>
    <t>Purchase of Intangibles</t>
  </si>
  <si>
    <t>ARD_PURCHASE_OF_INTANGIBLES</t>
  </si>
  <si>
    <t>Sale of Intangibles</t>
  </si>
  <si>
    <t>ARD_SALE_OF_INTANGIBLES</t>
  </si>
  <si>
    <t>Proceeds From Sale Of Assocs/Joint Ventures</t>
  </si>
  <si>
    <t>ARD_PROC_FROM_SALE_OF_ASSOC_JV</t>
  </si>
  <si>
    <t>Purchase Of Associates/Joint Ventures</t>
  </si>
  <si>
    <t>ARD_PURCHASE_ASSOC_JOINT_VENTURE</t>
  </si>
  <si>
    <t>Payment Of Acquisition Of Subsidiary</t>
  </si>
  <si>
    <t>ARD_PAYMENT_OF_ACQ_OF_SUBSIDIARY</t>
  </si>
  <si>
    <t>Acquisition Of Properties/Equipment</t>
  </si>
  <si>
    <t>ARD_ACQ_PROPERTIES_EQUIP</t>
  </si>
  <si>
    <t>Interest Received From Investing Activities</t>
  </si>
  <si>
    <t>ARD_INT_REC_FROM_INVESTING_ACT</t>
  </si>
  <si>
    <t>Total Cash Flows From Investing</t>
  </si>
  <si>
    <t>ARD_TOT_CASHFLOWS_FROM_INVESTING</t>
  </si>
  <si>
    <t xml:space="preserve">  Cash from Financing Activities</t>
  </si>
  <si>
    <t>Dividends Paid</t>
  </si>
  <si>
    <t>ARD_DIVIDEND_PD</t>
  </si>
  <si>
    <t>Decrease In Long-Term Borrowings</t>
  </si>
  <si>
    <t>ARD_DECR_IN_LT_BORROW</t>
  </si>
  <si>
    <t>Issuance of Common Stock</t>
  </si>
  <si>
    <t>ARD_ISSUANCE_OF_COMMON_STOCK</t>
  </si>
  <si>
    <t>Effect of Exchange Rates On Cash</t>
  </si>
  <si>
    <t>ARD_EFF_OF_EXCH_RATES_ON_CASH</t>
  </si>
  <si>
    <t>Other Financing Activities</t>
  </si>
  <si>
    <t>ARD_OTHER_FINANCING_ACTIVITIES</t>
  </si>
  <si>
    <t>Net Change In Cash</t>
  </si>
  <si>
    <t>ARD_NET_CHANGE_IN_CASH</t>
  </si>
  <si>
    <t>Sale of Treasury Stock</t>
  </si>
  <si>
    <t>ARD_SALE_OF_TREASURY_STOCK</t>
  </si>
  <si>
    <t>Purchase of Treasury Stock</t>
  </si>
  <si>
    <t>ARD_PURCHASE_OF_TREASURY_STOCK</t>
  </si>
  <si>
    <t>Cash and Cash Equivalents (End of Period)</t>
  </si>
  <si>
    <t>ARD_CASH_CASH_EQUIV_END_OF_PER</t>
  </si>
  <si>
    <t>Cash and Cash Equivalents (Beg of Period)</t>
  </si>
  <si>
    <t>ARD_CASH_CASH_EQUIV_BEG_OF_PER</t>
  </si>
  <si>
    <t>Decrease In Borrowings</t>
  </si>
  <si>
    <t>ARD_DECREASE_IN_BORROWINGS</t>
  </si>
  <si>
    <t>Increase In Borrowings</t>
  </si>
  <si>
    <t>ARD_INCREASE_IN_BORROWINGS</t>
  </si>
  <si>
    <t>Interest Paid From Financing Activities</t>
  </si>
  <si>
    <t>ARD_INT_PAID_FINANCING_ACTS</t>
  </si>
  <si>
    <t>Total Cash Flows From Financing</t>
  </si>
  <si>
    <t>ARD_TOT_CASHFLOWS_FROM_FINANCING</t>
  </si>
  <si>
    <t>Becle SAB de CV (CUERVO* MM) - Profitability</t>
  </si>
  <si>
    <t>Returns</t>
  </si>
  <si>
    <t>Return on Common Equity</t>
  </si>
  <si>
    <t>RETURN_COM_EQY</t>
  </si>
  <si>
    <t>Return on Assets</t>
  </si>
  <si>
    <t>RETURN_ON_ASSET</t>
  </si>
  <si>
    <t>Return on Capital</t>
  </si>
  <si>
    <t>RETURN_ON_CAP</t>
  </si>
  <si>
    <t>Return on Invested Capital</t>
  </si>
  <si>
    <t>RETURN_ON_INV_CAPITAL</t>
  </si>
  <si>
    <t>Margins</t>
  </si>
  <si>
    <t>EBITDA_TO_REVENUE</t>
  </si>
  <si>
    <t>Incremental Operating Margin</t>
  </si>
  <si>
    <t>INCREMENTAL_OPERATING_MARGIN</t>
  </si>
  <si>
    <t>Pretax Margin</t>
  </si>
  <si>
    <t>PRETAX_INC_TO_NET_SALES</t>
  </si>
  <si>
    <t>Income before XO Margin</t>
  </si>
  <si>
    <t>INC_BEF_XO_ITEMS_TO_NET_SALES</t>
  </si>
  <si>
    <t>Net Income Margin</t>
  </si>
  <si>
    <t>Net Income to Common Margin</t>
  </si>
  <si>
    <t>NET_INCOME_TO_COMMON_MARGIN</t>
  </si>
  <si>
    <t>Additional</t>
  </si>
  <si>
    <t>Effective Tax Rate</t>
  </si>
  <si>
    <t>EFF_TAX_RATE</t>
  </si>
  <si>
    <t>Dvd Payout Ratio</t>
  </si>
  <si>
    <t>DVD_PAYOUT_RATIO</t>
  </si>
  <si>
    <t>Sustainable Growth Rate</t>
  </si>
  <si>
    <t>SUSTAIN_GROWTH_RT</t>
  </si>
  <si>
    <t>Becle SAB de CV (CUERVO* MM) - By Measure</t>
  </si>
  <si>
    <t xml:space="preserve">  Tequilas</t>
  </si>
  <si>
    <t xml:space="preserve">    Other Tequilas</t>
  </si>
  <si>
    <t xml:space="preserve">    Jose Cuervo</t>
  </si>
  <si>
    <t xml:space="preserve">    1800 Tequila</t>
  </si>
  <si>
    <t xml:space="preserve">  Portafolio Non Tequila</t>
  </si>
  <si>
    <t xml:space="preserve">    Other Alcoholic Beverages</t>
  </si>
  <si>
    <t xml:space="preserve">    Bushmills</t>
  </si>
  <si>
    <t xml:space="preserve">    Kraken</t>
  </si>
  <si>
    <t xml:space="preserve">  Ready to Serve Drinks (RTD)</t>
  </si>
  <si>
    <t xml:space="preserve">  Non-Alcoholic Beverages</t>
  </si>
  <si>
    <t xml:space="preserve">  Other</t>
  </si>
  <si>
    <t xml:space="preserve">  Other Beverages</t>
  </si>
  <si>
    <t>Revenue Growth %</t>
  </si>
  <si>
    <t xml:space="preserve">  Other Tequilas</t>
  </si>
  <si>
    <t xml:space="preserve">  Jose Cuervo</t>
  </si>
  <si>
    <t xml:space="preserve">  1800 Tequila</t>
  </si>
  <si>
    <t>Number of Units Sold</t>
  </si>
  <si>
    <t>Sales Change - Other %</t>
  </si>
  <si>
    <t>Volume &amp; Mix Change (%)</t>
  </si>
  <si>
    <t xml:space="preserve">  Kraken</t>
  </si>
  <si>
    <t xml:space="preserve">  Bushmills</t>
  </si>
  <si>
    <t>% of Sales Volume</t>
  </si>
  <si>
    <t>Becle SAB de CV (CUERVO* MM) - By Geography</t>
  </si>
  <si>
    <t xml:space="preserve">  United States &amp; Canada</t>
  </si>
  <si>
    <t xml:space="preserve">  Mexico</t>
  </si>
  <si>
    <t xml:space="preserve">  Rest of the World</t>
  </si>
  <si>
    <t>Cost of Revenue</t>
  </si>
  <si>
    <t>Segment Profit</t>
  </si>
  <si>
    <t>Assets</t>
  </si>
  <si>
    <t>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</si>
</sst>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#,##0.0"/>
    <numFmt numFmtId="173" formatCode="0.0%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81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6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3" fontId="1" fillId="34" borderId="2">
      <alignment horizontal="right"/>
    </xf>
    <xf numFmtId="172" fontId="1" fillId="34" borderId="2">
      <alignment horizontal="right"/>
    </xf>
    <xf numFmtId="4" fontId="1" fillId="34" borderId="2">
      <alignment horizontal="right"/>
    </xf>
    <xf numFmtId="3" fontId="1" fillId="35" borderId="2">
      <alignment horizontal="right"/>
    </xf>
    <xf numFmtId="172" fontId="1" fillId="35" borderId="2">
      <alignment horizontal="right"/>
    </xf>
    <xf numFmtId="4" fontId="1" fillId="35" borderId="2">
      <alignment horizontal="right"/>
    </xf>
    <xf numFmtId="3" fontId="8" fillId="34" borderId="2">
      <alignment horizontal="right"/>
    </xf>
    <xf numFmtId="172" fontId="8" fillId="34" borderId="2">
      <alignment horizontal="right"/>
    </xf>
    <xf numFmtId="4" fontId="8" fillId="34" borderId="2">
      <alignment horizontal="right"/>
    </xf>
    <xf numFmtId="3" fontId="8" fillId="35" borderId="2">
      <alignment horizontal="right"/>
    </xf>
    <xf numFmtId="172" fontId="8" fillId="35" borderId="2">
      <alignment horizontal="right"/>
    </xf>
    <xf numFmtId="4" fontId="8" fillId="35" borderId="2">
      <alignment horizontal="right"/>
    </xf>
    <xf numFmtId="3" fontId="11" fillId="34" borderId="2">
      <alignment horizontal="right"/>
    </xf>
    <xf numFmtId="172" fontId="11" fillId="34" borderId="2">
      <alignment horizontal="right"/>
    </xf>
    <xf numFmtId="4" fontId="11" fillId="34" borderId="2">
      <alignment horizontal="right"/>
    </xf>
    <xf numFmtId="3" fontId="11" fillId="35" borderId="2">
      <alignment horizontal="right"/>
    </xf>
    <xf numFmtId="172" fontId="11" fillId="35" borderId="2">
      <alignment horizontal="right"/>
    </xf>
    <xf numFmtId="4" fontId="11" fillId="35" borderId="2">
      <alignment horizontal="right"/>
    </xf>
    <xf numFmtId="0" fontId="7" fillId="33" borderId="16">
      <alignment horizontal="centerContinuous"/>
    </xf>
    <xf numFmtId="0" fontId="7" fillId="33" borderId="17">
      <alignment horizontal="centerContinuous"/>
    </xf>
    <xf numFmtId="172" fontId="1" fillId="34" borderId="18">
      <alignment horizontal="right"/>
    </xf>
    <xf numFmtId="173" fontId="1" fillId="34" borderId="19">
      <alignment horizontal="right"/>
    </xf>
    <xf numFmtId="4" fontId="1" fillId="34" borderId="18">
      <alignment horizontal="right"/>
    </xf>
    <xf numFmtId="10" fontId="1" fillId="34" borderId="19">
      <alignment horizontal="right"/>
    </xf>
    <xf numFmtId="172" fontId="8" fillId="34" borderId="18">
      <alignment horizontal="right"/>
    </xf>
    <xf numFmtId="173" fontId="8" fillId="34" borderId="19">
      <alignment horizontal="right"/>
    </xf>
    <xf numFmtId="4" fontId="8" fillId="34" borderId="18">
      <alignment horizontal="right"/>
    </xf>
    <xf numFmtId="10" fontId="8" fillId="34" borderId="19">
      <alignment horizontal="right"/>
    </xf>
  </cellStyleXfs>
  <cellXfs count="40">
    <xf numFmtId="0" fontId="0" fillId="0" borderId="0" xfId="0"/>
    <xf numFmtId="0" fontId="2" fillId="33" borderId="0" xfId="26"/>
    <xf numFmtId="0" fontId="6" fillId="34" borderId="0" xfId="31">
      <alignment horizontal="center"/>
    </xf>
    <xf numFmtId="0" fontId="7" fillId="33" borderId="3" xfId="33">
      <alignment horizontal="left"/>
    </xf>
    <xf numFmtId="0" fontId="7" fillId="33" borderId="3" xfId="32">
      <alignment horizontal="right"/>
    </xf>
    <xf numFmtId="0" fontId="7" fillId="33" borderId="1" xfId="30">
      <alignment horizontal="right"/>
    </xf>
    <xf numFmtId="0" fontId="8" fillId="34" borderId="5" xfId="35"/>
    <xf numFmtId="0" fontId="11" fillId="36" borderId="4" xfId="34"/>
    <xf numFmtId="0" fontId="5" fillId="33" borderId="15" xfId="51">
      <alignment horizontal="left" vertical="center" readingOrder="1"/>
    </xf>
    <xf numFmtId="0" fontId="7" fillId="33" borderId="1" xfId="52">
      <alignment horizontal="left"/>
    </xf>
    <xf numFmtId="0" fontId="3" fillId="34" borderId="5" xfId="37" applyFont="1"/>
    <xf numFmtId="0" fontId="4" fillId="34" borderId="5" xfId="36" applyFont="1"/>
    <xf numFmtId="3" fontId="1" fillId="34" borderId="2" xfId="53">
      <alignment horizontal="right"/>
    </xf>
    <xf numFmtId="172" fontId="1" fillId="34" borderId="2" xfId="54">
      <alignment horizontal="right"/>
    </xf>
    <xf numFmtId="4" fontId="1" fillId="34" borderId="2" xfId="55">
      <alignment horizontal="right"/>
    </xf>
    <xf numFmtId="3" fontId="1" fillId="35" borderId="2" xfId="56">
      <alignment horizontal="right"/>
    </xf>
    <xf numFmtId="172" fontId="1" fillId="35" borderId="2" xfId="57">
      <alignment horizontal="right"/>
    </xf>
    <xf numFmtId="4" fontId="1" fillId="35" borderId="2" xfId="58">
      <alignment horizontal="right"/>
    </xf>
    <xf numFmtId="3" fontId="8" fillId="34" borderId="2" xfId="59">
      <alignment horizontal="right"/>
    </xf>
    <xf numFmtId="172" fontId="8" fillId="34" borderId="2" xfId="60">
      <alignment horizontal="right"/>
    </xf>
    <xf numFmtId="4" fontId="8" fillId="34" borderId="2" xfId="61">
      <alignment horizontal="right"/>
    </xf>
    <xf numFmtId="3" fontId="8" fillId="35" borderId="2" xfId="62">
      <alignment horizontal="right"/>
    </xf>
    <xf numFmtId="172" fontId="8" fillId="35" borderId="2" xfId="63">
      <alignment horizontal="right"/>
    </xf>
    <xf numFmtId="4" fontId="8" fillId="35" borderId="2" xfId="64">
      <alignment horizontal="right"/>
    </xf>
    <xf numFmtId="3" fontId="11" fillId="34" borderId="2" xfId="65">
      <alignment horizontal="right"/>
    </xf>
    <xf numFmtId="172" fontId="11" fillId="34" borderId="2" xfId="66">
      <alignment horizontal="right"/>
    </xf>
    <xf numFmtId="4" fontId="11" fillId="34" borderId="2" xfId="67">
      <alignment horizontal="right"/>
    </xf>
    <xf numFmtId="3" fontId="11" fillId="35" borderId="2" xfId="68">
      <alignment horizontal="right"/>
    </xf>
    <xf numFmtId="172" fontId="11" fillId="35" borderId="2" xfId="69">
      <alignment horizontal="right"/>
    </xf>
    <xf numFmtId="4" fontId="11" fillId="35" borderId="2" xfId="70">
      <alignment horizontal="right"/>
    </xf>
    <xf numFmtId="0" fontId="7" fillId="33" borderId="16" xfId="71">
      <alignment horizontal="centerContinuous"/>
    </xf>
    <xf numFmtId="0" fontId="7" fillId="33" borderId="17" xfId="72">
      <alignment horizontal="centerContinuous"/>
    </xf>
    <xf numFmtId="172" fontId="1" fillId="34" borderId="18" xfId="73">
      <alignment horizontal="right"/>
    </xf>
    <xf numFmtId="173" fontId="1" fillId="34" borderId="19" xfId="74">
      <alignment horizontal="right"/>
    </xf>
    <xf numFmtId="4" fontId="1" fillId="34" borderId="18" xfId="75">
      <alignment horizontal="right"/>
    </xf>
    <xf numFmtId="10" fontId="1" fillId="34" borderId="19" xfId="76">
      <alignment horizontal="right"/>
    </xf>
    <xf numFmtId="172" fontId="8" fillId="34" borderId="18" xfId="77">
      <alignment horizontal="right"/>
    </xf>
    <xf numFmtId="173" fontId="8" fillId="34" borderId="19" xfId="78">
      <alignment horizontal="right"/>
    </xf>
    <xf numFmtId="4" fontId="8" fillId="34" borderId="18" xfId="79">
      <alignment horizontal="right"/>
    </xf>
    <xf numFmtId="10" fontId="8" fillId="34" borderId="19" xfId="80">
      <alignment horizontal="right"/>
    </xf>
  </cellXfs>
  <cellStyles count="81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lp_column_header" xfId="26" xr:uid="{00000000-0005-0000-0000-000019000000}"/>
    <cellStyle name="blp_title_header_row_left" xfId="51" xr:uid="{00000000-0005-0000-0000-00001A000000}"/>
    <cellStyle name="Bueno" xfId="38" builtinId="26" customBuiltin="1"/>
    <cellStyle name="Cálculo" xfId="27" builtinId="22" customBuiltin="1"/>
    <cellStyle name="Celda de comprobación" xfId="28" builtinId="23" customBuiltin="1"/>
    <cellStyle name="Celda vinculada" xfId="44" builtinId="24" customBuiltin="1"/>
    <cellStyle name="Encabezado 1" xfId="39" builtinId="16" customBuiltin="1"/>
    <cellStyle name="Encabezado 4" xfId="42" builtinId="19" customBuiltin="1"/>
    <cellStyle name="Énfasis1" xfId="19" builtinId="29" customBuiltin="1"/>
    <cellStyle name="Énfasis2" xfId="20" builtinId="33" customBuiltin="1"/>
    <cellStyle name="Énfasis3" xfId="21" builtinId="37" customBuiltin="1"/>
    <cellStyle name="Énfasis4" xfId="22" builtinId="41" customBuiltin="1"/>
    <cellStyle name="Énfasis5" xfId="23" builtinId="45" customBuiltin="1"/>
    <cellStyle name="Énfasis6" xfId="24" builtinId="49" customBuiltin="1"/>
    <cellStyle name="Entrada" xfId="43" builtinId="20" customBuiltin="1"/>
    <cellStyle name="fa_column_header_bottom" xfId="30" xr:uid="{00000000-0005-0000-0000-00001E000000}"/>
    <cellStyle name="fa_column_header_bottom_centered" xfId="72" xr:uid="{00000000-0005-0000-0000-00001F000000}"/>
    <cellStyle name="fa_column_header_bottom_left" xfId="52" xr:uid="{00000000-0005-0000-0000-000020000000}"/>
    <cellStyle name="fa_column_header_empty" xfId="31" xr:uid="{00000000-0005-0000-0000-000021000000}"/>
    <cellStyle name="fa_column_header_top" xfId="32" xr:uid="{00000000-0005-0000-0000-000022000000}"/>
    <cellStyle name="fa_column_header_top_centered" xfId="71" xr:uid="{00000000-0005-0000-0000-000023000000}"/>
    <cellStyle name="fa_column_header_top_left" xfId="33" xr:uid="{00000000-0005-0000-0000-000024000000}"/>
    <cellStyle name="fa_data_bold_0_grouped" xfId="59" xr:uid="{00000000-0005-0000-0000-000025000000}"/>
    <cellStyle name="fa_data_bold_1_grouped" xfId="60" xr:uid="{00000000-0005-0000-0000-000026000000}"/>
    <cellStyle name="fa_data_bold_1_grouped_single_border" xfId="77" xr:uid="{00000000-0005-0000-0000-000027000000}"/>
    <cellStyle name="fa_data_bold_1_percent_single_border" xfId="78" xr:uid="{00000000-0005-0000-0000-000028000000}"/>
    <cellStyle name="fa_data_bold_2_grouped" xfId="61" xr:uid="{00000000-0005-0000-0000-000029000000}"/>
    <cellStyle name="fa_data_bold_2_grouped_single_border" xfId="79" xr:uid="{00000000-0005-0000-0000-00002A000000}"/>
    <cellStyle name="fa_data_bold_2_percent_single_border" xfId="80" xr:uid="{00000000-0005-0000-0000-00002B000000}"/>
    <cellStyle name="fa_data_current_bold_0_grouped" xfId="62" xr:uid="{00000000-0005-0000-0000-00002C000000}"/>
    <cellStyle name="fa_data_current_bold_1_grouped" xfId="63" xr:uid="{00000000-0005-0000-0000-00002D000000}"/>
    <cellStyle name="fa_data_current_bold_2_grouped" xfId="64" xr:uid="{00000000-0005-0000-0000-00002E000000}"/>
    <cellStyle name="fa_data_current_italic_0_grouped" xfId="68" xr:uid="{00000000-0005-0000-0000-00002F000000}"/>
    <cellStyle name="fa_data_current_italic_1_grouped" xfId="69" xr:uid="{00000000-0005-0000-0000-000030000000}"/>
    <cellStyle name="fa_data_current_italic_2_grouped" xfId="70" xr:uid="{00000000-0005-0000-0000-000031000000}"/>
    <cellStyle name="fa_data_current_standard_0_grouped" xfId="56" xr:uid="{00000000-0005-0000-0000-000032000000}"/>
    <cellStyle name="fa_data_current_standard_1_grouped" xfId="57" xr:uid="{00000000-0005-0000-0000-000033000000}"/>
    <cellStyle name="fa_data_current_standard_2_grouped" xfId="58" xr:uid="{00000000-0005-0000-0000-000034000000}"/>
    <cellStyle name="fa_data_italic_0_grouped" xfId="65" xr:uid="{00000000-0005-0000-0000-000035000000}"/>
    <cellStyle name="fa_data_italic_1_grouped" xfId="66" xr:uid="{00000000-0005-0000-0000-000036000000}"/>
    <cellStyle name="fa_data_italic_2_grouped" xfId="67" xr:uid="{00000000-0005-0000-0000-000037000000}"/>
    <cellStyle name="fa_data_standard_0_grouped" xfId="53" xr:uid="{00000000-0005-0000-0000-000038000000}"/>
    <cellStyle name="fa_data_standard_1_grouped" xfId="54" xr:uid="{00000000-0005-0000-0000-000039000000}"/>
    <cellStyle name="fa_data_standard_1_grouped_single_border" xfId="73" xr:uid="{00000000-0005-0000-0000-00003A000000}"/>
    <cellStyle name="fa_data_standard_1_percent_single_border" xfId="74" xr:uid="{00000000-0005-0000-0000-00003B000000}"/>
    <cellStyle name="fa_data_standard_2_grouped" xfId="55" xr:uid="{00000000-0005-0000-0000-00003C000000}"/>
    <cellStyle name="fa_data_standard_2_grouped_single_border" xfId="75" xr:uid="{00000000-0005-0000-0000-00003D000000}"/>
    <cellStyle name="fa_data_standard_2_percent_single_border" xfId="76" xr:uid="{00000000-0005-0000-0000-00003E000000}"/>
    <cellStyle name="fa_footer_italic" xfId="34" xr:uid="{00000000-0005-0000-0000-00003F000000}"/>
    <cellStyle name="fa_row_header_bold" xfId="35" xr:uid="{00000000-0005-0000-0000-000040000000}"/>
    <cellStyle name="fa_row_header_italic" xfId="36" xr:uid="{00000000-0005-0000-0000-000041000000}"/>
    <cellStyle name="fa_row_header_standard" xfId="37" xr:uid="{00000000-0005-0000-0000-000042000000}"/>
    <cellStyle name="Incorrecto" xfId="25" builtinId="27" customBuiltin="1"/>
    <cellStyle name="Neutral" xfId="45" builtinId="28" customBuiltin="1"/>
    <cellStyle name="Normal" xfId="0" builtinId="0"/>
    <cellStyle name="Notas" xfId="46" builtinId="10" customBuiltin="1"/>
    <cellStyle name="Salida" xfId="47" builtinId="21" customBuiltin="1"/>
    <cellStyle name="Texto de advertencia" xfId="50" builtinId="11" customBuiltin="1"/>
    <cellStyle name="Texto explicativo" xfId="29" builtinId="53" customBuiltin="1"/>
    <cellStyle name="Título" xfId="48" builtinId="15" customBuiltin="1"/>
    <cellStyle name="Título 2" xfId="40" builtinId="17" customBuiltin="1"/>
    <cellStyle name="Título 3" xfId="41" builtinId="18" customBuiltin="1"/>
    <cellStyle name="Total" xfId="4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BDH|14068704277176129828</stp>
        <tr r="H6" s="13"/>
      </tp>
      <tp t="s">
        <v>#N/A N/A</v>
        <stp/>
        <stp>BDH|15878711129029330657</stp>
        <tr r="E6" s="13"/>
      </tp>
      <tp t="s">
        <v>#N/A N/A</v>
        <stp/>
        <stp>BDH|12553569869443044006</stp>
        <tr r="F6" s="13"/>
      </tp>
      <tp t="s">
        <v>#N/A N/A</v>
        <stp/>
        <stp>BDH|17544341532206479263</stp>
        <tr r="D6" s="13"/>
      </tp>
      <tp t="s">
        <v>#N/A N/A</v>
        <stp/>
        <stp>BDH|17789730473185988138</stp>
        <tr r="J6" s="13"/>
      </tp>
      <tp t="s">
        <v>#N/A N/A</v>
        <stp/>
        <stp>BDH|12469192929053149184</stp>
        <tr r="N6" s="13"/>
      </tp>
      <tp t="s">
        <v>#N/A N/A</v>
        <stp/>
        <stp>BDH|17944494315761369267</stp>
        <tr r="O6" s="13"/>
      </tp>
      <tp t="s">
        <v>#N/A N/A</v>
        <stp/>
        <stp>BDH|15005751606415925227</stp>
        <tr r="G6" s="13"/>
      </tp>
    </main>
    <main first="bofaddin.rtdserver">
      <tp t="s">
        <v>#N/A N/A</v>
        <stp/>
        <stp>BDH|9786173734651950731</stp>
        <tr r="C6" s="13"/>
      </tp>
      <tp t="s">
        <v>#N/A N/A</v>
        <stp/>
        <stp>BDH|9399463395569403389</stp>
        <tr r="M6" s="13"/>
      </tp>
    </main>
    <main first="bofaddin.rtdserver">
      <tp t="s">
        <v>#N/A N/A</v>
        <stp/>
        <stp>BDH|8315103009018933824</stp>
        <tr r="K6" s="13"/>
      </tp>
      <tp t="s">
        <v>#N/A N/A</v>
        <stp/>
        <stp>BDH|8435743457985567433</stp>
        <tr r="L6" s="13"/>
      </tp>
      <tp t="s">
        <v>#N/A N/A</v>
        <stp/>
        <stp>BDH|7338426111230417651</stp>
        <tr r="I6" s="13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volatileDependencies" Target="volatileDependencies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workbookViewId="0">
      <selection activeCell="D20" sqref="D20"/>
    </sheetView>
  </sheetViews>
  <sheetFormatPr baseColWidth="10" defaultRowHeight="15" x14ac:dyDescent="0.25"/>
  <cols>
    <col min="1" max="1" width="23.5703125" customWidth="1"/>
    <col min="2" max="2" width="0" hidden="1" customWidth="1"/>
    <col min="3" max="16" width="11.855468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0.25" x14ac:dyDescent="0.25">
      <c r="A2" s="8" t="s">
        <v>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25">
      <c r="A4" s="3" t="s">
        <v>6</v>
      </c>
      <c r="B4" s="3"/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20</v>
      </c>
    </row>
    <row r="5" spans="1:16" x14ac:dyDescent="0.25">
      <c r="A5" s="9" t="s">
        <v>21</v>
      </c>
      <c r="B5" s="9"/>
      <c r="C5" s="5" t="s">
        <v>22</v>
      </c>
      <c r="D5" s="5" t="s">
        <v>23</v>
      </c>
      <c r="E5" s="5" t="s">
        <v>24</v>
      </c>
      <c r="F5" s="5" t="s">
        <v>25</v>
      </c>
      <c r="G5" s="5" t="s">
        <v>26</v>
      </c>
      <c r="H5" s="5" t="s">
        <v>27</v>
      </c>
      <c r="I5" s="5" t="s">
        <v>28</v>
      </c>
      <c r="J5" s="5" t="s">
        <v>29</v>
      </c>
      <c r="K5" s="5" t="s">
        <v>30</v>
      </c>
      <c r="L5" s="5" t="s">
        <v>31</v>
      </c>
      <c r="M5" s="5" t="s">
        <v>32</v>
      </c>
      <c r="N5" s="5" t="s">
        <v>33</v>
      </c>
      <c r="O5" s="5" t="s">
        <v>34</v>
      </c>
      <c r="P5" s="5" t="s">
        <v>34</v>
      </c>
    </row>
    <row r="6" spans="1:16" x14ac:dyDescent="0.25">
      <c r="A6" s="6" t="s">
        <v>35</v>
      </c>
      <c r="B6" s="6" t="s">
        <v>36</v>
      </c>
      <c r="C6" s="19" t="s">
        <v>198</v>
      </c>
      <c r="D6" s="19" t="s">
        <v>198</v>
      </c>
      <c r="E6" s="19" t="s">
        <v>198</v>
      </c>
      <c r="F6" s="19" t="s">
        <v>198</v>
      </c>
      <c r="G6" s="19">
        <v>113109.2635</v>
      </c>
      <c r="H6" s="19">
        <v>94087.2353</v>
      </c>
      <c r="I6" s="19">
        <v>126158.5248</v>
      </c>
      <c r="J6" s="19">
        <v>179343.34450000001</v>
      </c>
      <c r="K6" s="19">
        <v>184442.81479999999</v>
      </c>
      <c r="L6" s="19">
        <v>152158.13990000001</v>
      </c>
      <c r="M6" s="19">
        <v>119478.43550000001</v>
      </c>
      <c r="N6" s="19">
        <v>84141.260699999999</v>
      </c>
      <c r="O6" s="19">
        <v>74337.349400000006</v>
      </c>
      <c r="P6" s="22">
        <v>53616.262173930001</v>
      </c>
    </row>
    <row r="7" spans="1:16" x14ac:dyDescent="0.25">
      <c r="A7" s="10" t="s">
        <v>37</v>
      </c>
      <c r="B7" s="10" t="s">
        <v>38</v>
      </c>
      <c r="C7" s="13">
        <v>2371.5880000000002</v>
      </c>
      <c r="D7" s="13">
        <v>4157.8609999999999</v>
      </c>
      <c r="E7" s="13">
        <v>4139.3819999999996</v>
      </c>
      <c r="F7" s="13">
        <v>5128.1369999999997</v>
      </c>
      <c r="G7" s="13">
        <v>19995.891</v>
      </c>
      <c r="H7" s="13">
        <v>12027.931</v>
      </c>
      <c r="I7" s="13">
        <v>9628.1689999999999</v>
      </c>
      <c r="J7" s="13">
        <v>7950.0569999999998</v>
      </c>
      <c r="K7" s="13">
        <v>12791.282999999999</v>
      </c>
      <c r="L7" s="13">
        <v>4520.8389999999999</v>
      </c>
      <c r="M7" s="13">
        <v>6366.67</v>
      </c>
      <c r="N7" s="13">
        <v>10684.509</v>
      </c>
      <c r="O7" s="13">
        <v>11112.87</v>
      </c>
      <c r="P7" s="16">
        <v>11112.87</v>
      </c>
    </row>
    <row r="8" spans="1:16" x14ac:dyDescent="0.25">
      <c r="A8" s="10" t="s">
        <v>39</v>
      </c>
      <c r="B8" s="10" t="s">
        <v>40</v>
      </c>
      <c r="C8" s="13">
        <v>25.946999999999999</v>
      </c>
      <c r="D8" s="13">
        <v>28.533999999999999</v>
      </c>
      <c r="E8" s="13">
        <v>0</v>
      </c>
      <c r="F8" s="13">
        <v>29.966000000000001</v>
      </c>
      <c r="G8" s="13">
        <v>54.078000000000003</v>
      </c>
      <c r="H8" s="13">
        <v>66.789000000000001</v>
      </c>
      <c r="I8" s="13">
        <v>72.62</v>
      </c>
      <c r="J8" s="13">
        <v>78.644000000000005</v>
      </c>
      <c r="K8" s="13">
        <v>92.775000000000006</v>
      </c>
      <c r="L8" s="13">
        <v>117.44199999999999</v>
      </c>
      <c r="M8" s="13">
        <v>135.42599999999999</v>
      </c>
      <c r="N8" s="13">
        <v>72.031000000000006</v>
      </c>
      <c r="O8" s="13">
        <v>69.44</v>
      </c>
      <c r="P8" s="16">
        <v>69.44</v>
      </c>
    </row>
    <row r="9" spans="1:16" x14ac:dyDescent="0.25">
      <c r="A9" s="10" t="s">
        <v>41</v>
      </c>
      <c r="B9" s="10" t="s">
        <v>42</v>
      </c>
      <c r="C9" s="13">
        <v>995.875</v>
      </c>
      <c r="D9" s="13">
        <v>1039.171</v>
      </c>
      <c r="E9" s="13">
        <v>8535.92</v>
      </c>
      <c r="F9" s="13">
        <v>10259.984</v>
      </c>
      <c r="G9" s="13">
        <v>9828.8340000000007</v>
      </c>
      <c r="H9" s="13">
        <v>9793.1959999999999</v>
      </c>
      <c r="I9" s="13">
        <v>11539.191999999999</v>
      </c>
      <c r="J9" s="13">
        <v>12417.049000000001</v>
      </c>
      <c r="K9" s="13">
        <v>21225.69</v>
      </c>
      <c r="L9" s="13">
        <v>20638.162</v>
      </c>
      <c r="M9" s="13">
        <v>18607.395</v>
      </c>
      <c r="N9" s="13">
        <v>29017.557000000001</v>
      </c>
      <c r="O9" s="13">
        <v>20830.312999999998</v>
      </c>
      <c r="P9" s="16">
        <v>20830.312999999998</v>
      </c>
    </row>
    <row r="10" spans="1:16" x14ac:dyDescent="0.25">
      <c r="A10" s="6" t="s">
        <v>43</v>
      </c>
      <c r="B10" s="6" t="s">
        <v>44</v>
      </c>
      <c r="C10" s="19" t="s">
        <v>198</v>
      </c>
      <c r="D10" s="19" t="s">
        <v>198</v>
      </c>
      <c r="E10" s="19" t="s">
        <v>198</v>
      </c>
      <c r="F10" s="19" t="s">
        <v>198</v>
      </c>
      <c r="G10" s="19">
        <v>102996.28449999999</v>
      </c>
      <c r="H10" s="19">
        <v>91919.289300000004</v>
      </c>
      <c r="I10" s="19">
        <v>128142.1678</v>
      </c>
      <c r="J10" s="19">
        <v>183888.98050000001</v>
      </c>
      <c r="K10" s="19">
        <v>192969.99679999999</v>
      </c>
      <c r="L10" s="19">
        <v>168392.90489999999</v>
      </c>
      <c r="M10" s="19">
        <v>131854.5865</v>
      </c>
      <c r="N10" s="19">
        <v>102546.3397</v>
      </c>
      <c r="O10" s="19">
        <v>84124.232399999994</v>
      </c>
      <c r="P10" s="22">
        <v>63403.145173930003</v>
      </c>
    </row>
    <row r="11" spans="1:16" x14ac:dyDescent="0.25">
      <c r="A11" s="6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21"/>
    </row>
    <row r="12" spans="1:16" x14ac:dyDescent="0.25">
      <c r="A12" s="6" t="s">
        <v>45</v>
      </c>
      <c r="B12" s="6" t="s">
        <v>46</v>
      </c>
      <c r="C12" s="19">
        <v>12304.984</v>
      </c>
      <c r="D12" s="19">
        <v>15313.797</v>
      </c>
      <c r="E12" s="19">
        <v>18474.841</v>
      </c>
      <c r="F12" s="19">
        <v>24396.212</v>
      </c>
      <c r="G12" s="19">
        <v>25957.941999999999</v>
      </c>
      <c r="H12" s="19">
        <v>28158.21</v>
      </c>
      <c r="I12" s="19">
        <v>29704.780999999999</v>
      </c>
      <c r="J12" s="19">
        <v>35036.139000000003</v>
      </c>
      <c r="K12" s="19">
        <v>39419.4</v>
      </c>
      <c r="L12" s="19">
        <v>45729.491999999998</v>
      </c>
      <c r="M12" s="19">
        <v>44354.593999999997</v>
      </c>
      <c r="N12" s="19">
        <v>43961.508000000002</v>
      </c>
      <c r="O12" s="19">
        <v>43087.368999999999</v>
      </c>
      <c r="P12" s="22">
        <v>43087.368999999999</v>
      </c>
    </row>
    <row r="13" spans="1:16" x14ac:dyDescent="0.25">
      <c r="A13" s="11" t="s">
        <v>47</v>
      </c>
      <c r="B13" s="11" t="s">
        <v>48</v>
      </c>
      <c r="C13" s="25" t="s">
        <v>198</v>
      </c>
      <c r="D13" s="25">
        <v>24.452000000000002</v>
      </c>
      <c r="E13" s="25">
        <v>20.6418</v>
      </c>
      <c r="F13" s="25">
        <v>32.051000000000002</v>
      </c>
      <c r="G13" s="25">
        <v>6.4015000000000004</v>
      </c>
      <c r="H13" s="25">
        <v>8.4763000000000002</v>
      </c>
      <c r="I13" s="25">
        <v>5.4923999999999999</v>
      </c>
      <c r="J13" s="25">
        <v>17.947800000000001</v>
      </c>
      <c r="K13" s="25">
        <v>12.5107</v>
      </c>
      <c r="L13" s="25">
        <v>16.0076</v>
      </c>
      <c r="M13" s="25">
        <v>-3.0066000000000002</v>
      </c>
      <c r="N13" s="25">
        <v>-0.88619999999999999</v>
      </c>
      <c r="O13" s="25">
        <v>-1.9883999999999999</v>
      </c>
      <c r="P13" s="28">
        <v>-1.9884190505931001</v>
      </c>
    </row>
    <row r="14" spans="1:16" x14ac:dyDescent="0.25">
      <c r="A14" s="6" t="s">
        <v>49</v>
      </c>
      <c r="B14" s="6" t="s">
        <v>50</v>
      </c>
      <c r="C14" s="19">
        <v>7000.4170000000004</v>
      </c>
      <c r="D14" s="19">
        <v>9076.8469999999998</v>
      </c>
      <c r="E14" s="19">
        <v>11250.588</v>
      </c>
      <c r="F14" s="19">
        <v>14460.415999999999</v>
      </c>
      <c r="G14" s="19">
        <v>16121.267</v>
      </c>
      <c r="H14" s="19">
        <v>16183.304</v>
      </c>
      <c r="I14" s="19">
        <v>15665.634</v>
      </c>
      <c r="J14" s="19">
        <v>18246.025000000001</v>
      </c>
      <c r="K14" s="19">
        <v>21274.179</v>
      </c>
      <c r="L14" s="19">
        <v>25087.186000000002</v>
      </c>
      <c r="M14" s="19">
        <v>22480.114000000001</v>
      </c>
      <c r="N14" s="19">
        <v>23511.51</v>
      </c>
      <c r="O14" s="19">
        <v>24113.089</v>
      </c>
      <c r="P14" s="22">
        <v>24113.089</v>
      </c>
    </row>
    <row r="15" spans="1:16" x14ac:dyDescent="0.25">
      <c r="A15" s="11" t="s">
        <v>51</v>
      </c>
      <c r="B15" s="11" t="s">
        <v>50</v>
      </c>
      <c r="C15" s="25">
        <v>56.8909069690786</v>
      </c>
      <c r="D15" s="25">
        <v>59.2723476744533</v>
      </c>
      <c r="E15" s="25">
        <v>60.896805553022098</v>
      </c>
      <c r="F15" s="25">
        <v>59.273201921675401</v>
      </c>
      <c r="G15" s="25">
        <v>62.105335623294003</v>
      </c>
      <c r="H15" s="25">
        <v>57.472772594564802</v>
      </c>
      <c r="I15" s="25">
        <v>52.737752889004597</v>
      </c>
      <c r="J15" s="25">
        <v>52.077727514438699</v>
      </c>
      <c r="K15" s="25">
        <v>53.9688047002237</v>
      </c>
      <c r="L15" s="25">
        <v>54.859970891432603</v>
      </c>
      <c r="M15" s="25">
        <v>50.6827184575289</v>
      </c>
      <c r="N15" s="25">
        <v>53.482037058419401</v>
      </c>
      <c r="O15" s="25">
        <v>55.963242963384502</v>
      </c>
      <c r="P15" s="28">
        <v>55.963242963384502</v>
      </c>
    </row>
    <row r="16" spans="1:16" x14ac:dyDescent="0.25">
      <c r="A16" s="6" t="s">
        <v>52</v>
      </c>
      <c r="B16" s="6" t="s">
        <v>53</v>
      </c>
      <c r="C16" s="19">
        <v>2675.5079999999998</v>
      </c>
      <c r="D16" s="19">
        <v>3646.2930000000001</v>
      </c>
      <c r="E16" s="19">
        <v>4880.0600000000004</v>
      </c>
      <c r="F16" s="19">
        <v>6092.4970000000003</v>
      </c>
      <c r="G16" s="19">
        <v>7182.3819999999996</v>
      </c>
      <c r="H16" s="19">
        <v>6130.3760000000002</v>
      </c>
      <c r="I16" s="19">
        <v>6190.19</v>
      </c>
      <c r="J16" s="19">
        <v>7662.0010000000002</v>
      </c>
      <c r="K16" s="19">
        <v>7945.8209999999999</v>
      </c>
      <c r="L16" s="19">
        <v>9911.7129999999997</v>
      </c>
      <c r="M16" s="19">
        <v>7312.1180000000004</v>
      </c>
      <c r="N16" s="19">
        <v>9085.8439999999991</v>
      </c>
      <c r="O16" s="19">
        <v>11082.076999999999</v>
      </c>
      <c r="P16" s="22">
        <v>11082.076999999999</v>
      </c>
    </row>
    <row r="17" spans="1:16" x14ac:dyDescent="0.25">
      <c r="A17" s="11" t="s">
        <v>51</v>
      </c>
      <c r="B17" s="11" t="s">
        <v>53</v>
      </c>
      <c r="C17" s="25">
        <v>21.743287110328598</v>
      </c>
      <c r="D17" s="25">
        <v>23.8105089155877</v>
      </c>
      <c r="E17" s="25">
        <v>26.414625165109701</v>
      </c>
      <c r="F17" s="25">
        <v>24.9731269756141</v>
      </c>
      <c r="G17" s="25">
        <v>27.6693044464003</v>
      </c>
      <c r="H17" s="25">
        <v>21.771185029162002</v>
      </c>
      <c r="I17" s="25">
        <v>20.839035978753699</v>
      </c>
      <c r="J17" s="25">
        <v>21.868850902777801</v>
      </c>
      <c r="K17" s="25">
        <v>20.157133289699999</v>
      </c>
      <c r="L17" s="25">
        <v>21.674662381991901</v>
      </c>
      <c r="M17" s="25">
        <v>16.485593352517199</v>
      </c>
      <c r="N17" s="25">
        <v>20.6677259569895</v>
      </c>
      <c r="O17" s="25">
        <v>25.720013213152999</v>
      </c>
      <c r="P17" s="28">
        <v>25.720013213152999</v>
      </c>
    </row>
    <row r="18" spans="1:16" x14ac:dyDescent="0.25">
      <c r="A18" s="6" t="s">
        <v>54</v>
      </c>
      <c r="B18" s="6" t="s">
        <v>55</v>
      </c>
      <c r="C18" s="19">
        <v>1549.3809000000001</v>
      </c>
      <c r="D18" s="19">
        <v>2626.5545999999999</v>
      </c>
      <c r="E18" s="19">
        <v>5315.8477999999996</v>
      </c>
      <c r="F18" s="19">
        <v>3159.732</v>
      </c>
      <c r="G18" s="19">
        <v>5201.4526999999998</v>
      </c>
      <c r="H18" s="19">
        <v>4064.6019000000001</v>
      </c>
      <c r="I18" s="19">
        <v>3778.2595000000001</v>
      </c>
      <c r="J18" s="19">
        <v>4971.8530000000001</v>
      </c>
      <c r="K18" s="19">
        <v>5025.0870000000004</v>
      </c>
      <c r="L18" s="19">
        <v>5904.2338</v>
      </c>
      <c r="M18" s="19">
        <v>4715.7370000000001</v>
      </c>
      <c r="N18" s="19">
        <v>4078.5664000000002</v>
      </c>
      <c r="O18" s="19">
        <v>8694.3035999999993</v>
      </c>
      <c r="P18" s="22">
        <v>8694.3035999999993</v>
      </c>
    </row>
    <row r="19" spans="1:16" x14ac:dyDescent="0.25">
      <c r="A19" s="11" t="s">
        <v>51</v>
      </c>
      <c r="B19" s="11" t="s">
        <v>55</v>
      </c>
      <c r="C19" s="25">
        <v>12.5914905699999</v>
      </c>
      <c r="D19" s="25">
        <v>17.151556860783799</v>
      </c>
      <c r="E19" s="25">
        <v>28.773442759263801</v>
      </c>
      <c r="F19" s="25">
        <v>12.951732014789799</v>
      </c>
      <c r="G19" s="25">
        <v>20.038001086526801</v>
      </c>
      <c r="H19" s="25">
        <v>14.4348731684294</v>
      </c>
      <c r="I19" s="25">
        <v>12.7193649399401</v>
      </c>
      <c r="J19" s="25">
        <v>14.1906418398443</v>
      </c>
      <c r="K19" s="25">
        <v>12.7477511073228</v>
      </c>
      <c r="L19" s="25">
        <v>12.911216682660701</v>
      </c>
      <c r="M19" s="25">
        <v>10.6319020753521</v>
      </c>
      <c r="N19" s="25">
        <v>9.2775852912052095</v>
      </c>
      <c r="O19" s="25">
        <v>20.178311653236499</v>
      </c>
      <c r="P19" s="28">
        <v>20.178311653236499</v>
      </c>
    </row>
    <row r="20" spans="1:16" x14ac:dyDescent="0.25">
      <c r="A20" s="6" t="s">
        <v>56</v>
      </c>
      <c r="B20" s="6" t="s">
        <v>57</v>
      </c>
      <c r="C20" s="20" t="s">
        <v>198</v>
      </c>
      <c r="D20" s="20">
        <v>0.71879999999999999</v>
      </c>
      <c r="E20" s="20">
        <v>1.4838</v>
      </c>
      <c r="F20" s="20">
        <v>0.33650000000000002</v>
      </c>
      <c r="G20" s="20">
        <v>1.4797</v>
      </c>
      <c r="H20" s="20">
        <v>1.1344000000000001</v>
      </c>
      <c r="I20" s="20">
        <v>1.0529999999999999</v>
      </c>
      <c r="J20" s="20">
        <v>1.3845000000000001</v>
      </c>
      <c r="K20" s="20">
        <v>1.3993</v>
      </c>
      <c r="L20" s="20">
        <v>1.6440999999999999</v>
      </c>
      <c r="M20" s="20">
        <v>1.31</v>
      </c>
      <c r="N20" s="20">
        <v>1.1356999999999999</v>
      </c>
      <c r="O20" s="20">
        <v>2.4209999999999998</v>
      </c>
      <c r="P20" s="23">
        <v>2.4210180000000001</v>
      </c>
    </row>
    <row r="21" spans="1:16" x14ac:dyDescent="0.25">
      <c r="A21" s="11" t="s">
        <v>47</v>
      </c>
      <c r="B21" s="11" t="s">
        <v>58</v>
      </c>
      <c r="C21" s="26" t="s">
        <v>198</v>
      </c>
      <c r="D21" s="26">
        <v>67.164699999999996</v>
      </c>
      <c r="E21" s="26">
        <v>106.4276</v>
      </c>
      <c r="F21" s="26">
        <v>-77.322900000000004</v>
      </c>
      <c r="G21" s="26">
        <v>339.762</v>
      </c>
      <c r="H21" s="26">
        <v>-23.3352</v>
      </c>
      <c r="I21" s="26">
        <v>-7.1798000000000002</v>
      </c>
      <c r="J21" s="26">
        <v>31.479299999999999</v>
      </c>
      <c r="K21" s="26">
        <v>1.0707</v>
      </c>
      <c r="L21" s="26">
        <v>17.495200000000001</v>
      </c>
      <c r="M21" s="26">
        <v>-20.320900000000002</v>
      </c>
      <c r="N21" s="26">
        <v>-13.303900000000001</v>
      </c>
      <c r="O21" s="26">
        <v>113.1705</v>
      </c>
      <c r="P21" s="29">
        <v>113.170511367689</v>
      </c>
    </row>
    <row r="22" spans="1:16" x14ac:dyDescent="0.25">
      <c r="A22" s="6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21"/>
    </row>
    <row r="23" spans="1:16" x14ac:dyDescent="0.25">
      <c r="A23" s="6" t="s">
        <v>59</v>
      </c>
      <c r="B23" s="6" t="s">
        <v>60</v>
      </c>
      <c r="C23" s="19">
        <v>1667.518</v>
      </c>
      <c r="D23" s="19">
        <v>2984.1149999999998</v>
      </c>
      <c r="E23" s="19">
        <v>2140.6289999999999</v>
      </c>
      <c r="F23" s="19">
        <v>3130.252</v>
      </c>
      <c r="G23" s="19">
        <v>2150.9409999999998</v>
      </c>
      <c r="H23" s="19">
        <v>-417.81</v>
      </c>
      <c r="I23" s="19">
        <v>2030.0419999999999</v>
      </c>
      <c r="J23" s="19">
        <v>3472.83</v>
      </c>
      <c r="K23" s="19">
        <v>4134.4120000000003</v>
      </c>
      <c r="L23" s="19">
        <v>-2116.1849999999999</v>
      </c>
      <c r="M23" s="19">
        <v>274.36399999999998</v>
      </c>
      <c r="N23" s="19">
        <v>10429.254000000001</v>
      </c>
      <c r="O23" s="19">
        <v>7594.0730000000003</v>
      </c>
      <c r="P23" s="22">
        <v>7594.0730000000003</v>
      </c>
    </row>
    <row r="24" spans="1:16" x14ac:dyDescent="0.25">
      <c r="A24" s="6" t="s">
        <v>61</v>
      </c>
      <c r="B24" s="6" t="s">
        <v>62</v>
      </c>
      <c r="C24" s="19">
        <v>-655.09500000000003</v>
      </c>
      <c r="D24" s="19">
        <v>-840.22699999999998</v>
      </c>
      <c r="E24" s="19">
        <v>-543.69200000000001</v>
      </c>
      <c r="F24" s="19">
        <v>-828.93100000000004</v>
      </c>
      <c r="G24" s="19">
        <v>-1066.0139999999999</v>
      </c>
      <c r="H24" s="19">
        <v>-811.423</v>
      </c>
      <c r="I24" s="19">
        <v>-2038.09</v>
      </c>
      <c r="J24" s="19">
        <v>-3544.31</v>
      </c>
      <c r="K24" s="19">
        <v>-2197.4560000000001</v>
      </c>
      <c r="L24" s="19">
        <v>-3728.2510000000002</v>
      </c>
      <c r="M24" s="19">
        <v>-3115.16</v>
      </c>
      <c r="N24" s="19">
        <v>-2041.038</v>
      </c>
      <c r="O24" s="19">
        <v>-1506.249</v>
      </c>
      <c r="P24" s="22">
        <v>-1506.249</v>
      </c>
    </row>
    <row r="25" spans="1:16" x14ac:dyDescent="0.25">
      <c r="A25" s="6" t="s">
        <v>63</v>
      </c>
      <c r="B25" s="6" t="s">
        <v>64</v>
      </c>
      <c r="C25" s="19">
        <v>1012.423</v>
      </c>
      <c r="D25" s="19">
        <v>2143.8879999999999</v>
      </c>
      <c r="E25" s="19">
        <v>1596.9369999999999</v>
      </c>
      <c r="F25" s="19">
        <v>2301.3209999999999</v>
      </c>
      <c r="G25" s="19">
        <v>1084.9269999999999</v>
      </c>
      <c r="H25" s="19">
        <v>-1229.2329999999999</v>
      </c>
      <c r="I25" s="19">
        <v>-8.048</v>
      </c>
      <c r="J25" s="19">
        <v>-71.48</v>
      </c>
      <c r="K25" s="19">
        <v>1936.9559999999999</v>
      </c>
      <c r="L25" s="19">
        <v>-5844.4359999999997</v>
      </c>
      <c r="M25" s="19">
        <v>-2840.7959999999998</v>
      </c>
      <c r="N25" s="19">
        <v>8388.2160000000003</v>
      </c>
      <c r="O25" s="19">
        <v>6087.8239999999996</v>
      </c>
      <c r="P25" s="22">
        <v>6087.8239999999996</v>
      </c>
    </row>
    <row r="26" spans="1:16" x14ac:dyDescent="0.25">
      <c r="A26" s="7" t="s">
        <v>65</v>
      </c>
      <c r="B26" s="7"/>
      <c r="C26" s="7" t="s">
        <v>4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5"/>
  <sheetViews>
    <sheetView workbookViewId="0">
      <selection activeCell="G17" sqref="G17"/>
    </sheetView>
  </sheetViews>
  <sheetFormatPr baseColWidth="10" defaultRowHeight="15" x14ac:dyDescent="0.25"/>
  <cols>
    <col min="1" max="1" width="35.140625" customWidth="1"/>
    <col min="2" max="2" width="0" hidden="1" customWidth="1"/>
    <col min="3" max="15" width="11.85546875" customWidth="1"/>
  </cols>
  <sheetData>
    <row r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.25" x14ac:dyDescent="0.25">
      <c r="A2" s="8" t="s">
        <v>66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3" t="s">
        <v>67</v>
      </c>
      <c r="B4" s="3"/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</row>
    <row r="5" spans="1:15" x14ac:dyDescent="0.25">
      <c r="A5" s="9" t="s">
        <v>21</v>
      </c>
      <c r="B5" s="9"/>
      <c r="C5" s="5" t="s">
        <v>22</v>
      </c>
      <c r="D5" s="5" t="s">
        <v>23</v>
      </c>
      <c r="E5" s="5" t="s">
        <v>24</v>
      </c>
      <c r="F5" s="5" t="s">
        <v>25</v>
      </c>
      <c r="G5" s="5" t="s">
        <v>26</v>
      </c>
      <c r="H5" s="5" t="s">
        <v>27</v>
      </c>
      <c r="I5" s="5" t="s">
        <v>28</v>
      </c>
      <c r="J5" s="5" t="s">
        <v>29</v>
      </c>
      <c r="K5" s="5" t="s">
        <v>30</v>
      </c>
      <c r="L5" s="5" t="s">
        <v>31</v>
      </c>
      <c r="M5" s="5" t="s">
        <v>32</v>
      </c>
      <c r="N5" s="5" t="s">
        <v>33</v>
      </c>
      <c r="O5" s="5" t="s">
        <v>34</v>
      </c>
    </row>
    <row r="6" spans="1:15" x14ac:dyDescent="0.25">
      <c r="A6" s="10" t="s">
        <v>68</v>
      </c>
      <c r="B6" s="10" t="s">
        <v>46</v>
      </c>
      <c r="C6" s="13">
        <v>12304.984</v>
      </c>
      <c r="D6" s="13">
        <v>15313.797</v>
      </c>
      <c r="E6" s="13">
        <v>18474.841</v>
      </c>
      <c r="F6" s="13">
        <v>24396.212</v>
      </c>
      <c r="G6" s="13">
        <v>25957.941999999999</v>
      </c>
      <c r="H6" s="13">
        <v>28158.21</v>
      </c>
      <c r="I6" s="13">
        <v>29704.780999999999</v>
      </c>
      <c r="J6" s="13">
        <v>35036.139000000003</v>
      </c>
      <c r="K6" s="13">
        <v>39419.4</v>
      </c>
      <c r="L6" s="13">
        <v>45729.491999999998</v>
      </c>
      <c r="M6" s="13">
        <v>44354.593999999997</v>
      </c>
      <c r="N6" s="13">
        <v>43961.508000000002</v>
      </c>
      <c r="O6" s="13">
        <v>43087.368999999999</v>
      </c>
    </row>
    <row r="7" spans="1:15" x14ac:dyDescent="0.25">
      <c r="A7" s="10" t="s">
        <v>69</v>
      </c>
      <c r="B7" s="10" t="s">
        <v>70</v>
      </c>
      <c r="C7" s="13">
        <v>2492.0520000000001</v>
      </c>
      <c r="D7" s="13">
        <v>3375.5430000000001</v>
      </c>
      <c r="E7" s="13">
        <v>4620.2079999999996</v>
      </c>
      <c r="F7" s="13">
        <v>5623.9070000000002</v>
      </c>
      <c r="G7" s="13">
        <v>6735.5559999999996</v>
      </c>
      <c r="H7" s="13">
        <v>5542.9409999999998</v>
      </c>
      <c r="I7" s="13">
        <v>5410.14</v>
      </c>
      <c r="J7" s="13">
        <v>6892.6130000000003</v>
      </c>
      <c r="K7" s="13">
        <v>7121.2020000000002</v>
      </c>
      <c r="L7" s="13">
        <v>8889.8359999999993</v>
      </c>
      <c r="M7" s="13">
        <v>6238.3249999999998</v>
      </c>
      <c r="N7" s="13">
        <v>7764.6710000000003</v>
      </c>
      <c r="O7" s="13">
        <v>9664.1630000000005</v>
      </c>
    </row>
    <row r="8" spans="1:15" x14ac:dyDescent="0.25">
      <c r="A8" s="10" t="s">
        <v>71</v>
      </c>
      <c r="B8" s="10" t="s">
        <v>55</v>
      </c>
      <c r="C8" s="13">
        <v>1551.7629999999999</v>
      </c>
      <c r="D8" s="13">
        <v>2635.768</v>
      </c>
      <c r="E8" s="13">
        <v>5308.4530000000004</v>
      </c>
      <c r="F8" s="13">
        <v>3147.748</v>
      </c>
      <c r="G8" s="13">
        <v>5193.1850000000004</v>
      </c>
      <c r="H8" s="13">
        <v>4024.8789999999999</v>
      </c>
      <c r="I8" s="13">
        <v>3712.0219999999999</v>
      </c>
      <c r="J8" s="13">
        <v>5146.0200000000004</v>
      </c>
      <c r="K8" s="13">
        <v>5019.732</v>
      </c>
      <c r="L8" s="13">
        <v>5856.2950000000001</v>
      </c>
      <c r="M8" s="13">
        <v>4715.7370000000001</v>
      </c>
      <c r="N8" s="13">
        <v>3949.723</v>
      </c>
      <c r="O8" s="13">
        <v>8646.3970000000008</v>
      </c>
    </row>
    <row r="9" spans="1:15" x14ac:dyDescent="0.25">
      <c r="A9" s="10" t="s">
        <v>72</v>
      </c>
      <c r="B9" s="10" t="s">
        <v>73</v>
      </c>
      <c r="C9" s="14">
        <v>0.43</v>
      </c>
      <c r="D9" s="14">
        <v>0.74</v>
      </c>
      <c r="E9" s="14">
        <v>1.4818</v>
      </c>
      <c r="F9" s="14">
        <v>0.34</v>
      </c>
      <c r="G9" s="14">
        <v>1.48</v>
      </c>
      <c r="H9" s="14">
        <v>1.1200000000000001</v>
      </c>
      <c r="I9" s="14">
        <v>1.0345</v>
      </c>
      <c r="J9" s="14">
        <v>1.43</v>
      </c>
      <c r="K9" s="14">
        <v>1.3977999999999999</v>
      </c>
      <c r="L9" s="14">
        <v>1.64</v>
      </c>
      <c r="M9" s="14">
        <v>1.31</v>
      </c>
      <c r="N9" s="14">
        <v>1.1000000000000001</v>
      </c>
      <c r="O9" s="14">
        <v>2.41</v>
      </c>
    </row>
    <row r="10" spans="1:15" x14ac:dyDescent="0.25">
      <c r="A10" s="10" t="s">
        <v>74</v>
      </c>
      <c r="B10" s="10" t="s">
        <v>75</v>
      </c>
      <c r="C10" s="14">
        <v>0.43</v>
      </c>
      <c r="D10" s="14">
        <v>0.74</v>
      </c>
      <c r="E10" s="14">
        <v>1.4818</v>
      </c>
      <c r="F10" s="14">
        <v>0.34</v>
      </c>
      <c r="G10" s="14">
        <v>1.48</v>
      </c>
      <c r="H10" s="14">
        <v>1.1200000000000001</v>
      </c>
      <c r="I10" s="14">
        <v>1.0345</v>
      </c>
      <c r="J10" s="14">
        <v>1.43</v>
      </c>
      <c r="K10" s="14">
        <v>1.3977999999999999</v>
      </c>
      <c r="L10" s="14">
        <v>1.64</v>
      </c>
      <c r="M10" s="14">
        <v>1.31</v>
      </c>
      <c r="N10" s="14">
        <v>1.1000000000000001</v>
      </c>
      <c r="O10" s="14">
        <v>2.41</v>
      </c>
    </row>
    <row r="11" spans="1:15" x14ac:dyDescent="0.25">
      <c r="A11" s="10" t="s">
        <v>76</v>
      </c>
      <c r="B11" s="10" t="s">
        <v>77</v>
      </c>
      <c r="C11" s="13" t="s">
        <v>198</v>
      </c>
      <c r="D11" s="13">
        <v>3654.0396999999998</v>
      </c>
      <c r="E11" s="13">
        <v>3582.5475999999999</v>
      </c>
      <c r="F11" s="13">
        <v>9390.3670000000002</v>
      </c>
      <c r="G11" s="13">
        <v>3515.1089999999999</v>
      </c>
      <c r="H11" s="13">
        <v>3582.9106999999999</v>
      </c>
      <c r="I11" s="13">
        <v>3588.1264000000001</v>
      </c>
      <c r="J11" s="13">
        <v>3591.1763000000001</v>
      </c>
      <c r="K11" s="13">
        <v>3591.1763000000001</v>
      </c>
      <c r="L11" s="13">
        <v>3591.1763000000001</v>
      </c>
      <c r="M11" s="13">
        <v>3591.1763000000001</v>
      </c>
      <c r="N11" s="13">
        <v>3591.1763000000001</v>
      </c>
      <c r="O11" s="13">
        <v>3591.1763000000001</v>
      </c>
    </row>
    <row r="12" spans="1:15" x14ac:dyDescent="0.25">
      <c r="A12" s="10" t="s">
        <v>78</v>
      </c>
      <c r="B12" s="10" t="s">
        <v>79</v>
      </c>
      <c r="C12" s="13" t="s">
        <v>198</v>
      </c>
      <c r="D12" s="13">
        <v>3654.0396999999998</v>
      </c>
      <c r="E12" s="13">
        <v>3582.5475999999999</v>
      </c>
      <c r="F12" s="13">
        <v>9390.3670000000002</v>
      </c>
      <c r="G12" s="13">
        <v>3515.1089999999999</v>
      </c>
      <c r="H12" s="13">
        <v>3582.9106999999999</v>
      </c>
      <c r="I12" s="13">
        <v>3588.1264000000001</v>
      </c>
      <c r="J12" s="13">
        <v>3591.1763000000001</v>
      </c>
      <c r="K12" s="13">
        <v>3591.1763000000001</v>
      </c>
      <c r="L12" s="13">
        <v>3591.1763000000001</v>
      </c>
      <c r="M12" s="13">
        <v>3591.1763000000001</v>
      </c>
      <c r="N12" s="13">
        <v>3591.1763000000001</v>
      </c>
      <c r="O12" s="13">
        <v>3591.1763000000001</v>
      </c>
    </row>
    <row r="13" spans="1:15" x14ac:dyDescent="0.25">
      <c r="A13" s="10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spans="1:15" x14ac:dyDescent="0.25">
      <c r="A14" s="10" t="s">
        <v>80</v>
      </c>
      <c r="B14" s="10" t="s">
        <v>38</v>
      </c>
      <c r="C14" s="13">
        <v>2371.5880000000002</v>
      </c>
      <c r="D14" s="13">
        <v>4157.8609999999999</v>
      </c>
      <c r="E14" s="13">
        <v>4139.3819999999996</v>
      </c>
      <c r="F14" s="13">
        <v>5128.1369999999997</v>
      </c>
      <c r="G14" s="13">
        <v>19995.891</v>
      </c>
      <c r="H14" s="13">
        <v>12027.931</v>
      </c>
      <c r="I14" s="13">
        <v>9628.1689999999999</v>
      </c>
      <c r="J14" s="13">
        <v>7950.0569999999998</v>
      </c>
      <c r="K14" s="13">
        <v>12791.282999999999</v>
      </c>
      <c r="L14" s="13">
        <v>4520.8389999999999</v>
      </c>
      <c r="M14" s="13">
        <v>6366.67</v>
      </c>
      <c r="N14" s="13">
        <v>10684.509</v>
      </c>
      <c r="O14" s="13">
        <v>11112.87</v>
      </c>
    </row>
    <row r="15" spans="1:15" x14ac:dyDescent="0.25">
      <c r="A15" s="10" t="s">
        <v>81</v>
      </c>
      <c r="B15" s="10" t="s">
        <v>82</v>
      </c>
      <c r="C15" s="13">
        <v>11553.359</v>
      </c>
      <c r="D15" s="13">
        <v>14608.128000000001</v>
      </c>
      <c r="E15" s="13">
        <v>15065.944</v>
      </c>
      <c r="F15" s="13">
        <v>19725.16</v>
      </c>
      <c r="G15" s="13">
        <v>36597.542999999998</v>
      </c>
      <c r="H15" s="13">
        <v>31228.496999999999</v>
      </c>
      <c r="I15" s="13">
        <v>31650.112000000001</v>
      </c>
      <c r="J15" s="13">
        <v>31626.959999999999</v>
      </c>
      <c r="K15" s="13">
        <v>38159.245000000003</v>
      </c>
      <c r="L15" s="13">
        <v>39483.277999999998</v>
      </c>
      <c r="M15" s="13">
        <v>38093.96</v>
      </c>
      <c r="N15" s="13">
        <v>41807.53</v>
      </c>
      <c r="O15" s="13">
        <v>40235.461000000003</v>
      </c>
    </row>
    <row r="16" spans="1:15" x14ac:dyDescent="0.25">
      <c r="A16" s="10" t="s">
        <v>83</v>
      </c>
      <c r="B16" s="10" t="s">
        <v>84</v>
      </c>
      <c r="C16" s="13">
        <v>21205.392</v>
      </c>
      <c r="D16" s="13">
        <v>24723.776000000002</v>
      </c>
      <c r="E16" s="13">
        <v>38636.499000000003</v>
      </c>
      <c r="F16" s="13">
        <v>45687.947</v>
      </c>
      <c r="G16" s="13">
        <v>64932.656000000003</v>
      </c>
      <c r="H16" s="13">
        <v>66711.388999999996</v>
      </c>
      <c r="I16" s="13">
        <v>70724.933999999994</v>
      </c>
      <c r="J16" s="13">
        <v>81581.668000000005</v>
      </c>
      <c r="K16" s="13">
        <v>95539.567999999999</v>
      </c>
      <c r="L16" s="13">
        <v>97866.145000000004</v>
      </c>
      <c r="M16" s="13">
        <v>99224.942999999999</v>
      </c>
      <c r="N16" s="13">
        <v>112370.59</v>
      </c>
      <c r="O16" s="13">
        <v>106103.724</v>
      </c>
    </row>
    <row r="17" spans="1:15" x14ac:dyDescent="0.25">
      <c r="A17" s="10" t="s">
        <v>85</v>
      </c>
      <c r="B17" s="10" t="s">
        <v>86</v>
      </c>
      <c r="C17" s="13">
        <v>5046.2979999999998</v>
      </c>
      <c r="D17" s="13">
        <v>5329.1310000000003</v>
      </c>
      <c r="E17" s="13">
        <v>4045.6909999999998</v>
      </c>
      <c r="F17" s="13">
        <v>4456.616</v>
      </c>
      <c r="G17" s="13">
        <v>5103.018</v>
      </c>
      <c r="H17" s="13">
        <v>5091.6530000000002</v>
      </c>
      <c r="I17" s="13">
        <v>6687.415</v>
      </c>
      <c r="J17" s="13">
        <v>8707.6479999999992</v>
      </c>
      <c r="K17" s="13">
        <v>12157.523999999999</v>
      </c>
      <c r="L17" s="13">
        <v>15501.684999999999</v>
      </c>
      <c r="M17" s="13">
        <v>11805.588</v>
      </c>
      <c r="N17" s="13">
        <v>15838.324000000001</v>
      </c>
      <c r="O17" s="13">
        <v>12455.502</v>
      </c>
    </row>
    <row r="18" spans="1:15" x14ac:dyDescent="0.25">
      <c r="A18" s="10" t="s">
        <v>87</v>
      </c>
      <c r="B18" s="10" t="s">
        <v>88</v>
      </c>
      <c r="C18" s="13">
        <v>6360.8029999999999</v>
      </c>
      <c r="D18" s="13">
        <v>6732.473</v>
      </c>
      <c r="E18" s="13">
        <v>14989.638000000001</v>
      </c>
      <c r="F18" s="13">
        <v>17635.516</v>
      </c>
      <c r="G18" s="13">
        <v>17947.346000000001</v>
      </c>
      <c r="H18" s="13">
        <v>18839.578000000001</v>
      </c>
      <c r="I18" s="13">
        <v>22132.731</v>
      </c>
      <c r="J18" s="13">
        <v>26836.598000000002</v>
      </c>
      <c r="K18" s="13">
        <v>37096.245999999999</v>
      </c>
      <c r="L18" s="13">
        <v>39442.936000000002</v>
      </c>
      <c r="M18" s="13">
        <v>41585.629999999997</v>
      </c>
      <c r="N18" s="13">
        <v>45575.623</v>
      </c>
      <c r="O18" s="13">
        <v>35810.351000000002</v>
      </c>
    </row>
    <row r="19" spans="1:15" x14ac:dyDescent="0.25">
      <c r="A19" s="10" t="s">
        <v>89</v>
      </c>
      <c r="B19" s="10" t="s">
        <v>90</v>
      </c>
      <c r="C19" s="13">
        <v>3905.402</v>
      </c>
      <c r="D19" s="13">
        <v>7052.116</v>
      </c>
      <c r="E19" s="13">
        <v>12599.781000000001</v>
      </c>
      <c r="F19" s="13">
        <v>28052.431</v>
      </c>
      <c r="G19" s="13">
        <v>46985.31</v>
      </c>
      <c r="H19" s="13">
        <v>47871.811000000002</v>
      </c>
      <c r="I19" s="13">
        <v>48592.203000000001</v>
      </c>
      <c r="J19" s="13">
        <v>54745.07</v>
      </c>
      <c r="K19" s="13">
        <v>58443.322</v>
      </c>
      <c r="L19" s="13">
        <v>58423.209000000003</v>
      </c>
      <c r="M19" s="13">
        <v>57639.313000000002</v>
      </c>
      <c r="N19" s="13">
        <v>66794.967000000004</v>
      </c>
      <c r="O19" s="13">
        <v>70293.373000000007</v>
      </c>
    </row>
    <row r="20" spans="1:15" x14ac:dyDescent="0.25">
      <c r="A20" s="10" t="s">
        <v>91</v>
      </c>
      <c r="B20" s="10" t="s">
        <v>92</v>
      </c>
      <c r="C20" s="13">
        <v>3582.5475999999999</v>
      </c>
      <c r="D20" s="13">
        <v>3582.5475999999999</v>
      </c>
      <c r="E20" s="13">
        <v>3582.5475999999999</v>
      </c>
      <c r="F20" s="13">
        <v>3654.0396999999998</v>
      </c>
      <c r="G20" s="13">
        <v>3590.7703000000001</v>
      </c>
      <c r="H20" s="13">
        <v>3582.9106999999999</v>
      </c>
      <c r="I20" s="13">
        <v>3588.1264000000001</v>
      </c>
      <c r="J20" s="13">
        <v>3591.1763000000001</v>
      </c>
      <c r="K20" s="13">
        <v>3591.1763000000001</v>
      </c>
      <c r="L20" s="13">
        <v>3591.1763000000001</v>
      </c>
      <c r="M20" s="13">
        <v>3591.1763000000001</v>
      </c>
      <c r="N20" s="13">
        <v>3591.1763000000001</v>
      </c>
      <c r="O20" s="13">
        <v>3591.1763000000001</v>
      </c>
    </row>
    <row r="21" spans="1:15" x14ac:dyDescent="0.25">
      <c r="A21" s="10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spans="1:15" x14ac:dyDescent="0.25">
      <c r="A22" s="10" t="s">
        <v>93</v>
      </c>
      <c r="B22" s="10" t="s">
        <v>60</v>
      </c>
      <c r="C22" s="13">
        <v>1667.518</v>
      </c>
      <c r="D22" s="13">
        <v>2984.1149999999998</v>
      </c>
      <c r="E22" s="13">
        <v>2140.6289999999999</v>
      </c>
      <c r="F22" s="13">
        <v>3130.252</v>
      </c>
      <c r="G22" s="13">
        <v>2150.9409999999998</v>
      </c>
      <c r="H22" s="13">
        <v>-417.81</v>
      </c>
      <c r="I22" s="13">
        <v>2030.0419999999999</v>
      </c>
      <c r="J22" s="13">
        <v>3472.83</v>
      </c>
      <c r="K22" s="13">
        <v>4134.4120000000003</v>
      </c>
      <c r="L22" s="13">
        <v>-2116.1849999999999</v>
      </c>
      <c r="M22" s="13">
        <v>274.36399999999998</v>
      </c>
      <c r="N22" s="13">
        <v>10429.254000000001</v>
      </c>
      <c r="O22" s="13">
        <v>7594.0730000000003</v>
      </c>
    </row>
    <row r="23" spans="1:15" x14ac:dyDescent="0.25">
      <c r="A23" s="10" t="s">
        <v>94</v>
      </c>
      <c r="B23" s="10" t="s">
        <v>95</v>
      </c>
      <c r="C23" s="13">
        <v>-680.98800000000006</v>
      </c>
      <c r="D23" s="13">
        <v>-791.77300000000002</v>
      </c>
      <c r="E23" s="13">
        <v>-6775.0780000000004</v>
      </c>
      <c r="F23" s="13">
        <v>-1176.049</v>
      </c>
      <c r="G23" s="13">
        <v>-1264.325</v>
      </c>
      <c r="H23" s="13">
        <v>-5437.8329999999996</v>
      </c>
      <c r="I23" s="13">
        <v>-1949.35</v>
      </c>
      <c r="J23" s="13">
        <v>-5213.46</v>
      </c>
      <c r="K23" s="13">
        <v>-5715.6989999999996</v>
      </c>
      <c r="L23" s="13">
        <v>-3931.8130000000001</v>
      </c>
      <c r="M23" s="13">
        <v>-3795.8029999999999</v>
      </c>
      <c r="N23" s="13">
        <v>-2361.0659999999998</v>
      </c>
      <c r="O23" s="13">
        <v>645.58799999999997</v>
      </c>
    </row>
    <row r="24" spans="1:15" x14ac:dyDescent="0.25">
      <c r="A24" s="10" t="s">
        <v>96</v>
      </c>
      <c r="B24" s="10" t="s">
        <v>97</v>
      </c>
      <c r="C24" s="13">
        <v>-1370.5730000000001</v>
      </c>
      <c r="D24" s="13">
        <v>-406.06900000000002</v>
      </c>
      <c r="E24" s="13">
        <v>4615.97</v>
      </c>
      <c r="F24" s="13">
        <v>-965.44799999999998</v>
      </c>
      <c r="G24" s="13">
        <v>13977.710999999999</v>
      </c>
      <c r="H24" s="13">
        <v>-2112.317</v>
      </c>
      <c r="I24" s="13">
        <v>-2480.4540000000002</v>
      </c>
      <c r="J24" s="13">
        <v>-241.221</v>
      </c>
      <c r="K24" s="13">
        <v>6726.2520000000004</v>
      </c>
      <c r="L24" s="13">
        <v>-2222.4459999999999</v>
      </c>
      <c r="M24" s="13">
        <v>5367.27</v>
      </c>
      <c r="N24" s="13">
        <v>-3750.3490000000002</v>
      </c>
      <c r="O24" s="13">
        <v>-7811.3</v>
      </c>
    </row>
    <row r="25" spans="1:15" x14ac:dyDescent="0.25">
      <c r="A25" s="7" t="s">
        <v>65</v>
      </c>
      <c r="B25" s="7"/>
      <c r="C25" s="7" t="s">
        <v>4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6"/>
  <sheetViews>
    <sheetView workbookViewId="0">
      <selection activeCell="H14" sqref="H14"/>
    </sheetView>
  </sheetViews>
  <sheetFormatPr baseColWidth="10" defaultRowHeight="15" x14ac:dyDescent="0.25"/>
  <cols>
    <col min="1" max="1" width="35.140625" customWidth="1"/>
    <col min="2" max="2" width="0" hidden="1" customWidth="1"/>
    <col min="3" max="16" width="11.855468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0.25" x14ac:dyDescent="0.25">
      <c r="A2" s="8" t="s">
        <v>98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25">
      <c r="A4" s="3" t="s">
        <v>67</v>
      </c>
      <c r="B4" s="3"/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99</v>
      </c>
    </row>
    <row r="5" spans="1:16" x14ac:dyDescent="0.25">
      <c r="A5" s="9" t="s">
        <v>21</v>
      </c>
      <c r="B5" s="9"/>
      <c r="C5" s="5" t="s">
        <v>22</v>
      </c>
      <c r="D5" s="5" t="s">
        <v>23</v>
      </c>
      <c r="E5" s="5" t="s">
        <v>24</v>
      </c>
      <c r="F5" s="5" t="s">
        <v>25</v>
      </c>
      <c r="G5" s="5" t="s">
        <v>26</v>
      </c>
      <c r="H5" s="5" t="s">
        <v>27</v>
      </c>
      <c r="I5" s="5" t="s">
        <v>28</v>
      </c>
      <c r="J5" s="5" t="s">
        <v>29</v>
      </c>
      <c r="K5" s="5" t="s">
        <v>30</v>
      </c>
      <c r="L5" s="5" t="s">
        <v>31</v>
      </c>
      <c r="M5" s="5" t="s">
        <v>32</v>
      </c>
      <c r="N5" s="5" t="s">
        <v>33</v>
      </c>
      <c r="O5" s="5" t="s">
        <v>34</v>
      </c>
      <c r="P5" s="5" t="s">
        <v>100</v>
      </c>
    </row>
    <row r="6" spans="1:16" x14ac:dyDescent="0.25">
      <c r="A6" s="6" t="s">
        <v>35</v>
      </c>
      <c r="B6" s="6" t="s">
        <v>36</v>
      </c>
      <c r="C6" s="19" t="s">
        <v>198</v>
      </c>
      <c r="D6" s="19" t="s">
        <v>198</v>
      </c>
      <c r="E6" s="19" t="s">
        <v>198</v>
      </c>
      <c r="F6" s="19" t="s">
        <v>198</v>
      </c>
      <c r="G6" s="19">
        <v>113109.2635</v>
      </c>
      <c r="H6" s="19">
        <v>94087.2353</v>
      </c>
      <c r="I6" s="19">
        <v>126158.5248</v>
      </c>
      <c r="J6" s="19">
        <v>179343.34450000001</v>
      </c>
      <c r="K6" s="19">
        <v>184442.81479999999</v>
      </c>
      <c r="L6" s="19">
        <v>152158.13990000001</v>
      </c>
      <c r="M6" s="19">
        <v>119478.43550000001</v>
      </c>
      <c r="N6" s="19">
        <v>84141.260699999999</v>
      </c>
      <c r="O6" s="19">
        <v>74337.349400000006</v>
      </c>
      <c r="P6" s="22">
        <v>53616.262173930001</v>
      </c>
    </row>
    <row r="7" spans="1:16" x14ac:dyDescent="0.25">
      <c r="A7" s="10" t="s">
        <v>101</v>
      </c>
      <c r="B7" s="10" t="s">
        <v>38</v>
      </c>
      <c r="C7" s="13">
        <v>2371.5880000000002</v>
      </c>
      <c r="D7" s="13">
        <v>4157.8609999999999</v>
      </c>
      <c r="E7" s="13">
        <v>4139.3819999999996</v>
      </c>
      <c r="F7" s="13">
        <v>5128.1369999999997</v>
      </c>
      <c r="G7" s="13">
        <v>19995.891</v>
      </c>
      <c r="H7" s="13">
        <v>12027.931</v>
      </c>
      <c r="I7" s="13">
        <v>9628.1689999999999</v>
      </c>
      <c r="J7" s="13">
        <v>7950.0569999999998</v>
      </c>
      <c r="K7" s="13">
        <v>12791.282999999999</v>
      </c>
      <c r="L7" s="13">
        <v>4520.8389999999999</v>
      </c>
      <c r="M7" s="13">
        <v>6366.67</v>
      </c>
      <c r="N7" s="13">
        <v>10684.509</v>
      </c>
      <c r="O7" s="13">
        <v>11112.87</v>
      </c>
      <c r="P7" s="16">
        <v>11112.87</v>
      </c>
    </row>
    <row r="8" spans="1:16" x14ac:dyDescent="0.25">
      <c r="A8" s="10" t="s">
        <v>102</v>
      </c>
      <c r="B8" s="10" t="s">
        <v>103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6">
        <v>0</v>
      </c>
    </row>
    <row r="9" spans="1:16" x14ac:dyDescent="0.25">
      <c r="A9" s="10" t="s">
        <v>104</v>
      </c>
      <c r="B9" s="10" t="s">
        <v>105</v>
      </c>
      <c r="C9" s="13">
        <v>25.946999999999999</v>
      </c>
      <c r="D9" s="13">
        <v>28.533999999999999</v>
      </c>
      <c r="E9" s="13">
        <v>0</v>
      </c>
      <c r="F9" s="13">
        <v>29.966000000000001</v>
      </c>
      <c r="G9" s="13">
        <v>54.078000000000003</v>
      </c>
      <c r="H9" s="13">
        <v>66.789000000000001</v>
      </c>
      <c r="I9" s="13">
        <v>72.62</v>
      </c>
      <c r="J9" s="13">
        <v>78.644000000000005</v>
      </c>
      <c r="K9" s="13">
        <v>92.775000000000006</v>
      </c>
      <c r="L9" s="13">
        <v>117.44199999999999</v>
      </c>
      <c r="M9" s="13">
        <v>135.42599999999999</v>
      </c>
      <c r="N9" s="13">
        <v>72.031000000000006</v>
      </c>
      <c r="O9" s="13">
        <v>69.44</v>
      </c>
      <c r="P9" s="16">
        <v>69.44</v>
      </c>
    </row>
    <row r="10" spans="1:16" x14ac:dyDescent="0.25">
      <c r="A10" s="10" t="s">
        <v>106</v>
      </c>
      <c r="B10" s="10" t="s">
        <v>42</v>
      </c>
      <c r="C10" s="13">
        <v>995.875</v>
      </c>
      <c r="D10" s="13">
        <v>1039.171</v>
      </c>
      <c r="E10" s="13">
        <v>8535.92</v>
      </c>
      <c r="F10" s="13">
        <v>10259.984</v>
      </c>
      <c r="G10" s="13">
        <v>9828.8340000000007</v>
      </c>
      <c r="H10" s="13">
        <v>9793.1959999999999</v>
      </c>
      <c r="I10" s="13">
        <v>11539.191999999999</v>
      </c>
      <c r="J10" s="13">
        <v>12417.049000000001</v>
      </c>
      <c r="K10" s="13">
        <v>21225.69</v>
      </c>
      <c r="L10" s="13">
        <v>20638.162</v>
      </c>
      <c r="M10" s="13">
        <v>18607.395</v>
      </c>
      <c r="N10" s="13">
        <v>29017.557000000001</v>
      </c>
      <c r="O10" s="13">
        <v>20830.312999999998</v>
      </c>
      <c r="P10" s="16">
        <v>20830.312999999998</v>
      </c>
    </row>
    <row r="11" spans="1:16" x14ac:dyDescent="0.25">
      <c r="A11" s="10" t="s">
        <v>107</v>
      </c>
      <c r="B11" s="10" t="s">
        <v>108</v>
      </c>
      <c r="C11" s="13" t="s">
        <v>198</v>
      </c>
      <c r="D11" s="13" t="s">
        <v>198</v>
      </c>
      <c r="E11" s="13" t="s">
        <v>198</v>
      </c>
      <c r="F11" s="13" t="s">
        <v>198</v>
      </c>
      <c r="G11" s="13" t="s">
        <v>198</v>
      </c>
      <c r="H11" s="13" t="s">
        <v>198</v>
      </c>
      <c r="I11" s="13" t="s">
        <v>198</v>
      </c>
      <c r="J11" s="13" t="s">
        <v>198</v>
      </c>
      <c r="K11" s="13" t="s">
        <v>198</v>
      </c>
      <c r="L11" s="13" t="s">
        <v>198</v>
      </c>
      <c r="M11" s="13">
        <v>0</v>
      </c>
      <c r="N11" s="13">
        <v>0</v>
      </c>
      <c r="O11" s="13">
        <v>0</v>
      </c>
      <c r="P11" s="16"/>
    </row>
    <row r="12" spans="1:16" x14ac:dyDescent="0.25">
      <c r="A12" s="6" t="s">
        <v>43</v>
      </c>
      <c r="B12" s="6" t="s">
        <v>44</v>
      </c>
      <c r="C12" s="19" t="s">
        <v>198</v>
      </c>
      <c r="D12" s="19" t="s">
        <v>198</v>
      </c>
      <c r="E12" s="19" t="s">
        <v>198</v>
      </c>
      <c r="F12" s="19" t="s">
        <v>198</v>
      </c>
      <c r="G12" s="19">
        <v>102996.28449999999</v>
      </c>
      <c r="H12" s="19">
        <v>91919.289300000004</v>
      </c>
      <c r="I12" s="19">
        <v>128142.1678</v>
      </c>
      <c r="J12" s="19">
        <v>183888.98050000001</v>
      </c>
      <c r="K12" s="19">
        <v>192969.99679999999</v>
      </c>
      <c r="L12" s="19">
        <v>168392.90489999999</v>
      </c>
      <c r="M12" s="19">
        <v>131854.5865</v>
      </c>
      <c r="N12" s="19">
        <v>102546.3397</v>
      </c>
      <c r="O12" s="19">
        <v>84124.232399999994</v>
      </c>
      <c r="P12" s="22">
        <v>63403.145173930003</v>
      </c>
    </row>
    <row r="13" spans="1:16" x14ac:dyDescent="0.25">
      <c r="A13" s="6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21"/>
    </row>
    <row r="14" spans="1:16" x14ac:dyDescent="0.25">
      <c r="A14" s="6" t="s">
        <v>109</v>
      </c>
      <c r="B14" s="6" t="s">
        <v>110</v>
      </c>
      <c r="C14" s="19">
        <v>4901.277</v>
      </c>
      <c r="D14" s="19">
        <v>8091.2870000000003</v>
      </c>
      <c r="E14" s="19">
        <v>21135.701000000001</v>
      </c>
      <c r="F14" s="19">
        <v>38312.415000000001</v>
      </c>
      <c r="G14" s="19">
        <v>56814.144</v>
      </c>
      <c r="H14" s="19">
        <v>57665.006999999998</v>
      </c>
      <c r="I14" s="19">
        <v>60131.394999999997</v>
      </c>
      <c r="J14" s="19">
        <v>67162.119000000006</v>
      </c>
      <c r="K14" s="19">
        <v>79669.012000000002</v>
      </c>
      <c r="L14" s="19">
        <v>79061.370999999999</v>
      </c>
      <c r="M14" s="19">
        <v>76246.707999999999</v>
      </c>
      <c r="N14" s="19">
        <v>95812.524000000005</v>
      </c>
      <c r="O14" s="19">
        <v>91123.686000000002</v>
      </c>
      <c r="P14" s="22">
        <v>91123.686000000002</v>
      </c>
    </row>
    <row r="15" spans="1:16" x14ac:dyDescent="0.25">
      <c r="A15" s="10" t="s">
        <v>111</v>
      </c>
      <c r="B15" s="10" t="s">
        <v>112</v>
      </c>
      <c r="C15" s="14">
        <v>20.3187</v>
      </c>
      <c r="D15" s="14">
        <v>12.8431</v>
      </c>
      <c r="E15" s="14">
        <v>40.386299999999999</v>
      </c>
      <c r="F15" s="14">
        <v>26.779800000000002</v>
      </c>
      <c r="G15" s="14">
        <v>17.3</v>
      </c>
      <c r="H15" s="14">
        <v>16.982900000000001</v>
      </c>
      <c r="I15" s="14">
        <v>19.190000000000001</v>
      </c>
      <c r="J15" s="14">
        <v>18.488199999999999</v>
      </c>
      <c r="K15" s="14">
        <v>26.642299999999999</v>
      </c>
      <c r="L15" s="14">
        <v>26.103999999999999</v>
      </c>
      <c r="M15" s="14">
        <v>24.404199999999999</v>
      </c>
      <c r="N15" s="14">
        <v>30.285799999999998</v>
      </c>
      <c r="O15" s="14">
        <v>22.859400000000001</v>
      </c>
      <c r="P15" s="17">
        <v>22.859383673307502</v>
      </c>
    </row>
    <row r="16" spans="1:16" x14ac:dyDescent="0.25">
      <c r="A16" s="10" t="s">
        <v>113</v>
      </c>
      <c r="B16" s="10" t="s">
        <v>114</v>
      </c>
      <c r="C16" s="14" t="s">
        <v>198</v>
      </c>
      <c r="D16" s="14" t="s">
        <v>198</v>
      </c>
      <c r="E16" s="14" t="s">
        <v>198</v>
      </c>
      <c r="F16" s="14" t="s">
        <v>198</v>
      </c>
      <c r="G16" s="14">
        <v>9.5399999999999999E-2</v>
      </c>
      <c r="H16" s="14">
        <v>0.1065</v>
      </c>
      <c r="I16" s="14">
        <v>0.09</v>
      </c>
      <c r="J16" s="14">
        <v>6.7500000000000004E-2</v>
      </c>
      <c r="K16" s="14">
        <v>0.11</v>
      </c>
      <c r="L16" s="14">
        <v>0.1226</v>
      </c>
      <c r="M16" s="14">
        <v>0.1411</v>
      </c>
      <c r="N16" s="14">
        <v>0.28299999999999997</v>
      </c>
      <c r="O16" s="14">
        <v>0.24759999999999999</v>
      </c>
      <c r="P16" s="17">
        <v>0.328537534579041</v>
      </c>
    </row>
    <row r="17" spans="1:16" x14ac:dyDescent="0.25">
      <c r="A17" s="6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21"/>
    </row>
    <row r="18" spans="1:16" x14ac:dyDescent="0.25">
      <c r="A18" s="6" t="s">
        <v>115</v>
      </c>
      <c r="B18" s="6" t="s">
        <v>116</v>
      </c>
      <c r="C18" s="20" t="s">
        <v>198</v>
      </c>
      <c r="D18" s="20" t="s">
        <v>198</v>
      </c>
      <c r="E18" s="20" t="s">
        <v>198</v>
      </c>
      <c r="F18" s="20" t="s">
        <v>198</v>
      </c>
      <c r="G18" s="20">
        <v>3.9678</v>
      </c>
      <c r="H18" s="20">
        <v>3.2644000000000002</v>
      </c>
      <c r="I18" s="20">
        <v>4.3139000000000003</v>
      </c>
      <c r="J18" s="20">
        <v>5.2485999999999997</v>
      </c>
      <c r="K18" s="20">
        <v>4.8952999999999998</v>
      </c>
      <c r="L18" s="20">
        <v>3.6823999999999999</v>
      </c>
      <c r="M18" s="20">
        <v>2.9727000000000001</v>
      </c>
      <c r="N18" s="20">
        <v>2.3325999999999998</v>
      </c>
      <c r="O18" s="20">
        <v>1.9523999999999999</v>
      </c>
      <c r="P18" s="23">
        <v>1.47150189592523</v>
      </c>
    </row>
    <row r="19" spans="1:16" x14ac:dyDescent="0.25">
      <c r="A19" s="6" t="s">
        <v>117</v>
      </c>
      <c r="B19" s="6" t="s">
        <v>118</v>
      </c>
      <c r="C19" s="20" t="s">
        <v>198</v>
      </c>
      <c r="D19" s="20" t="s">
        <v>198</v>
      </c>
      <c r="E19" s="20" t="s">
        <v>198</v>
      </c>
      <c r="F19" s="20" t="s">
        <v>198</v>
      </c>
      <c r="G19" s="20">
        <v>14.3637</v>
      </c>
      <c r="H19" s="20">
        <v>15.1342</v>
      </c>
      <c r="I19" s="20">
        <v>21.022200000000002</v>
      </c>
      <c r="J19" s="20">
        <v>24.173400000000001</v>
      </c>
      <c r="K19" s="20">
        <v>24.309100000000001</v>
      </c>
      <c r="L19" s="20">
        <v>17.107500000000002</v>
      </c>
      <c r="M19" s="20">
        <v>18.032299999999999</v>
      </c>
      <c r="N19" s="20">
        <v>11.5198</v>
      </c>
      <c r="O19" s="20">
        <v>7.6382000000000003</v>
      </c>
      <c r="P19" s="23">
        <v>5.7567843992280796</v>
      </c>
    </row>
    <row r="20" spans="1:16" x14ac:dyDescent="0.25">
      <c r="A20" s="6" t="s">
        <v>119</v>
      </c>
      <c r="B20" s="6" t="s">
        <v>120</v>
      </c>
      <c r="C20" s="20" t="s">
        <v>198</v>
      </c>
      <c r="D20" s="20" t="s">
        <v>198</v>
      </c>
      <c r="E20" s="20" t="s">
        <v>198</v>
      </c>
      <c r="F20" s="20" t="s">
        <v>198</v>
      </c>
      <c r="G20" s="20">
        <v>15.291399999999999</v>
      </c>
      <c r="H20" s="20">
        <v>16.583100000000002</v>
      </c>
      <c r="I20" s="20">
        <v>23.685600000000001</v>
      </c>
      <c r="J20" s="20">
        <v>26.679099999999998</v>
      </c>
      <c r="K20" s="20">
        <v>27.097999999999999</v>
      </c>
      <c r="L20" s="20">
        <v>18.9422</v>
      </c>
      <c r="M20" s="20">
        <v>21.136199999999999</v>
      </c>
      <c r="N20" s="20">
        <v>13.206799999999999</v>
      </c>
      <c r="O20" s="20">
        <v>8.7048000000000005</v>
      </c>
      <c r="P20" s="23">
        <v>6.5606452595977496</v>
      </c>
    </row>
    <row r="21" spans="1:16" x14ac:dyDescent="0.25">
      <c r="A21" s="6" t="s">
        <v>121</v>
      </c>
      <c r="B21" s="6" t="s">
        <v>122</v>
      </c>
      <c r="C21" s="20" t="s">
        <v>198</v>
      </c>
      <c r="D21" s="20" t="s">
        <v>198</v>
      </c>
      <c r="E21" s="20" t="s">
        <v>198</v>
      </c>
      <c r="F21" s="20" t="s">
        <v>198</v>
      </c>
      <c r="G21" s="20">
        <v>40.003900000000002</v>
      </c>
      <c r="H21" s="20">
        <v>-1154.4393</v>
      </c>
      <c r="I21" s="20">
        <v>53.1312</v>
      </c>
      <c r="J21" s="20">
        <v>47.365499999999997</v>
      </c>
      <c r="K21" s="20">
        <v>41.556199999999997</v>
      </c>
      <c r="L21" s="20">
        <v>-111.5758</v>
      </c>
      <c r="M21" s="20">
        <v>118.4559</v>
      </c>
      <c r="N21" s="20">
        <v>8.9525000000000006</v>
      </c>
      <c r="O21" s="20">
        <v>9.9824999999999999</v>
      </c>
      <c r="P21" s="23">
        <v>7.5236647887180199</v>
      </c>
    </row>
    <row r="22" spans="1:16" x14ac:dyDescent="0.25">
      <c r="A22" s="6" t="s">
        <v>123</v>
      </c>
      <c r="B22" s="6" t="s">
        <v>124</v>
      </c>
      <c r="C22" s="20" t="s">
        <v>198</v>
      </c>
      <c r="D22" s="20" t="s">
        <v>198</v>
      </c>
      <c r="E22" s="20" t="s">
        <v>198</v>
      </c>
      <c r="F22" s="20" t="s">
        <v>198</v>
      </c>
      <c r="G22" s="20">
        <v>68.270700000000005</v>
      </c>
      <c r="H22" s="20">
        <v>-103.1589</v>
      </c>
      <c r="I22" s="20">
        <v>342.88760000000002</v>
      </c>
      <c r="J22" s="20">
        <v>543.99869999999999</v>
      </c>
      <c r="K22" s="20">
        <v>78.887799999999999</v>
      </c>
      <c r="L22" s="20">
        <v>-32.151499999999999</v>
      </c>
      <c r="M22" s="20">
        <v>-65.859800000000007</v>
      </c>
      <c r="N22" s="20">
        <v>10.893599999999999</v>
      </c>
      <c r="O22" s="20">
        <v>12.155099999999999</v>
      </c>
      <c r="P22" s="23">
        <v>9.1610949768110697</v>
      </c>
    </row>
    <row r="23" spans="1:16" x14ac:dyDescent="0.25">
      <c r="A23" s="6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21"/>
    </row>
    <row r="24" spans="1:16" x14ac:dyDescent="0.25">
      <c r="A24" s="6" t="s">
        <v>125</v>
      </c>
      <c r="B24" s="6" t="s">
        <v>126</v>
      </c>
      <c r="C24" s="19" t="s">
        <v>198</v>
      </c>
      <c r="D24" s="19" t="s">
        <v>198</v>
      </c>
      <c r="E24" s="19" t="s">
        <v>198</v>
      </c>
      <c r="F24" s="19" t="s">
        <v>198</v>
      </c>
      <c r="G24" s="19">
        <v>110725.9335</v>
      </c>
      <c r="H24" s="19">
        <v>94087.2353</v>
      </c>
      <c r="I24" s="19">
        <v>126158.5248</v>
      </c>
      <c r="J24" s="19">
        <v>179343.34450000001</v>
      </c>
      <c r="K24" s="19">
        <v>184442.81479999999</v>
      </c>
      <c r="L24" s="19">
        <v>152158.13990000001</v>
      </c>
      <c r="M24" s="19">
        <v>119478.43550000001</v>
      </c>
      <c r="N24" s="19">
        <v>84141.260699999999</v>
      </c>
      <c r="O24" s="19">
        <v>74337.349400000006</v>
      </c>
      <c r="P24" s="22">
        <v>53616.263269870004</v>
      </c>
    </row>
    <row r="25" spans="1:16" x14ac:dyDescent="0.25">
      <c r="A25" s="6" t="s">
        <v>127</v>
      </c>
      <c r="B25" s="6" t="s">
        <v>128</v>
      </c>
      <c r="C25" s="19" t="s">
        <v>198</v>
      </c>
      <c r="D25" s="19" t="s">
        <v>198</v>
      </c>
      <c r="E25" s="19" t="s">
        <v>198</v>
      </c>
      <c r="F25" s="19" t="s">
        <v>198</v>
      </c>
      <c r="G25" s="19">
        <v>102996.28449999999</v>
      </c>
      <c r="H25" s="19">
        <v>91919.289300000004</v>
      </c>
      <c r="I25" s="19">
        <v>128142.1678</v>
      </c>
      <c r="J25" s="19">
        <v>183888.98050000001</v>
      </c>
      <c r="K25" s="19">
        <v>192969.99679999999</v>
      </c>
      <c r="L25" s="19">
        <v>168392.90489999999</v>
      </c>
      <c r="M25" s="19">
        <v>131854.5865</v>
      </c>
      <c r="N25" s="19">
        <v>102546.3397</v>
      </c>
      <c r="O25" s="19">
        <v>84124.232399999994</v>
      </c>
      <c r="P25" s="22">
        <v>63403.146269869998</v>
      </c>
    </row>
    <row r="26" spans="1:16" x14ac:dyDescent="0.25">
      <c r="A26" s="6" t="s">
        <v>129</v>
      </c>
      <c r="B26" s="6" t="s">
        <v>130</v>
      </c>
      <c r="C26" s="20" t="s">
        <v>198</v>
      </c>
      <c r="D26" s="20" t="s">
        <v>198</v>
      </c>
      <c r="E26" s="20" t="s">
        <v>198</v>
      </c>
      <c r="F26" s="20" t="s">
        <v>198</v>
      </c>
      <c r="G26" s="20">
        <v>28.683599999999998</v>
      </c>
      <c r="H26" s="20">
        <v>25.654900000000001</v>
      </c>
      <c r="I26" s="20">
        <v>35.712800000000001</v>
      </c>
      <c r="J26" s="20">
        <v>51.205800000000004</v>
      </c>
      <c r="K26" s="20">
        <v>53.734499999999997</v>
      </c>
      <c r="L26" s="20">
        <v>46.890700000000002</v>
      </c>
      <c r="M26" s="20">
        <v>36.716299999999997</v>
      </c>
      <c r="N26" s="20">
        <v>28.555099999999999</v>
      </c>
      <c r="O26" s="20">
        <v>23.4253</v>
      </c>
      <c r="P26" s="23">
        <v>23.425258294134601</v>
      </c>
    </row>
    <row r="27" spans="1:16" x14ac:dyDescent="0.25">
      <c r="A27" s="6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21"/>
    </row>
    <row r="28" spans="1:16" x14ac:dyDescent="0.25">
      <c r="A28" s="6" t="s">
        <v>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21"/>
    </row>
    <row r="29" spans="1:16" x14ac:dyDescent="0.25">
      <c r="A29" s="11" t="s">
        <v>131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7"/>
    </row>
    <row r="30" spans="1:16" x14ac:dyDescent="0.25">
      <c r="A30" s="10" t="s">
        <v>132</v>
      </c>
      <c r="B30" s="10" t="s">
        <v>133</v>
      </c>
      <c r="C30" s="12" t="s">
        <v>134</v>
      </c>
      <c r="D30" s="12" t="s">
        <v>134</v>
      </c>
      <c r="E30" s="12" t="s">
        <v>134</v>
      </c>
      <c r="F30" s="12" t="s">
        <v>134</v>
      </c>
      <c r="G30" s="12" t="s">
        <v>134</v>
      </c>
      <c r="H30" s="12" t="s">
        <v>135</v>
      </c>
      <c r="I30" s="12" t="s">
        <v>135</v>
      </c>
      <c r="J30" s="12" t="s">
        <v>135</v>
      </c>
      <c r="K30" s="12" t="s">
        <v>135</v>
      </c>
      <c r="L30" s="12" t="s">
        <v>135</v>
      </c>
      <c r="M30" s="12" t="s">
        <v>135</v>
      </c>
      <c r="N30" s="12" t="s">
        <v>135</v>
      </c>
      <c r="O30" s="12" t="s">
        <v>135</v>
      </c>
      <c r="P30" s="15" t="s">
        <v>135</v>
      </c>
    </row>
    <row r="31" spans="1:16" x14ac:dyDescent="0.25">
      <c r="A31" s="10" t="s">
        <v>136</v>
      </c>
      <c r="B31" s="10" t="s">
        <v>137</v>
      </c>
      <c r="C31" s="13">
        <v>12304.984</v>
      </c>
      <c r="D31" s="13">
        <v>15313.797</v>
      </c>
      <c r="E31" s="13">
        <v>18474.841</v>
      </c>
      <c r="F31" s="13">
        <v>24396.212</v>
      </c>
      <c r="G31" s="13">
        <v>25957.941999999999</v>
      </c>
      <c r="H31" s="13">
        <v>28158.21</v>
      </c>
      <c r="I31" s="13">
        <v>29704.780999999999</v>
      </c>
      <c r="J31" s="13">
        <v>35036.139000000003</v>
      </c>
      <c r="K31" s="13">
        <v>39419.4</v>
      </c>
      <c r="L31" s="13">
        <v>45729.491999999998</v>
      </c>
      <c r="M31" s="13">
        <v>44354.593999999997</v>
      </c>
      <c r="N31" s="13">
        <v>43961.508000000002</v>
      </c>
      <c r="O31" s="13">
        <v>43087.368999999999</v>
      </c>
      <c r="P31" s="16">
        <v>43087.368999999999</v>
      </c>
    </row>
    <row r="32" spans="1:16" x14ac:dyDescent="0.25">
      <c r="A32" s="10" t="s">
        <v>53</v>
      </c>
      <c r="B32" s="10" t="s">
        <v>138</v>
      </c>
      <c r="C32" s="13">
        <v>2678.9110000000001</v>
      </c>
      <c r="D32" s="13">
        <v>3659.4549999999999</v>
      </c>
      <c r="E32" s="13">
        <v>4869.4960000000001</v>
      </c>
      <c r="F32" s="13">
        <v>6075.3770000000004</v>
      </c>
      <c r="G32" s="13">
        <v>7170.5709999999999</v>
      </c>
      <c r="H32" s="13">
        <v>6073.6289999999999</v>
      </c>
      <c r="I32" s="13">
        <v>6095.5649999999996</v>
      </c>
      <c r="J32" s="13">
        <v>7607.0720000000001</v>
      </c>
      <c r="K32" s="13">
        <v>7938.1710000000003</v>
      </c>
      <c r="L32" s="13">
        <v>9843.2289999999994</v>
      </c>
      <c r="M32" s="13">
        <v>7312.1180000000004</v>
      </c>
      <c r="N32" s="13">
        <v>8901.7819999999992</v>
      </c>
      <c r="O32" s="13">
        <v>11013.638999999999</v>
      </c>
      <c r="P32" s="16">
        <v>11013.638999999999</v>
      </c>
    </row>
    <row r="33" spans="1:16" x14ac:dyDescent="0.25">
      <c r="A33" s="10" t="s">
        <v>139</v>
      </c>
      <c r="B33" s="10" t="s">
        <v>140</v>
      </c>
      <c r="C33" s="13">
        <v>2492.0520000000001</v>
      </c>
      <c r="D33" s="13">
        <v>3375.5430000000001</v>
      </c>
      <c r="E33" s="13">
        <v>4620.2079999999996</v>
      </c>
      <c r="F33" s="13">
        <v>5623.9070000000002</v>
      </c>
      <c r="G33" s="13">
        <v>6735.5559999999996</v>
      </c>
      <c r="H33" s="13">
        <v>5542.9409999999998</v>
      </c>
      <c r="I33" s="13">
        <v>5410.14</v>
      </c>
      <c r="J33" s="13">
        <v>6892.6130000000003</v>
      </c>
      <c r="K33" s="13">
        <v>7121.2020000000002</v>
      </c>
      <c r="L33" s="13">
        <v>8889.8359999999993</v>
      </c>
      <c r="M33" s="13">
        <v>6238.3249999999998</v>
      </c>
      <c r="N33" s="13">
        <v>7764.6710000000003</v>
      </c>
      <c r="O33" s="13">
        <v>9664.1630000000005</v>
      </c>
      <c r="P33" s="16">
        <v>9664.1630000000005</v>
      </c>
    </row>
    <row r="34" spans="1:16" x14ac:dyDescent="0.25">
      <c r="A34" s="10" t="s">
        <v>141</v>
      </c>
      <c r="B34" s="10" t="s">
        <v>142</v>
      </c>
      <c r="C34" s="13">
        <v>1695.9745</v>
      </c>
      <c r="D34" s="13">
        <v>3011.0115000000001</v>
      </c>
      <c r="E34" s="13">
        <v>2235.7129</v>
      </c>
      <c r="F34" s="13">
        <v>3394.9263999999998</v>
      </c>
      <c r="G34" s="13">
        <v>2574.6583999999998</v>
      </c>
      <c r="H34" s="13">
        <v>-79.622500000000002</v>
      </c>
      <c r="I34" s="13">
        <v>2411.8047999999999</v>
      </c>
      <c r="J34" s="13">
        <v>3882.3420000000001</v>
      </c>
      <c r="K34" s="13">
        <v>4643.5892000000003</v>
      </c>
      <c r="L34" s="13">
        <v>-1509.2240999999999</v>
      </c>
      <c r="M34" s="13">
        <v>1113.1115</v>
      </c>
      <c r="N34" s="13">
        <v>11454.5281</v>
      </c>
      <c r="O34" s="13">
        <v>8427.1623999999993</v>
      </c>
      <c r="P34" s="16">
        <v>10276.554850946201</v>
      </c>
    </row>
    <row r="35" spans="1:16" x14ac:dyDescent="0.25">
      <c r="A35" s="10" t="s">
        <v>143</v>
      </c>
      <c r="B35" s="10" t="s">
        <v>144</v>
      </c>
      <c r="C35" s="13">
        <v>1040.8795</v>
      </c>
      <c r="D35" s="13">
        <v>2170.7845000000002</v>
      </c>
      <c r="E35" s="13">
        <v>1692.0209</v>
      </c>
      <c r="F35" s="13">
        <v>2565.9953999999998</v>
      </c>
      <c r="G35" s="13">
        <v>1508.6443999999999</v>
      </c>
      <c r="H35" s="13">
        <v>-891.04549999999995</v>
      </c>
      <c r="I35" s="13">
        <v>373.71480000000003</v>
      </c>
      <c r="J35" s="13">
        <v>338.03199999999998</v>
      </c>
      <c r="K35" s="13">
        <v>2446.1332000000002</v>
      </c>
      <c r="L35" s="13">
        <v>-5237.4750999999997</v>
      </c>
      <c r="M35" s="13">
        <v>-2002.0485000000001</v>
      </c>
      <c r="N35" s="13">
        <v>9413.4901000000009</v>
      </c>
      <c r="O35" s="13">
        <v>6920.9134000000004</v>
      </c>
      <c r="P35" s="16">
        <v>8770.3058509462298</v>
      </c>
    </row>
    <row r="36" spans="1:16" x14ac:dyDescent="0.25">
      <c r="A36" s="7" t="s">
        <v>65</v>
      </c>
      <c r="B36" s="7"/>
      <c r="C36" s="7" t="s">
        <v>4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9"/>
  <sheetViews>
    <sheetView workbookViewId="0">
      <selection activeCell="H11" sqref="H11"/>
    </sheetView>
  </sheetViews>
  <sheetFormatPr baseColWidth="10" defaultRowHeight="15" x14ac:dyDescent="0.25"/>
  <cols>
    <col min="1" max="1" width="35.140625" customWidth="1"/>
    <col min="2" max="2" width="0" hidden="1" customWidth="1"/>
    <col min="3" max="12" width="11.8554687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.25" x14ac:dyDescent="0.25">
      <c r="A2" s="8" t="s">
        <v>145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3" t="s">
        <v>67</v>
      </c>
      <c r="B4" s="3"/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18</v>
      </c>
      <c r="K4" s="4" t="s">
        <v>19</v>
      </c>
      <c r="L4" s="4" t="s">
        <v>99</v>
      </c>
    </row>
    <row r="5" spans="1:12" x14ac:dyDescent="0.25">
      <c r="A5" s="9" t="s">
        <v>21</v>
      </c>
      <c r="B5" s="9"/>
      <c r="C5" s="5" t="s">
        <v>26</v>
      </c>
      <c r="D5" s="5" t="s">
        <v>27</v>
      </c>
      <c r="E5" s="5" t="s">
        <v>28</v>
      </c>
      <c r="F5" s="5" t="s">
        <v>29</v>
      </c>
      <c r="G5" s="5" t="s">
        <v>30</v>
      </c>
      <c r="H5" s="5" t="s">
        <v>31</v>
      </c>
      <c r="I5" s="5" t="s">
        <v>32</v>
      </c>
      <c r="J5" s="5" t="s">
        <v>33</v>
      </c>
      <c r="K5" s="5" t="s">
        <v>34</v>
      </c>
      <c r="L5" s="5" t="s">
        <v>100</v>
      </c>
    </row>
    <row r="6" spans="1:12" x14ac:dyDescent="0.25">
      <c r="A6" s="6" t="s">
        <v>146</v>
      </c>
      <c r="B6" s="6" t="s">
        <v>147</v>
      </c>
      <c r="C6" s="20">
        <v>21.283799999999999</v>
      </c>
      <c r="D6" s="20">
        <v>23.446400000000001</v>
      </c>
      <c r="E6" s="20">
        <v>33.986499999999999</v>
      </c>
      <c r="F6" s="20">
        <v>34.923099999999998</v>
      </c>
      <c r="G6" s="20">
        <v>36.743600000000001</v>
      </c>
      <c r="H6" s="20">
        <v>25.8354</v>
      </c>
      <c r="I6" s="20">
        <v>25.396899999999999</v>
      </c>
      <c r="J6" s="20">
        <v>21.3</v>
      </c>
      <c r="K6" s="20">
        <v>8.5891999999999999</v>
      </c>
      <c r="L6" s="23">
        <v>6.1950208735169197</v>
      </c>
    </row>
    <row r="7" spans="1:12" x14ac:dyDescent="0.25">
      <c r="A7" s="10" t="s">
        <v>148</v>
      </c>
      <c r="B7" s="10" t="s">
        <v>149</v>
      </c>
      <c r="C7" s="14">
        <v>92.301100000000005</v>
      </c>
      <c r="D7" s="14">
        <v>20.283200000000001</v>
      </c>
      <c r="E7" s="14">
        <v>26.316299999999998</v>
      </c>
      <c r="F7" s="14">
        <v>38.722999999999999</v>
      </c>
      <c r="G7" s="14">
        <v>33.613599999999998</v>
      </c>
      <c r="H7" s="14">
        <v>32.158799999999999</v>
      </c>
      <c r="I7" s="14">
        <v>25.3444</v>
      </c>
      <c r="J7" s="14">
        <v>24.380199999999999</v>
      </c>
      <c r="K7" s="14">
        <v>19.3781</v>
      </c>
      <c r="L7" s="17"/>
    </row>
    <row r="8" spans="1:12" x14ac:dyDescent="0.25">
      <c r="A8" s="10" t="s">
        <v>150</v>
      </c>
      <c r="B8" s="10" t="s">
        <v>151</v>
      </c>
      <c r="C8" s="14">
        <v>104.7647</v>
      </c>
      <c r="D8" s="14">
        <v>24.932400000000001</v>
      </c>
      <c r="E8" s="14">
        <v>33.986499999999999</v>
      </c>
      <c r="F8" s="14">
        <v>48.650199999999998</v>
      </c>
      <c r="G8" s="14">
        <v>37.258699999999997</v>
      </c>
      <c r="H8" s="14">
        <v>38.203000000000003</v>
      </c>
      <c r="I8" s="14">
        <v>29.5915</v>
      </c>
      <c r="J8" s="14">
        <v>31.450399999999998</v>
      </c>
      <c r="K8" s="14">
        <v>23.127300000000002</v>
      </c>
      <c r="L8" s="17"/>
    </row>
    <row r="9" spans="1:12" x14ac:dyDescent="0.25">
      <c r="A9" s="10" t="s">
        <v>152</v>
      </c>
      <c r="B9" s="10" t="s">
        <v>153</v>
      </c>
      <c r="C9" s="14">
        <v>21.283799999999999</v>
      </c>
      <c r="D9" s="14">
        <v>15.1351</v>
      </c>
      <c r="E9" s="14">
        <v>20.875</v>
      </c>
      <c r="F9" s="14">
        <v>26.582100000000001</v>
      </c>
      <c r="G9" s="14">
        <v>28.3217</v>
      </c>
      <c r="H9" s="14">
        <v>25.39</v>
      </c>
      <c r="I9" s="14">
        <v>17.75</v>
      </c>
      <c r="J9" s="14">
        <v>17.496200000000002</v>
      </c>
      <c r="K9" s="14">
        <v>8.5891999999999999</v>
      </c>
      <c r="L9" s="17"/>
    </row>
    <row r="10" spans="1:12" x14ac:dyDescent="0.25">
      <c r="A10" s="6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21"/>
    </row>
    <row r="11" spans="1:12" x14ac:dyDescent="0.25">
      <c r="A11" s="6" t="s">
        <v>154</v>
      </c>
      <c r="B11" s="6" t="s">
        <v>155</v>
      </c>
      <c r="C11" s="20">
        <v>2.4100999999999999</v>
      </c>
      <c r="D11" s="20">
        <v>1.9681</v>
      </c>
      <c r="E11" s="20">
        <v>2.6002000000000001</v>
      </c>
      <c r="F11" s="20">
        <v>3.2806999999999999</v>
      </c>
      <c r="G11" s="20">
        <v>3.1608999999999998</v>
      </c>
      <c r="H11" s="20">
        <v>2.6097000000000001</v>
      </c>
      <c r="I11" s="20">
        <v>2.0777000000000001</v>
      </c>
      <c r="J11" s="20">
        <v>1.2611000000000001</v>
      </c>
      <c r="K11" s="20">
        <v>1.0586</v>
      </c>
      <c r="L11" s="23">
        <v>0.76350413568932496</v>
      </c>
    </row>
    <row r="12" spans="1:12" x14ac:dyDescent="0.25">
      <c r="A12" s="10" t="s">
        <v>148</v>
      </c>
      <c r="B12" s="10" t="s">
        <v>156</v>
      </c>
      <c r="C12" s="14">
        <v>4.0987</v>
      </c>
      <c r="D12" s="14">
        <v>2.2940999999999998</v>
      </c>
      <c r="E12" s="14">
        <v>2.2080000000000002</v>
      </c>
      <c r="F12" s="14">
        <v>2.9649000000000001</v>
      </c>
      <c r="G12" s="14">
        <v>3.1564999999999999</v>
      </c>
      <c r="H12" s="14">
        <v>2.7681</v>
      </c>
      <c r="I12" s="14">
        <v>2.5581</v>
      </c>
      <c r="J12" s="14">
        <v>1.9925999999999999</v>
      </c>
      <c r="K12" s="14">
        <v>1.1495</v>
      </c>
      <c r="L12" s="17"/>
    </row>
    <row r="13" spans="1:12" x14ac:dyDescent="0.25">
      <c r="A13" s="10" t="s">
        <v>150</v>
      </c>
      <c r="B13" s="10" t="s">
        <v>157</v>
      </c>
      <c r="C13" s="14">
        <v>4.6447000000000003</v>
      </c>
      <c r="D13" s="14">
        <v>2.8233000000000001</v>
      </c>
      <c r="E13" s="14">
        <v>2.6539000000000001</v>
      </c>
      <c r="F13" s="14">
        <v>3.722</v>
      </c>
      <c r="G13" s="14">
        <v>3.5001000000000002</v>
      </c>
      <c r="H13" s="14">
        <v>3.2865000000000002</v>
      </c>
      <c r="I13" s="14">
        <v>2.9891000000000001</v>
      </c>
      <c r="J13" s="14">
        <v>2.573</v>
      </c>
      <c r="K13" s="14">
        <v>1.3692</v>
      </c>
      <c r="L13" s="17"/>
    </row>
    <row r="14" spans="1:12" x14ac:dyDescent="0.25">
      <c r="A14" s="10" t="s">
        <v>152</v>
      </c>
      <c r="B14" s="10" t="s">
        <v>158</v>
      </c>
      <c r="C14" s="14">
        <v>2.4100999999999999</v>
      </c>
      <c r="D14" s="14">
        <v>1.7139</v>
      </c>
      <c r="E14" s="14">
        <v>1.7523</v>
      </c>
      <c r="F14" s="14">
        <v>2.0337000000000001</v>
      </c>
      <c r="G14" s="14">
        <v>2.6604999999999999</v>
      </c>
      <c r="H14" s="14">
        <v>2.1842000000000001</v>
      </c>
      <c r="I14" s="14">
        <v>1.7928999999999999</v>
      </c>
      <c r="J14" s="14">
        <v>1.2611000000000001</v>
      </c>
      <c r="K14" s="14">
        <v>0.89449999999999996</v>
      </c>
      <c r="L14" s="17"/>
    </row>
    <row r="15" spans="1:12" x14ac:dyDescent="0.25">
      <c r="A15" s="6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21"/>
    </row>
    <row r="16" spans="1:12" x14ac:dyDescent="0.25">
      <c r="A16" s="6" t="s">
        <v>159</v>
      </c>
      <c r="B16" s="6" t="s">
        <v>160</v>
      </c>
      <c r="C16" s="20">
        <v>3.8614000000000002</v>
      </c>
      <c r="D16" s="20">
        <v>3.5123000000000002</v>
      </c>
      <c r="E16" s="20">
        <v>4.4997999999999996</v>
      </c>
      <c r="F16" s="20">
        <v>5.5476000000000001</v>
      </c>
      <c r="G16" s="20">
        <v>6.0018000000000002</v>
      </c>
      <c r="H16" s="20">
        <v>4.5509000000000004</v>
      </c>
      <c r="I16" s="20">
        <v>3.4089</v>
      </c>
      <c r="J16" s="20">
        <v>2.0987</v>
      </c>
      <c r="K16" s="20">
        <v>1.6434</v>
      </c>
      <c r="L16" s="23">
        <v>1.1853067620532201</v>
      </c>
    </row>
    <row r="17" spans="1:12" x14ac:dyDescent="0.25">
      <c r="A17" s="10" t="s">
        <v>148</v>
      </c>
      <c r="B17" s="10" t="s">
        <v>161</v>
      </c>
      <c r="C17" s="14">
        <v>11.1835</v>
      </c>
      <c r="D17" s="14">
        <v>3.6768999999999998</v>
      </c>
      <c r="E17" s="14">
        <v>3.9399000000000002</v>
      </c>
      <c r="F17" s="14">
        <v>5.1306000000000003</v>
      </c>
      <c r="G17" s="14">
        <v>5.3402000000000003</v>
      </c>
      <c r="H17" s="14">
        <v>5.2542</v>
      </c>
      <c r="I17" s="14">
        <v>4.4600999999999997</v>
      </c>
      <c r="J17" s="14">
        <v>3.2694000000000001</v>
      </c>
      <c r="K17" s="14">
        <v>1.9125000000000001</v>
      </c>
      <c r="L17" s="17"/>
    </row>
    <row r="18" spans="1:12" x14ac:dyDescent="0.25">
      <c r="A18" s="10" t="s">
        <v>150</v>
      </c>
      <c r="B18" s="10" t="s">
        <v>162</v>
      </c>
      <c r="C18" s="14">
        <v>12.687200000000001</v>
      </c>
      <c r="D18" s="14">
        <v>4.5233999999999996</v>
      </c>
      <c r="E18" s="14">
        <v>4.7362000000000002</v>
      </c>
      <c r="F18" s="14">
        <v>6.4413</v>
      </c>
      <c r="G18" s="14">
        <v>6.0018000000000002</v>
      </c>
      <c r="H18" s="14">
        <v>6.2401999999999997</v>
      </c>
      <c r="I18" s="14">
        <v>5.2125000000000004</v>
      </c>
      <c r="J18" s="14">
        <v>4.2214</v>
      </c>
      <c r="K18" s="14">
        <v>2.2787999999999999</v>
      </c>
      <c r="L18" s="17"/>
    </row>
    <row r="19" spans="1:12" x14ac:dyDescent="0.25">
      <c r="A19" s="10" t="s">
        <v>152</v>
      </c>
      <c r="B19" s="10" t="s">
        <v>163</v>
      </c>
      <c r="C19" s="14">
        <v>3.8614000000000002</v>
      </c>
      <c r="D19" s="14">
        <v>2.7458999999999998</v>
      </c>
      <c r="E19" s="14">
        <v>3.1271</v>
      </c>
      <c r="F19" s="14">
        <v>3.5194999999999999</v>
      </c>
      <c r="G19" s="14">
        <v>4.4989999999999997</v>
      </c>
      <c r="H19" s="14">
        <v>4.1473000000000004</v>
      </c>
      <c r="I19" s="14">
        <v>3.1265999999999998</v>
      </c>
      <c r="J19" s="14">
        <v>2.0987</v>
      </c>
      <c r="K19" s="14">
        <v>1.4886999999999999</v>
      </c>
      <c r="L19" s="17"/>
    </row>
    <row r="20" spans="1:12" x14ac:dyDescent="0.25">
      <c r="A20" s="6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21"/>
    </row>
    <row r="21" spans="1:12" x14ac:dyDescent="0.25">
      <c r="A21" s="6" t="s">
        <v>164</v>
      </c>
      <c r="B21" s="6" t="s">
        <v>165</v>
      </c>
      <c r="C21" s="20">
        <v>4.2656000000000001</v>
      </c>
      <c r="D21" s="20">
        <v>3.3414000000000001</v>
      </c>
      <c r="E21" s="20">
        <v>4.2470999999999997</v>
      </c>
      <c r="F21" s="20">
        <v>5.1188000000000002</v>
      </c>
      <c r="G21" s="20">
        <v>4.6790000000000003</v>
      </c>
      <c r="H21" s="20">
        <v>3.3273999999999999</v>
      </c>
      <c r="I21" s="20">
        <v>2.6937000000000002</v>
      </c>
      <c r="J21" s="20">
        <v>1.9139999999999999</v>
      </c>
      <c r="K21" s="20">
        <v>1.7253000000000001</v>
      </c>
      <c r="L21" s="23">
        <v>1.24436150348075</v>
      </c>
    </row>
    <row r="22" spans="1:12" x14ac:dyDescent="0.25">
      <c r="A22" s="10" t="s">
        <v>148</v>
      </c>
      <c r="B22" s="10" t="s">
        <v>166</v>
      </c>
      <c r="C22" s="14">
        <v>12.086</v>
      </c>
      <c r="D22" s="14">
        <v>4.0597000000000003</v>
      </c>
      <c r="E22" s="14">
        <v>3.7480000000000002</v>
      </c>
      <c r="F22" s="14">
        <v>4.8419999999999996</v>
      </c>
      <c r="G22" s="14">
        <v>4.9241000000000001</v>
      </c>
      <c r="H22" s="14">
        <v>4.0952999999999999</v>
      </c>
      <c r="I22" s="14">
        <v>3.2618</v>
      </c>
      <c r="J22" s="14">
        <v>2.5844999999999998</v>
      </c>
      <c r="K22" s="14">
        <v>1.7451000000000001</v>
      </c>
      <c r="L22" s="17"/>
    </row>
    <row r="23" spans="1:12" x14ac:dyDescent="0.25">
      <c r="A23" s="10" t="s">
        <v>150</v>
      </c>
      <c r="B23" s="10" t="s">
        <v>167</v>
      </c>
      <c r="C23" s="14">
        <v>14.2417</v>
      </c>
      <c r="D23" s="14">
        <v>5.0644999999999998</v>
      </c>
      <c r="E23" s="14">
        <v>4.5781999999999998</v>
      </c>
      <c r="F23" s="14">
        <v>6.1772999999999998</v>
      </c>
      <c r="G23" s="14">
        <v>5.5861999999999998</v>
      </c>
      <c r="H23" s="14">
        <v>5.1007999999999996</v>
      </c>
      <c r="I23" s="14">
        <v>3.8456999999999999</v>
      </c>
      <c r="J23" s="14">
        <v>3.4150999999999998</v>
      </c>
      <c r="K23" s="14">
        <v>2.1190000000000002</v>
      </c>
      <c r="L23" s="17"/>
    </row>
    <row r="24" spans="1:12" x14ac:dyDescent="0.25">
      <c r="A24" s="10" t="s">
        <v>152</v>
      </c>
      <c r="B24" s="10" t="s">
        <v>168</v>
      </c>
      <c r="C24" s="14">
        <v>4.2465999999999999</v>
      </c>
      <c r="D24" s="14">
        <v>2.9872999999999998</v>
      </c>
      <c r="E24" s="14">
        <v>2.9380000000000002</v>
      </c>
      <c r="F24" s="14">
        <v>3.1032000000000002</v>
      </c>
      <c r="G24" s="14">
        <v>4.0590000000000002</v>
      </c>
      <c r="H24" s="14">
        <v>3.1913</v>
      </c>
      <c r="I24" s="14">
        <v>2.2570000000000001</v>
      </c>
      <c r="J24" s="14">
        <v>1.8428</v>
      </c>
      <c r="K24" s="14">
        <v>1.2825</v>
      </c>
      <c r="L24" s="17"/>
    </row>
    <row r="25" spans="1:12" x14ac:dyDescent="0.25">
      <c r="A25" s="6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21"/>
    </row>
    <row r="26" spans="1:12" x14ac:dyDescent="0.25">
      <c r="A26" s="6" t="s">
        <v>169</v>
      </c>
      <c r="B26" s="6" t="s">
        <v>170</v>
      </c>
      <c r="C26" s="20">
        <v>51.477899999999998</v>
      </c>
      <c r="D26" s="20" t="s">
        <v>198</v>
      </c>
      <c r="E26" s="20">
        <v>62.145800000000001</v>
      </c>
      <c r="F26" s="20">
        <v>51.641800000000003</v>
      </c>
      <c r="G26" s="20">
        <v>44.611600000000003</v>
      </c>
      <c r="H26" s="20" t="s">
        <v>198</v>
      </c>
      <c r="I26" s="20">
        <v>435.4742</v>
      </c>
      <c r="J26" s="20">
        <v>8.0678000000000001</v>
      </c>
      <c r="K26" s="20">
        <v>9.7888999999999999</v>
      </c>
      <c r="L26" s="23">
        <v>7.06027757039866</v>
      </c>
    </row>
    <row r="27" spans="1:12" x14ac:dyDescent="0.25">
      <c r="A27" s="10" t="s">
        <v>148</v>
      </c>
      <c r="B27" s="10" t="s">
        <v>171</v>
      </c>
      <c r="C27" s="14">
        <v>94.275599999999997</v>
      </c>
      <c r="D27" s="14">
        <v>49.027299999999997</v>
      </c>
      <c r="E27" s="14">
        <v>62.145800000000001</v>
      </c>
      <c r="F27" s="14">
        <v>70.758200000000002</v>
      </c>
      <c r="G27" s="14">
        <v>49.667000000000002</v>
      </c>
      <c r="H27" s="14">
        <v>39.075699999999998</v>
      </c>
      <c r="I27" s="14">
        <v>435.4742</v>
      </c>
      <c r="J27" s="14">
        <v>416.61680000000001</v>
      </c>
      <c r="K27" s="14">
        <v>7.3658999999999999</v>
      </c>
      <c r="L27" s="17"/>
    </row>
    <row r="28" spans="1:12" x14ac:dyDescent="0.25">
      <c r="A28" s="10" t="s">
        <v>150</v>
      </c>
      <c r="B28" s="10" t="s">
        <v>172</v>
      </c>
      <c r="C28" s="14">
        <v>106.8556</v>
      </c>
      <c r="D28" s="14">
        <v>60.302700000000002</v>
      </c>
      <c r="E28" s="14">
        <v>62.145800000000001</v>
      </c>
      <c r="F28" s="14">
        <v>88.9589</v>
      </c>
      <c r="G28" s="14">
        <v>55.095700000000001</v>
      </c>
      <c r="H28" s="14">
        <v>46.383600000000001</v>
      </c>
      <c r="I28" s="14">
        <v>435.4742</v>
      </c>
      <c r="J28" s="14">
        <v>539.27070000000003</v>
      </c>
      <c r="K28" s="14">
        <v>9.7888999999999999</v>
      </c>
      <c r="L28" s="17"/>
    </row>
    <row r="29" spans="1:12" x14ac:dyDescent="0.25">
      <c r="A29" s="10" t="s">
        <v>152</v>
      </c>
      <c r="B29" s="10" t="s">
        <v>173</v>
      </c>
      <c r="C29" s="14">
        <v>51.477899999999998</v>
      </c>
      <c r="D29" s="14">
        <v>36.606499999999997</v>
      </c>
      <c r="E29" s="14">
        <v>62.145800000000001</v>
      </c>
      <c r="F29" s="14">
        <v>48.6066</v>
      </c>
      <c r="G29" s="14">
        <v>41.880099999999999</v>
      </c>
      <c r="H29" s="14">
        <v>30.826799999999999</v>
      </c>
      <c r="I29" s="14">
        <v>435.4742</v>
      </c>
      <c r="J29" s="14">
        <v>8.0678000000000001</v>
      </c>
      <c r="K29" s="14">
        <v>5.7229000000000001</v>
      </c>
      <c r="L29" s="17"/>
    </row>
    <row r="30" spans="1:12" x14ac:dyDescent="0.25">
      <c r="A30" s="6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21"/>
    </row>
    <row r="31" spans="1:12" x14ac:dyDescent="0.25">
      <c r="A31" s="6" t="s">
        <v>174</v>
      </c>
      <c r="B31" s="6" t="s">
        <v>175</v>
      </c>
      <c r="C31" s="20">
        <v>102.05840000000001</v>
      </c>
      <c r="D31" s="20" t="s">
        <v>198</v>
      </c>
      <c r="E31" s="20" t="s">
        <v>198</v>
      </c>
      <c r="F31" s="20" t="s">
        <v>198</v>
      </c>
      <c r="G31" s="20">
        <v>95.222999999999999</v>
      </c>
      <c r="H31" s="20" t="s">
        <v>198</v>
      </c>
      <c r="I31" s="20" t="s">
        <v>198</v>
      </c>
      <c r="J31" s="20">
        <v>10.030900000000001</v>
      </c>
      <c r="K31" s="20">
        <v>12.210800000000001</v>
      </c>
      <c r="L31" s="23">
        <v>8.8071309666425996</v>
      </c>
    </row>
    <row r="32" spans="1:12" x14ac:dyDescent="0.25">
      <c r="A32" s="10" t="s">
        <v>148</v>
      </c>
      <c r="B32" s="10" t="s">
        <v>176</v>
      </c>
      <c r="C32" s="14">
        <v>128.3758</v>
      </c>
      <c r="D32" s="14">
        <v>97.1999</v>
      </c>
      <c r="E32" s="14" t="s">
        <v>198</v>
      </c>
      <c r="F32" s="14" t="s">
        <v>198</v>
      </c>
      <c r="G32" s="14">
        <v>95.222999999999999</v>
      </c>
      <c r="H32" s="14">
        <v>83.406599999999997</v>
      </c>
      <c r="I32" s="14" t="s">
        <v>198</v>
      </c>
      <c r="J32" s="14">
        <v>10.030900000000001</v>
      </c>
      <c r="K32" s="14">
        <v>9.1583000000000006</v>
      </c>
      <c r="L32" s="17"/>
    </row>
    <row r="33" spans="1:12" x14ac:dyDescent="0.25">
      <c r="A33" s="10" t="s">
        <v>150</v>
      </c>
      <c r="B33" s="10" t="s">
        <v>177</v>
      </c>
      <c r="C33" s="14">
        <v>145.34469999999999</v>
      </c>
      <c r="D33" s="14">
        <v>119.55410000000001</v>
      </c>
      <c r="E33" s="14" t="s">
        <v>198</v>
      </c>
      <c r="F33" s="14" t="s">
        <v>198</v>
      </c>
      <c r="G33" s="14">
        <v>95.222999999999999</v>
      </c>
      <c r="H33" s="14">
        <v>99.005300000000005</v>
      </c>
      <c r="I33" s="14" t="s">
        <v>198</v>
      </c>
      <c r="J33" s="14">
        <v>10.030900000000001</v>
      </c>
      <c r="K33" s="14">
        <v>12.210800000000001</v>
      </c>
      <c r="L33" s="17"/>
    </row>
    <row r="34" spans="1:12" x14ac:dyDescent="0.25">
      <c r="A34" s="10" t="s">
        <v>152</v>
      </c>
      <c r="B34" s="10" t="s">
        <v>178</v>
      </c>
      <c r="C34" s="14">
        <v>102.05840000000001</v>
      </c>
      <c r="D34" s="14">
        <v>72.5749</v>
      </c>
      <c r="E34" s="14" t="s">
        <v>198</v>
      </c>
      <c r="F34" s="14" t="s">
        <v>198</v>
      </c>
      <c r="G34" s="14">
        <v>95.222999999999999</v>
      </c>
      <c r="H34" s="14">
        <v>65.799599999999998</v>
      </c>
      <c r="I34" s="14" t="s">
        <v>198</v>
      </c>
      <c r="J34" s="14">
        <v>10.030900000000001</v>
      </c>
      <c r="K34" s="14">
        <v>7.1154000000000002</v>
      </c>
      <c r="L34" s="17"/>
    </row>
    <row r="35" spans="1:12" x14ac:dyDescent="0.25">
      <c r="A35" s="6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21"/>
    </row>
    <row r="36" spans="1:12" x14ac:dyDescent="0.25">
      <c r="A36" s="6" t="s">
        <v>115</v>
      </c>
      <c r="B36" s="6" t="s">
        <v>116</v>
      </c>
      <c r="C36" s="20">
        <v>3.9678</v>
      </c>
      <c r="D36" s="20">
        <v>3.2644000000000002</v>
      </c>
      <c r="E36" s="20">
        <v>4.3139000000000003</v>
      </c>
      <c r="F36" s="20">
        <v>5.2485999999999997</v>
      </c>
      <c r="G36" s="20">
        <v>4.8952999999999998</v>
      </c>
      <c r="H36" s="20">
        <v>3.6823999999999999</v>
      </c>
      <c r="I36" s="20">
        <v>2.9727000000000001</v>
      </c>
      <c r="J36" s="20">
        <v>2.3325999999999998</v>
      </c>
      <c r="K36" s="20">
        <v>1.9523999999999999</v>
      </c>
      <c r="L36" s="23">
        <v>1.47150189592523</v>
      </c>
    </row>
    <row r="37" spans="1:12" x14ac:dyDescent="0.25">
      <c r="A37" s="10" t="s">
        <v>148</v>
      </c>
      <c r="B37" s="10" t="s">
        <v>179</v>
      </c>
      <c r="C37" s="14">
        <v>4.9221000000000004</v>
      </c>
      <c r="D37" s="14">
        <v>3.8315000000000001</v>
      </c>
      <c r="E37" s="14">
        <v>3.7458999999999998</v>
      </c>
      <c r="F37" s="14">
        <v>4.9978999999999996</v>
      </c>
      <c r="G37" s="14">
        <v>5.1077000000000004</v>
      </c>
      <c r="H37" s="14">
        <v>4.3121999999999998</v>
      </c>
      <c r="I37" s="14">
        <v>3.6164999999999998</v>
      </c>
      <c r="J37" s="14">
        <v>2.8641000000000001</v>
      </c>
      <c r="K37" s="14">
        <v>2.1629999999999998</v>
      </c>
      <c r="L37" s="17"/>
    </row>
    <row r="38" spans="1:12" x14ac:dyDescent="0.25">
      <c r="A38" s="10" t="s">
        <v>150</v>
      </c>
      <c r="B38" s="10" t="s">
        <v>180</v>
      </c>
      <c r="C38" s="14">
        <v>5.5467000000000004</v>
      </c>
      <c r="D38" s="14">
        <v>4.8047000000000004</v>
      </c>
      <c r="E38" s="14">
        <v>4.5180999999999996</v>
      </c>
      <c r="F38" s="14">
        <v>6.258</v>
      </c>
      <c r="G38" s="14">
        <v>5.6864999999999997</v>
      </c>
      <c r="H38" s="14">
        <v>5.0811999999999999</v>
      </c>
      <c r="I38" s="14">
        <v>4.1661000000000001</v>
      </c>
      <c r="J38" s="14">
        <v>3.6147999999999998</v>
      </c>
      <c r="K38" s="14">
        <v>2.4967999999999999</v>
      </c>
      <c r="L38" s="17"/>
    </row>
    <row r="39" spans="1:12" x14ac:dyDescent="0.25">
      <c r="A39" s="10" t="s">
        <v>152</v>
      </c>
      <c r="B39" s="10" t="s">
        <v>181</v>
      </c>
      <c r="C39" s="14">
        <v>4.0446</v>
      </c>
      <c r="D39" s="14">
        <v>2.7635999999999998</v>
      </c>
      <c r="E39" s="14">
        <v>2.9569999999999999</v>
      </c>
      <c r="F39" s="14">
        <v>3.4496000000000002</v>
      </c>
      <c r="G39" s="14">
        <v>4.3536000000000001</v>
      </c>
      <c r="H39" s="14">
        <v>3.4495</v>
      </c>
      <c r="I39" s="14">
        <v>2.6410999999999998</v>
      </c>
      <c r="J39" s="14">
        <v>2.1347</v>
      </c>
      <c r="K39" s="14">
        <v>1.7763</v>
      </c>
      <c r="L39" s="17"/>
    </row>
    <row r="40" spans="1:12" x14ac:dyDescent="0.25">
      <c r="A40" s="6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21"/>
    </row>
    <row r="41" spans="1:12" x14ac:dyDescent="0.25">
      <c r="A41" s="6" t="s">
        <v>117</v>
      </c>
      <c r="B41" s="6" t="s">
        <v>118</v>
      </c>
      <c r="C41" s="20">
        <v>14.3637</v>
      </c>
      <c r="D41" s="20">
        <v>15.1342</v>
      </c>
      <c r="E41" s="20">
        <v>21.022200000000002</v>
      </c>
      <c r="F41" s="20">
        <v>24.173400000000001</v>
      </c>
      <c r="G41" s="20">
        <v>24.309100000000001</v>
      </c>
      <c r="H41" s="20">
        <v>17.107500000000002</v>
      </c>
      <c r="I41" s="20">
        <v>18.032299999999999</v>
      </c>
      <c r="J41" s="20">
        <v>11.5198</v>
      </c>
      <c r="K41" s="20">
        <v>7.6382000000000003</v>
      </c>
      <c r="L41" s="23">
        <v>5.7567843992280796</v>
      </c>
    </row>
    <row r="42" spans="1:12" x14ac:dyDescent="0.25">
      <c r="A42" s="10" t="s">
        <v>148</v>
      </c>
      <c r="B42" s="10" t="s">
        <v>182</v>
      </c>
      <c r="C42" s="14">
        <v>19.7578</v>
      </c>
      <c r="D42" s="14">
        <v>13.883800000000001</v>
      </c>
      <c r="E42" s="14">
        <v>17.370899999999999</v>
      </c>
      <c r="F42" s="14">
        <v>24.350100000000001</v>
      </c>
      <c r="G42" s="14">
        <v>23.531500000000001</v>
      </c>
      <c r="H42" s="14">
        <v>21.4087</v>
      </c>
      <c r="I42" s="14">
        <v>16.8185</v>
      </c>
      <c r="J42" s="14">
        <v>17.3627</v>
      </c>
      <c r="K42" s="14">
        <v>10.6739</v>
      </c>
      <c r="L42" s="17"/>
    </row>
    <row r="43" spans="1:12" x14ac:dyDescent="0.25">
      <c r="A43" s="10" t="s">
        <v>150</v>
      </c>
      <c r="B43" s="10" t="s">
        <v>183</v>
      </c>
      <c r="C43" s="14">
        <v>22.273299999999999</v>
      </c>
      <c r="D43" s="14">
        <v>17.3935</v>
      </c>
      <c r="E43" s="14">
        <v>21.4024</v>
      </c>
      <c r="F43" s="14">
        <v>30.496200000000002</v>
      </c>
      <c r="G43" s="14">
        <v>26.1905</v>
      </c>
      <c r="H43" s="14">
        <v>25.231999999999999</v>
      </c>
      <c r="I43" s="14">
        <v>19.354900000000001</v>
      </c>
      <c r="J43" s="14">
        <v>21.927</v>
      </c>
      <c r="K43" s="14">
        <v>12.3306</v>
      </c>
      <c r="L43" s="17"/>
    </row>
    <row r="44" spans="1:12" x14ac:dyDescent="0.25">
      <c r="A44" s="10" t="s">
        <v>152</v>
      </c>
      <c r="B44" s="10" t="s">
        <v>184</v>
      </c>
      <c r="C44" s="14">
        <v>14.6417</v>
      </c>
      <c r="D44" s="14">
        <v>10.0044</v>
      </c>
      <c r="E44" s="14">
        <v>13.709</v>
      </c>
      <c r="F44" s="14">
        <v>16.810500000000001</v>
      </c>
      <c r="G44" s="14">
        <v>20.051600000000001</v>
      </c>
      <c r="H44" s="14">
        <v>17.107500000000002</v>
      </c>
      <c r="I44" s="14">
        <v>12.2697</v>
      </c>
      <c r="J44" s="14">
        <v>11.5198</v>
      </c>
      <c r="K44" s="14">
        <v>7.6382000000000003</v>
      </c>
      <c r="L44" s="17"/>
    </row>
    <row r="45" spans="1:12" x14ac:dyDescent="0.25">
      <c r="A45" s="6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21"/>
    </row>
    <row r="46" spans="1:12" x14ac:dyDescent="0.25">
      <c r="A46" s="6" t="s">
        <v>119</v>
      </c>
      <c r="B46" s="6" t="s">
        <v>120</v>
      </c>
      <c r="C46" s="20">
        <v>15.291399999999999</v>
      </c>
      <c r="D46" s="20">
        <v>16.583100000000002</v>
      </c>
      <c r="E46" s="20">
        <v>23.685600000000001</v>
      </c>
      <c r="F46" s="20">
        <v>26.679099999999998</v>
      </c>
      <c r="G46" s="20">
        <v>27.097999999999999</v>
      </c>
      <c r="H46" s="20">
        <v>18.9422</v>
      </c>
      <c r="I46" s="20">
        <v>21.136199999999999</v>
      </c>
      <c r="J46" s="20">
        <v>13.206799999999999</v>
      </c>
      <c r="K46" s="20">
        <v>8.7048000000000005</v>
      </c>
      <c r="L46" s="23">
        <v>6.5606452595977496</v>
      </c>
    </row>
    <row r="47" spans="1:12" x14ac:dyDescent="0.25">
      <c r="A47" s="10" t="s">
        <v>148</v>
      </c>
      <c r="B47" s="10" t="s">
        <v>185</v>
      </c>
      <c r="C47" s="14">
        <v>21.3429</v>
      </c>
      <c r="D47" s="14">
        <v>14.782400000000001</v>
      </c>
      <c r="E47" s="14">
        <v>19.0366</v>
      </c>
      <c r="F47" s="14">
        <v>27.4328</v>
      </c>
      <c r="G47" s="14">
        <v>25.971699999999998</v>
      </c>
      <c r="H47" s="14">
        <v>23.8643</v>
      </c>
      <c r="I47" s="14">
        <v>18.626799999999999</v>
      </c>
      <c r="J47" s="14">
        <v>20.350200000000001</v>
      </c>
      <c r="K47" s="14">
        <v>12.236800000000001</v>
      </c>
      <c r="L47" s="17"/>
    </row>
    <row r="48" spans="1:12" x14ac:dyDescent="0.25">
      <c r="A48" s="10" t="s">
        <v>150</v>
      </c>
      <c r="B48" s="10" t="s">
        <v>186</v>
      </c>
      <c r="C48" s="14">
        <v>24.061299999999999</v>
      </c>
      <c r="D48" s="14">
        <v>18.5168</v>
      </c>
      <c r="E48" s="14">
        <v>24.113900000000001</v>
      </c>
      <c r="F48" s="14">
        <v>34.3598</v>
      </c>
      <c r="G48" s="14">
        <v>28.9053</v>
      </c>
      <c r="H48" s="14">
        <v>28.1267</v>
      </c>
      <c r="I48" s="14">
        <v>21.430599999999998</v>
      </c>
      <c r="J48" s="14">
        <v>25.7012</v>
      </c>
      <c r="K48" s="14">
        <v>14.1364</v>
      </c>
      <c r="L48" s="17"/>
    </row>
    <row r="49" spans="1:12" x14ac:dyDescent="0.25">
      <c r="A49" s="10" t="s">
        <v>152</v>
      </c>
      <c r="B49" s="10" t="s">
        <v>187</v>
      </c>
      <c r="C49" s="14">
        <v>15.587300000000001</v>
      </c>
      <c r="D49" s="14">
        <v>10.650600000000001</v>
      </c>
      <c r="E49" s="14">
        <v>15.0215</v>
      </c>
      <c r="F49" s="14">
        <v>18.940300000000001</v>
      </c>
      <c r="G49" s="14">
        <v>22.130099999999999</v>
      </c>
      <c r="H49" s="14">
        <v>18.9422</v>
      </c>
      <c r="I49" s="14">
        <v>13.585599999999999</v>
      </c>
      <c r="J49" s="14">
        <v>13.206799999999999</v>
      </c>
      <c r="K49" s="14">
        <v>8.7048000000000005</v>
      </c>
      <c r="L49" s="17"/>
    </row>
    <row r="50" spans="1:12" x14ac:dyDescent="0.25">
      <c r="A50" s="6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21"/>
    </row>
    <row r="51" spans="1:12" x14ac:dyDescent="0.25">
      <c r="A51" s="6" t="s">
        <v>188</v>
      </c>
      <c r="B51" s="6" t="s">
        <v>189</v>
      </c>
      <c r="C51" s="20">
        <v>31.5</v>
      </c>
      <c r="D51" s="20">
        <v>26.26</v>
      </c>
      <c r="E51" s="20">
        <v>35.159999999999997</v>
      </c>
      <c r="F51" s="20">
        <v>49.94</v>
      </c>
      <c r="G51" s="20">
        <v>51.36</v>
      </c>
      <c r="H51" s="20">
        <v>42.37</v>
      </c>
      <c r="I51" s="20">
        <v>33.270000000000003</v>
      </c>
      <c r="J51" s="20">
        <v>23.43</v>
      </c>
      <c r="K51" s="20">
        <v>20.7</v>
      </c>
      <c r="L51" s="23">
        <v>14.930000305175801</v>
      </c>
    </row>
    <row r="52" spans="1:12" x14ac:dyDescent="0.25">
      <c r="A52" s="10" t="s">
        <v>150</v>
      </c>
      <c r="B52" s="10" t="s">
        <v>190</v>
      </c>
      <c r="C52" s="14">
        <v>37</v>
      </c>
      <c r="D52" s="14">
        <v>37.4</v>
      </c>
      <c r="E52" s="14">
        <v>35.979999999999997</v>
      </c>
      <c r="F52" s="14">
        <v>51.14</v>
      </c>
      <c r="G52" s="14">
        <v>54.5</v>
      </c>
      <c r="H52" s="14">
        <v>55.99</v>
      </c>
      <c r="I52" s="14">
        <v>48.97</v>
      </c>
      <c r="J52" s="14">
        <v>42.18</v>
      </c>
      <c r="K52" s="14">
        <v>25.94</v>
      </c>
      <c r="L52" s="17">
        <v>15.1400003433228</v>
      </c>
    </row>
    <row r="53" spans="1:12" x14ac:dyDescent="0.25">
      <c r="A53" s="10" t="s">
        <v>152</v>
      </c>
      <c r="B53" s="10" t="s">
        <v>191</v>
      </c>
      <c r="C53" s="14">
        <v>28.31</v>
      </c>
      <c r="D53" s="14">
        <v>22.06</v>
      </c>
      <c r="E53" s="14">
        <v>23.09</v>
      </c>
      <c r="F53" s="14">
        <v>25.69</v>
      </c>
      <c r="G53" s="14">
        <v>39.6</v>
      </c>
      <c r="H53" s="14">
        <v>35.03</v>
      </c>
      <c r="I53" s="14">
        <v>28.74</v>
      </c>
      <c r="J53" s="14">
        <v>22.76</v>
      </c>
      <c r="K53" s="14">
        <v>15.7</v>
      </c>
      <c r="L53" s="17">
        <v>14.7399997711182</v>
      </c>
    </row>
    <row r="54" spans="1:12" x14ac:dyDescent="0.25">
      <c r="A54" s="6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21"/>
    </row>
    <row r="55" spans="1:12" x14ac:dyDescent="0.25">
      <c r="A55" s="6" t="s">
        <v>43</v>
      </c>
      <c r="B55" s="6" t="s">
        <v>44</v>
      </c>
      <c r="C55" s="19">
        <v>102996.28449999999</v>
      </c>
      <c r="D55" s="19">
        <v>91919.289300000004</v>
      </c>
      <c r="E55" s="19">
        <v>128142.1678</v>
      </c>
      <c r="F55" s="19">
        <v>183888.98050000001</v>
      </c>
      <c r="G55" s="19">
        <v>192969.99679999999</v>
      </c>
      <c r="H55" s="19">
        <v>168392.90489999999</v>
      </c>
      <c r="I55" s="19">
        <v>131854.5865</v>
      </c>
      <c r="J55" s="19">
        <v>102546.3397</v>
      </c>
      <c r="K55" s="19">
        <v>84124.232399999994</v>
      </c>
      <c r="L55" s="22">
        <v>63403.145173930003</v>
      </c>
    </row>
    <row r="56" spans="1:12" x14ac:dyDescent="0.25">
      <c r="A56" s="10" t="s">
        <v>148</v>
      </c>
      <c r="B56" s="10" t="s">
        <v>192</v>
      </c>
      <c r="C56" s="13">
        <v>120107.89599999999</v>
      </c>
      <c r="D56" s="13">
        <v>99487.02</v>
      </c>
      <c r="E56" s="13">
        <v>105506.2117</v>
      </c>
      <c r="F56" s="13">
        <v>148575.17679999999</v>
      </c>
      <c r="G56" s="13">
        <v>179037.64980000001</v>
      </c>
      <c r="H56" s="13">
        <v>170075.3395</v>
      </c>
      <c r="I56" s="13">
        <v>165366.23759999999</v>
      </c>
      <c r="J56" s="13">
        <v>127031.2335</v>
      </c>
      <c r="K56" s="13">
        <v>95080.844700000001</v>
      </c>
      <c r="L56" s="16"/>
    </row>
    <row r="57" spans="1:12" x14ac:dyDescent="0.25">
      <c r="A57" s="10" t="s">
        <v>150</v>
      </c>
      <c r="B57" s="10" t="s">
        <v>193</v>
      </c>
      <c r="C57" s="13">
        <v>135318.71049999999</v>
      </c>
      <c r="D57" s="13">
        <v>124721.08560000001</v>
      </c>
      <c r="E57" s="13">
        <v>130459.67849999999</v>
      </c>
      <c r="F57" s="13">
        <v>187028.37820000001</v>
      </c>
      <c r="G57" s="13">
        <v>199232.8707</v>
      </c>
      <c r="H57" s="13">
        <v>200295.99650000001</v>
      </c>
      <c r="I57" s="13">
        <v>190514.5509</v>
      </c>
      <c r="J57" s="13">
        <v>160332.6146</v>
      </c>
      <c r="K57" s="13">
        <v>109764.6041</v>
      </c>
      <c r="L57" s="16"/>
    </row>
    <row r="58" spans="1:12" x14ac:dyDescent="0.25">
      <c r="A58" s="10" t="s">
        <v>152</v>
      </c>
      <c r="B58" s="10" t="s">
        <v>194</v>
      </c>
      <c r="C58" s="13">
        <v>104989.27129999999</v>
      </c>
      <c r="D58" s="13">
        <v>71737.5101</v>
      </c>
      <c r="E58" s="13">
        <v>83263.501999999993</v>
      </c>
      <c r="F58" s="13">
        <v>102469.73450000001</v>
      </c>
      <c r="G58" s="13">
        <v>152534.24350000001</v>
      </c>
      <c r="H58" s="13">
        <v>135978.0289</v>
      </c>
      <c r="I58" s="13">
        <v>120773.9071</v>
      </c>
      <c r="J58" s="13">
        <v>94685.911800000002</v>
      </c>
      <c r="K58" s="13">
        <v>78090.429099999994</v>
      </c>
      <c r="L58" s="16"/>
    </row>
    <row r="59" spans="1:12" x14ac:dyDescent="0.25">
      <c r="A59" s="7" t="s">
        <v>65</v>
      </c>
      <c r="B59" s="7"/>
      <c r="C59" s="7" t="s">
        <v>4</v>
      </c>
      <c r="D59" s="7"/>
      <c r="E59" s="7"/>
      <c r="F59" s="7"/>
      <c r="G59" s="7"/>
      <c r="H59" s="7"/>
      <c r="I59" s="7"/>
      <c r="J59" s="7"/>
      <c r="K59" s="7"/>
      <c r="L59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77"/>
  <sheetViews>
    <sheetView workbookViewId="0">
      <selection activeCell="F11" sqref="F11"/>
    </sheetView>
  </sheetViews>
  <sheetFormatPr baseColWidth="10" defaultRowHeight="15" x14ac:dyDescent="0.25"/>
  <cols>
    <col min="1" max="1" width="35.140625" customWidth="1"/>
    <col min="2" max="2" width="0" hidden="1" customWidth="1"/>
    <col min="3" max="16" width="11.855468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0.25" x14ac:dyDescent="0.25">
      <c r="A2" s="8" t="s">
        <v>195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25">
      <c r="A4" s="3" t="s">
        <v>67</v>
      </c>
      <c r="B4" s="3"/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196</v>
      </c>
    </row>
    <row r="5" spans="1:16" x14ac:dyDescent="0.25">
      <c r="A5" s="9" t="s">
        <v>21</v>
      </c>
      <c r="B5" s="9"/>
      <c r="C5" s="5" t="s">
        <v>22</v>
      </c>
      <c r="D5" s="5" t="s">
        <v>23</v>
      </c>
      <c r="E5" s="5" t="s">
        <v>24</v>
      </c>
      <c r="F5" s="5" t="s">
        <v>25</v>
      </c>
      <c r="G5" s="5" t="s">
        <v>26</v>
      </c>
      <c r="H5" s="5" t="s">
        <v>27</v>
      </c>
      <c r="I5" s="5" t="s">
        <v>28</v>
      </c>
      <c r="J5" s="5" t="s">
        <v>29</v>
      </c>
      <c r="K5" s="5" t="s">
        <v>30</v>
      </c>
      <c r="L5" s="5" t="s">
        <v>31</v>
      </c>
      <c r="M5" s="5" t="s">
        <v>32</v>
      </c>
      <c r="N5" s="5" t="s">
        <v>33</v>
      </c>
      <c r="O5" s="5" t="s">
        <v>34</v>
      </c>
      <c r="P5" s="5" t="s">
        <v>34</v>
      </c>
    </row>
    <row r="6" spans="1:16" x14ac:dyDescent="0.25">
      <c r="A6" s="6" t="s">
        <v>0</v>
      </c>
      <c r="B6" s="6" t="s">
        <v>46</v>
      </c>
      <c r="C6" s="19">
        <v>12304.984</v>
      </c>
      <c r="D6" s="19">
        <v>15313.797</v>
      </c>
      <c r="E6" s="19">
        <v>18474.841</v>
      </c>
      <c r="F6" s="19">
        <v>24396.212</v>
      </c>
      <c r="G6" s="19">
        <v>25957.941999999999</v>
      </c>
      <c r="H6" s="19">
        <v>28158.21</v>
      </c>
      <c r="I6" s="19">
        <v>29704.780999999999</v>
      </c>
      <c r="J6" s="19">
        <v>35036.139000000003</v>
      </c>
      <c r="K6" s="19">
        <v>39419.4</v>
      </c>
      <c r="L6" s="19">
        <v>45729.491999999998</v>
      </c>
      <c r="M6" s="19">
        <v>44354.593999999997</v>
      </c>
      <c r="N6" s="19">
        <v>43961.508000000002</v>
      </c>
      <c r="O6" s="19">
        <v>43087.368999999999</v>
      </c>
      <c r="P6" s="22">
        <v>43087.368999999999</v>
      </c>
    </row>
    <row r="7" spans="1:16" x14ac:dyDescent="0.25">
      <c r="A7" s="11" t="s">
        <v>197</v>
      </c>
      <c r="B7" s="11" t="s">
        <v>46</v>
      </c>
      <c r="C7" s="25" t="s">
        <v>198</v>
      </c>
      <c r="D7" s="25">
        <v>24.451986000000002</v>
      </c>
      <c r="E7" s="25">
        <v>20.641804</v>
      </c>
      <c r="F7" s="25">
        <v>32.050998</v>
      </c>
      <c r="G7" s="25">
        <v>6.4015269999999997</v>
      </c>
      <c r="H7" s="25">
        <v>8.4762810000000002</v>
      </c>
      <c r="I7" s="25">
        <v>5.4924340000000003</v>
      </c>
      <c r="J7" s="25">
        <v>17.947811000000002</v>
      </c>
      <c r="K7" s="25">
        <v>12.510685</v>
      </c>
      <c r="L7" s="25">
        <v>16.007580000000001</v>
      </c>
      <c r="M7" s="25">
        <v>-3.006589</v>
      </c>
      <c r="N7" s="25">
        <v>-0.88623499999999999</v>
      </c>
      <c r="O7" s="25">
        <v>-1.9884189999999999</v>
      </c>
      <c r="P7" s="28">
        <v>-1.9884190505931001</v>
      </c>
    </row>
    <row r="8" spans="1:16" x14ac:dyDescent="0.25">
      <c r="A8" s="10" t="s">
        <v>199</v>
      </c>
      <c r="B8" s="10" t="s">
        <v>200</v>
      </c>
      <c r="C8" s="13">
        <v>12304.984</v>
      </c>
      <c r="D8" s="13">
        <v>15313.797</v>
      </c>
      <c r="E8" s="13">
        <v>18474.841</v>
      </c>
      <c r="F8" s="13">
        <v>24396.212</v>
      </c>
      <c r="G8" s="13">
        <v>25957.941999999999</v>
      </c>
      <c r="H8" s="13">
        <v>28158.21</v>
      </c>
      <c r="I8" s="13">
        <v>29704.780999999999</v>
      </c>
      <c r="J8" s="13">
        <v>35036.139000000003</v>
      </c>
      <c r="K8" s="13">
        <v>39419.4</v>
      </c>
      <c r="L8" s="13">
        <v>45729.491999999998</v>
      </c>
      <c r="M8" s="13">
        <v>44354.593999999997</v>
      </c>
      <c r="N8" s="13">
        <v>43961.508000000002</v>
      </c>
      <c r="O8" s="13">
        <v>43087.368999999999</v>
      </c>
      <c r="P8" s="16">
        <v>43087.368999999999</v>
      </c>
    </row>
    <row r="9" spans="1:16" x14ac:dyDescent="0.25">
      <c r="A9" s="10" t="s">
        <v>201</v>
      </c>
      <c r="B9" s="10" t="s">
        <v>202</v>
      </c>
      <c r="C9" s="13">
        <v>5304.567</v>
      </c>
      <c r="D9" s="13">
        <v>6236.95</v>
      </c>
      <c r="E9" s="13">
        <v>7224.2529999999997</v>
      </c>
      <c r="F9" s="13">
        <v>9935.7960000000003</v>
      </c>
      <c r="G9" s="13">
        <v>9836.6749999999993</v>
      </c>
      <c r="H9" s="13">
        <v>11974.906000000001</v>
      </c>
      <c r="I9" s="13">
        <v>14039.147000000001</v>
      </c>
      <c r="J9" s="13">
        <v>16790.114000000001</v>
      </c>
      <c r="K9" s="13">
        <v>18145.221000000001</v>
      </c>
      <c r="L9" s="13">
        <v>20642.306</v>
      </c>
      <c r="M9" s="13">
        <v>21874.48</v>
      </c>
      <c r="N9" s="13">
        <v>20449.998</v>
      </c>
      <c r="O9" s="13">
        <v>18974.28</v>
      </c>
      <c r="P9" s="16">
        <v>18974.28</v>
      </c>
    </row>
    <row r="10" spans="1:16" x14ac:dyDescent="0.25">
      <c r="A10" s="10" t="s">
        <v>203</v>
      </c>
      <c r="B10" s="10" t="s">
        <v>204</v>
      </c>
      <c r="C10" s="13">
        <v>5287.5540000000001</v>
      </c>
      <c r="D10" s="13">
        <v>6208.0709999999999</v>
      </c>
      <c r="E10" s="13">
        <v>7173.0479999999998</v>
      </c>
      <c r="F10" s="13">
        <v>9705.2669999999998</v>
      </c>
      <c r="G10" s="13">
        <v>9587.34</v>
      </c>
      <c r="H10" s="13">
        <v>11974.906000000001</v>
      </c>
      <c r="I10" s="13">
        <v>14039.147000000001</v>
      </c>
      <c r="J10" s="13">
        <v>16790.114000000001</v>
      </c>
      <c r="K10" s="13">
        <v>18145.221000000001</v>
      </c>
      <c r="L10" s="13">
        <v>20642.306</v>
      </c>
      <c r="M10" s="13">
        <v>21874.48</v>
      </c>
      <c r="N10" s="13">
        <v>20449.998</v>
      </c>
      <c r="O10" s="13">
        <v>18974.28</v>
      </c>
      <c r="P10" s="16">
        <v>18974.28</v>
      </c>
    </row>
    <row r="11" spans="1:16" x14ac:dyDescent="0.25">
      <c r="A11" s="10" t="s">
        <v>205</v>
      </c>
      <c r="B11" s="10" t="s">
        <v>206</v>
      </c>
      <c r="C11" s="13">
        <v>17.013000000000002</v>
      </c>
      <c r="D11" s="13">
        <v>28.879000000000001</v>
      </c>
      <c r="E11" s="13">
        <v>51.204999999999998</v>
      </c>
      <c r="F11" s="13">
        <v>230.529</v>
      </c>
      <c r="G11" s="13">
        <v>249.33500000000001</v>
      </c>
      <c r="H11" s="13" t="s">
        <v>198</v>
      </c>
      <c r="I11" s="13" t="s">
        <v>198</v>
      </c>
      <c r="J11" s="13" t="s">
        <v>198</v>
      </c>
      <c r="K11" s="13" t="s">
        <v>198</v>
      </c>
      <c r="L11" s="13" t="s">
        <v>198</v>
      </c>
      <c r="M11" s="13" t="s">
        <v>198</v>
      </c>
      <c r="N11" s="13" t="s">
        <v>198</v>
      </c>
      <c r="O11" s="13" t="s">
        <v>198</v>
      </c>
      <c r="P11" s="16"/>
    </row>
    <row r="12" spans="1:16" x14ac:dyDescent="0.25">
      <c r="A12" s="10" t="s">
        <v>207</v>
      </c>
      <c r="B12" s="10" t="s">
        <v>208</v>
      </c>
      <c r="C12" s="13" t="s">
        <v>198</v>
      </c>
      <c r="D12" s="13" t="s">
        <v>198</v>
      </c>
      <c r="E12" s="13" t="s">
        <v>198</v>
      </c>
      <c r="F12" s="13" t="s">
        <v>198</v>
      </c>
      <c r="G12" s="13" t="s">
        <v>198</v>
      </c>
      <c r="H12" s="13" t="s">
        <v>198</v>
      </c>
      <c r="I12" s="13" t="s">
        <v>198</v>
      </c>
      <c r="J12" s="13" t="s">
        <v>198</v>
      </c>
      <c r="K12" s="13">
        <v>0</v>
      </c>
      <c r="L12" s="13">
        <v>0</v>
      </c>
      <c r="M12" s="13" t="s">
        <v>198</v>
      </c>
      <c r="N12" s="13" t="s">
        <v>198</v>
      </c>
      <c r="O12" s="13" t="s">
        <v>198</v>
      </c>
      <c r="P12" s="16"/>
    </row>
    <row r="13" spans="1:16" x14ac:dyDescent="0.25">
      <c r="A13" s="6" t="s">
        <v>2</v>
      </c>
      <c r="B13" s="6" t="s">
        <v>50</v>
      </c>
      <c r="C13" s="19">
        <v>7000.4170000000004</v>
      </c>
      <c r="D13" s="19">
        <v>9076.8469999999998</v>
      </c>
      <c r="E13" s="19">
        <v>11250.588</v>
      </c>
      <c r="F13" s="19">
        <v>14460.415999999999</v>
      </c>
      <c r="G13" s="19">
        <v>16121.267</v>
      </c>
      <c r="H13" s="19">
        <v>16183.304</v>
      </c>
      <c r="I13" s="19">
        <v>15665.634</v>
      </c>
      <c r="J13" s="19">
        <v>18246.025000000001</v>
      </c>
      <c r="K13" s="19">
        <v>21274.179</v>
      </c>
      <c r="L13" s="19">
        <v>25087.186000000002</v>
      </c>
      <c r="M13" s="19">
        <v>22480.114000000001</v>
      </c>
      <c r="N13" s="19">
        <v>23511.51</v>
      </c>
      <c r="O13" s="19">
        <v>24113.089</v>
      </c>
      <c r="P13" s="22">
        <v>24113.089</v>
      </c>
    </row>
    <row r="14" spans="1:16" x14ac:dyDescent="0.25">
      <c r="A14" s="10" t="s">
        <v>209</v>
      </c>
      <c r="B14" s="10" t="s">
        <v>210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 t="s">
        <v>198</v>
      </c>
      <c r="K14" s="13" t="s">
        <v>198</v>
      </c>
      <c r="L14" s="13" t="s">
        <v>198</v>
      </c>
      <c r="M14" s="13" t="s">
        <v>198</v>
      </c>
      <c r="N14" s="13">
        <v>0</v>
      </c>
      <c r="O14" s="13" t="s">
        <v>198</v>
      </c>
      <c r="P14" s="16"/>
    </row>
    <row r="15" spans="1:16" x14ac:dyDescent="0.25">
      <c r="A15" s="10" t="s">
        <v>211</v>
      </c>
      <c r="B15" s="10" t="s">
        <v>212</v>
      </c>
      <c r="C15" s="13">
        <v>4511.768</v>
      </c>
      <c r="D15" s="13">
        <v>5714.4660000000003</v>
      </c>
      <c r="E15" s="13">
        <v>6619.8159999999998</v>
      </c>
      <c r="F15" s="13">
        <v>8819.3889999999992</v>
      </c>
      <c r="G15" s="13">
        <v>9373.9</v>
      </c>
      <c r="H15" s="13">
        <v>10583.616</v>
      </c>
      <c r="I15" s="13">
        <v>10160.869000000001</v>
      </c>
      <c r="J15" s="13">
        <v>11298.483</v>
      </c>
      <c r="K15" s="13">
        <v>14145.326999999999</v>
      </c>
      <c r="L15" s="13">
        <v>16128.866</v>
      </c>
      <c r="M15" s="13">
        <v>16241.789000000001</v>
      </c>
      <c r="N15" s="13">
        <v>15562.777</v>
      </c>
      <c r="O15" s="13">
        <v>14380.487999999999</v>
      </c>
      <c r="P15" s="16">
        <v>14380.487999999999</v>
      </c>
    </row>
    <row r="16" spans="1:16" x14ac:dyDescent="0.25">
      <c r="A16" s="10" t="s">
        <v>213</v>
      </c>
      <c r="B16" s="10" t="s">
        <v>214</v>
      </c>
      <c r="C16" s="13">
        <v>4501.8239999999996</v>
      </c>
      <c r="D16" s="13">
        <v>5625.4260000000004</v>
      </c>
      <c r="E16" s="13">
        <v>6526.1009999999997</v>
      </c>
      <c r="F16" s="13">
        <v>8996.9490000000005</v>
      </c>
      <c r="G16" s="13">
        <v>9184.4869999999992</v>
      </c>
      <c r="H16" s="13">
        <v>10580.852999999999</v>
      </c>
      <c r="I16" s="13">
        <v>12415.654</v>
      </c>
      <c r="J16" s="13">
        <v>11445.007</v>
      </c>
      <c r="K16" s="13">
        <v>14207.897000000001</v>
      </c>
      <c r="L16" s="13">
        <v>16231.848</v>
      </c>
      <c r="M16" s="13">
        <v>16163.754000000001</v>
      </c>
      <c r="N16" s="13">
        <v>15738.182000000001</v>
      </c>
      <c r="O16" s="13">
        <v>15733.085999999999</v>
      </c>
      <c r="P16" s="16">
        <v>15734.085999999999</v>
      </c>
    </row>
    <row r="17" spans="1:16" x14ac:dyDescent="0.25">
      <c r="A17" s="11" t="s">
        <v>215</v>
      </c>
      <c r="B17" s="11" t="s">
        <v>216</v>
      </c>
      <c r="C17" s="25">
        <v>3454.3240000000001</v>
      </c>
      <c r="D17" s="25">
        <v>4622.6750000000002</v>
      </c>
      <c r="E17" s="25">
        <v>5442.3</v>
      </c>
      <c r="F17" s="25">
        <v>7560.6369999999997</v>
      </c>
      <c r="G17" s="25">
        <v>7524.8940000000002</v>
      </c>
      <c r="H17" s="25">
        <v>8759.7739999999994</v>
      </c>
      <c r="I17" s="25">
        <v>10661.567999999999</v>
      </c>
      <c r="J17" s="25">
        <v>9472.0370000000003</v>
      </c>
      <c r="K17" s="25">
        <v>12134.222</v>
      </c>
      <c r="L17" s="25">
        <v>13943.745999999999</v>
      </c>
      <c r="M17" s="25">
        <v>13737.353999999999</v>
      </c>
      <c r="N17" s="25">
        <v>13080.776</v>
      </c>
      <c r="O17" s="25">
        <v>13157.535</v>
      </c>
      <c r="P17" s="28">
        <v>13158.535</v>
      </c>
    </row>
    <row r="18" spans="1:16" x14ac:dyDescent="0.25">
      <c r="A18" s="11" t="s">
        <v>217</v>
      </c>
      <c r="B18" s="11" t="s">
        <v>218</v>
      </c>
      <c r="C18" s="25">
        <v>1047.5</v>
      </c>
      <c r="D18" s="25">
        <v>1002.751</v>
      </c>
      <c r="E18" s="25">
        <v>1083.8009999999999</v>
      </c>
      <c r="F18" s="25">
        <v>1436.3119999999999</v>
      </c>
      <c r="G18" s="25">
        <v>1659.5930000000001</v>
      </c>
      <c r="H18" s="25">
        <v>1821.079</v>
      </c>
      <c r="I18" s="25">
        <v>1754.086</v>
      </c>
      <c r="J18" s="25">
        <v>1972.97</v>
      </c>
      <c r="K18" s="25">
        <v>2073.6750000000002</v>
      </c>
      <c r="L18" s="25">
        <v>2288.1019999999999</v>
      </c>
      <c r="M18" s="25">
        <v>2426.4</v>
      </c>
      <c r="N18" s="25">
        <v>2657.4059999999999</v>
      </c>
      <c r="O18" s="25">
        <v>2575.5509999999999</v>
      </c>
      <c r="P18" s="28">
        <v>2575.5509999999999</v>
      </c>
    </row>
    <row r="19" spans="1:16" x14ac:dyDescent="0.25">
      <c r="A19" s="10" t="s">
        <v>207</v>
      </c>
      <c r="B19" s="10" t="s">
        <v>219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 t="s">
        <v>198</v>
      </c>
      <c r="P19" s="16"/>
    </row>
    <row r="20" spans="1:16" x14ac:dyDescent="0.25">
      <c r="A20" s="10" t="s">
        <v>220</v>
      </c>
      <c r="B20" s="10" t="s">
        <v>221</v>
      </c>
      <c r="C20" s="13">
        <v>9.9440000000000008</v>
      </c>
      <c r="D20" s="13">
        <v>89.04</v>
      </c>
      <c r="E20" s="13">
        <v>93.715000000000003</v>
      </c>
      <c r="F20" s="13">
        <v>-177.56</v>
      </c>
      <c r="G20" s="13">
        <v>189.41300000000001</v>
      </c>
      <c r="H20" s="13">
        <v>2.7629999999999999</v>
      </c>
      <c r="I20" s="13">
        <v>-2254.7849999999999</v>
      </c>
      <c r="J20" s="13">
        <v>-146.524</v>
      </c>
      <c r="K20" s="13">
        <v>-62.57</v>
      </c>
      <c r="L20" s="13">
        <v>-102.982</v>
      </c>
      <c r="M20" s="13">
        <v>78.034999999999997</v>
      </c>
      <c r="N20" s="13">
        <v>-175.405</v>
      </c>
      <c r="O20" s="13">
        <v>-1352.598</v>
      </c>
      <c r="P20" s="16">
        <v>-1353.598</v>
      </c>
    </row>
    <row r="21" spans="1:16" x14ac:dyDescent="0.25">
      <c r="A21" s="6" t="s">
        <v>222</v>
      </c>
      <c r="B21" s="6" t="s">
        <v>70</v>
      </c>
      <c r="C21" s="19">
        <v>2488.6489999999999</v>
      </c>
      <c r="D21" s="19">
        <v>3362.3809999999999</v>
      </c>
      <c r="E21" s="19">
        <v>4630.7719999999999</v>
      </c>
      <c r="F21" s="19">
        <v>5641.027</v>
      </c>
      <c r="G21" s="19">
        <v>6747.3670000000002</v>
      </c>
      <c r="H21" s="19">
        <v>5599.6880000000001</v>
      </c>
      <c r="I21" s="19">
        <v>5504.7650000000003</v>
      </c>
      <c r="J21" s="19">
        <v>6947.5420000000004</v>
      </c>
      <c r="K21" s="19">
        <v>7128.8519999999999</v>
      </c>
      <c r="L21" s="19">
        <v>8958.32</v>
      </c>
      <c r="M21" s="19">
        <v>6238.3249999999998</v>
      </c>
      <c r="N21" s="19">
        <v>7948.7330000000002</v>
      </c>
      <c r="O21" s="19">
        <v>9732.6010000000006</v>
      </c>
      <c r="P21" s="22">
        <v>9732.6010000000006</v>
      </c>
    </row>
    <row r="22" spans="1:16" x14ac:dyDescent="0.25">
      <c r="A22" s="10" t="s">
        <v>223</v>
      </c>
      <c r="B22" s="10" t="s">
        <v>224</v>
      </c>
      <c r="C22" s="13">
        <v>-60.460999999999999</v>
      </c>
      <c r="D22" s="13">
        <v>-416.142</v>
      </c>
      <c r="E22" s="13">
        <v>-2998.5140000000001</v>
      </c>
      <c r="F22" s="13">
        <v>935.71199999999999</v>
      </c>
      <c r="G22" s="13">
        <v>780.31500000000005</v>
      </c>
      <c r="H22" s="13">
        <v>396.46699999999998</v>
      </c>
      <c r="I22" s="13">
        <v>262.76900000000001</v>
      </c>
      <c r="J22" s="13">
        <v>342.14600000000002</v>
      </c>
      <c r="K22" s="13">
        <v>213.596</v>
      </c>
      <c r="L22" s="13">
        <v>658.61300000000006</v>
      </c>
      <c r="M22" s="13">
        <v>50.454000000000001</v>
      </c>
      <c r="N22" s="13">
        <v>2541.489</v>
      </c>
      <c r="O22" s="13">
        <v>-2195.0340000000001</v>
      </c>
      <c r="P22" s="16">
        <v>-2195.0340000000001</v>
      </c>
    </row>
    <row r="23" spans="1:16" x14ac:dyDescent="0.25">
      <c r="A23" s="10" t="s">
        <v>225</v>
      </c>
      <c r="B23" s="10" t="s">
        <v>226</v>
      </c>
      <c r="C23" s="13">
        <v>21.943999999999999</v>
      </c>
      <c r="D23" s="13">
        <v>6.7140000000000004</v>
      </c>
      <c r="E23" s="13">
        <v>128.59100000000001</v>
      </c>
      <c r="F23" s="13">
        <v>344.839</v>
      </c>
      <c r="G23" s="13">
        <v>375.73200000000003</v>
      </c>
      <c r="H23" s="13">
        <v>238.46100000000001</v>
      </c>
      <c r="I23" s="13">
        <v>262.76900000000001</v>
      </c>
      <c r="J23" s="13">
        <v>401.14299999999997</v>
      </c>
      <c r="K23" s="13">
        <v>448.036</v>
      </c>
      <c r="L23" s="13">
        <v>706.47799999999995</v>
      </c>
      <c r="M23" s="13">
        <v>856.77300000000002</v>
      </c>
      <c r="N23" s="13">
        <v>900.08600000000001</v>
      </c>
      <c r="O23" s="13">
        <v>748.25099999999998</v>
      </c>
      <c r="P23" s="16">
        <v>3282.6190000000001</v>
      </c>
    </row>
    <row r="24" spans="1:16" x14ac:dyDescent="0.25">
      <c r="A24" s="11" t="s">
        <v>227</v>
      </c>
      <c r="B24" s="11" t="s">
        <v>228</v>
      </c>
      <c r="C24" s="25">
        <v>46.646000000000001</v>
      </c>
      <c r="D24" s="25">
        <v>38.654000000000003</v>
      </c>
      <c r="E24" s="25">
        <v>136.465</v>
      </c>
      <c r="F24" s="25">
        <v>394.20100000000002</v>
      </c>
      <c r="G24" s="25">
        <v>485.49200000000002</v>
      </c>
      <c r="H24" s="25">
        <v>431.55799999999999</v>
      </c>
      <c r="I24" s="25">
        <v>528.55100000000004</v>
      </c>
      <c r="J24" s="25">
        <v>544.80899999999997</v>
      </c>
      <c r="K24" s="25">
        <v>698.70699999999999</v>
      </c>
      <c r="L24" s="25">
        <v>849.52599999999995</v>
      </c>
      <c r="M24" s="25">
        <v>1096.402</v>
      </c>
      <c r="N24" s="25">
        <v>1351.498</v>
      </c>
      <c r="O24" s="25">
        <v>1141.6479999999999</v>
      </c>
      <c r="P24" s="28">
        <v>3676.0160000000001</v>
      </c>
    </row>
    <row r="25" spans="1:16" x14ac:dyDescent="0.25">
      <c r="A25" s="11" t="s">
        <v>229</v>
      </c>
      <c r="B25" s="11" t="s">
        <v>230</v>
      </c>
      <c r="C25" s="25">
        <v>24.702000000000002</v>
      </c>
      <c r="D25" s="25">
        <v>31.94</v>
      </c>
      <c r="E25" s="25">
        <v>7.8739999999999997</v>
      </c>
      <c r="F25" s="25">
        <v>49.362000000000002</v>
      </c>
      <c r="G25" s="25">
        <v>109.76</v>
      </c>
      <c r="H25" s="25">
        <v>193.09700000000001</v>
      </c>
      <c r="I25" s="25">
        <v>265.78199999999998</v>
      </c>
      <c r="J25" s="25">
        <v>143.666</v>
      </c>
      <c r="K25" s="25">
        <v>250.67099999999999</v>
      </c>
      <c r="L25" s="25">
        <v>143.048</v>
      </c>
      <c r="M25" s="25">
        <v>239.62899999999999</v>
      </c>
      <c r="N25" s="25">
        <v>451.41199999999998</v>
      </c>
      <c r="O25" s="25">
        <v>393.39699999999999</v>
      </c>
      <c r="P25" s="28">
        <v>393.39699999999999</v>
      </c>
    </row>
    <row r="26" spans="1:16" x14ac:dyDescent="0.25">
      <c r="A26" s="10" t="s">
        <v>231</v>
      </c>
      <c r="B26" s="10" t="s">
        <v>232</v>
      </c>
      <c r="C26" s="13">
        <v>33.652000000000001</v>
      </c>
      <c r="D26" s="13">
        <v>-422.85599999999999</v>
      </c>
      <c r="E26" s="13">
        <v>319.20699999999999</v>
      </c>
      <c r="F26" s="13">
        <v>1181.7460000000001</v>
      </c>
      <c r="G26" s="13">
        <v>794.12199999999996</v>
      </c>
      <c r="H26" s="13">
        <v>0</v>
      </c>
      <c r="I26" s="13">
        <v>0</v>
      </c>
      <c r="J26" s="13">
        <v>-58.997</v>
      </c>
      <c r="K26" s="13">
        <v>-234.44</v>
      </c>
      <c r="L26" s="13">
        <v>-86.885000000000005</v>
      </c>
      <c r="M26" s="13">
        <v>-818.077</v>
      </c>
      <c r="N26" s="13">
        <v>1596.9860000000001</v>
      </c>
      <c r="O26" s="13">
        <v>-839.35400000000004</v>
      </c>
      <c r="P26" s="16">
        <v>-732.4</v>
      </c>
    </row>
    <row r="27" spans="1:16" x14ac:dyDescent="0.25">
      <c r="A27" s="10" t="s">
        <v>233</v>
      </c>
      <c r="B27" s="10" t="s">
        <v>234</v>
      </c>
      <c r="C27" s="13">
        <v>-116.057</v>
      </c>
      <c r="D27" s="13">
        <v>0</v>
      </c>
      <c r="E27" s="13">
        <v>-3446.3119999999999</v>
      </c>
      <c r="F27" s="13">
        <v>0</v>
      </c>
      <c r="G27" s="13">
        <v>7.5220000000000002</v>
      </c>
      <c r="H27" s="13">
        <v>9.4450000000000003</v>
      </c>
      <c r="I27" s="13" t="s">
        <v>198</v>
      </c>
      <c r="J27" s="13" t="s">
        <v>198</v>
      </c>
      <c r="K27" s="13" t="s">
        <v>198</v>
      </c>
      <c r="L27" s="13">
        <v>39.020000000000003</v>
      </c>
      <c r="M27" s="13">
        <v>43.051000000000002</v>
      </c>
      <c r="N27" s="13">
        <v>41.988</v>
      </c>
      <c r="O27" s="13">
        <v>-2429.174</v>
      </c>
      <c r="P27" s="16">
        <v>-2429.174</v>
      </c>
    </row>
    <row r="28" spans="1:16" x14ac:dyDescent="0.25">
      <c r="A28" s="10" t="s">
        <v>235</v>
      </c>
      <c r="B28" s="10" t="s">
        <v>236</v>
      </c>
      <c r="C28" s="13">
        <v>0</v>
      </c>
      <c r="D28" s="13">
        <v>0</v>
      </c>
      <c r="E28" s="13">
        <v>0</v>
      </c>
      <c r="F28" s="13">
        <v>-590.87300000000005</v>
      </c>
      <c r="G28" s="13">
        <v>-397.06099999999998</v>
      </c>
      <c r="H28" s="13">
        <v>148.56100000000001</v>
      </c>
      <c r="I28" s="13">
        <v>0</v>
      </c>
      <c r="J28" s="13">
        <v>0</v>
      </c>
      <c r="K28" s="13">
        <v>0</v>
      </c>
      <c r="L28" s="13">
        <v>0</v>
      </c>
      <c r="M28" s="13">
        <v>-31.292999999999999</v>
      </c>
      <c r="N28" s="13">
        <v>2.4289999999999998</v>
      </c>
      <c r="O28" s="13">
        <v>325.24299999999999</v>
      </c>
      <c r="P28" s="16">
        <v>-2316.0790000000002</v>
      </c>
    </row>
    <row r="29" spans="1:16" x14ac:dyDescent="0.25">
      <c r="A29" s="6" t="s">
        <v>237</v>
      </c>
      <c r="B29" s="6" t="s">
        <v>238</v>
      </c>
      <c r="C29" s="19">
        <v>2549.11</v>
      </c>
      <c r="D29" s="19">
        <v>3778.5230000000001</v>
      </c>
      <c r="E29" s="19">
        <v>7629.2860000000001</v>
      </c>
      <c r="F29" s="19">
        <v>4705.3149999999996</v>
      </c>
      <c r="G29" s="19">
        <v>5967.0519999999997</v>
      </c>
      <c r="H29" s="19">
        <v>5203.2209999999995</v>
      </c>
      <c r="I29" s="19">
        <v>5241.9960000000001</v>
      </c>
      <c r="J29" s="19">
        <v>6605.3959999999997</v>
      </c>
      <c r="K29" s="19">
        <v>6915.2560000000003</v>
      </c>
      <c r="L29" s="19">
        <v>8299.7070000000003</v>
      </c>
      <c r="M29" s="19">
        <v>6187.8710000000001</v>
      </c>
      <c r="N29" s="19">
        <v>5407.2439999999997</v>
      </c>
      <c r="O29" s="19">
        <v>11927.635</v>
      </c>
      <c r="P29" s="22">
        <v>11927.635</v>
      </c>
    </row>
    <row r="30" spans="1:16" x14ac:dyDescent="0.25">
      <c r="A30" s="10" t="s">
        <v>239</v>
      </c>
      <c r="B30" s="10" t="s">
        <v>240</v>
      </c>
      <c r="C30" s="13">
        <v>-3.403</v>
      </c>
      <c r="D30" s="13">
        <v>-13.162000000000001</v>
      </c>
      <c r="E30" s="13">
        <v>10.564</v>
      </c>
      <c r="F30" s="13">
        <v>17.12</v>
      </c>
      <c r="G30" s="13">
        <v>11.811</v>
      </c>
      <c r="H30" s="13">
        <v>56.747</v>
      </c>
      <c r="I30" s="13">
        <v>94.625</v>
      </c>
      <c r="J30" s="13">
        <v>-248.81</v>
      </c>
      <c r="K30" s="13">
        <v>7.65</v>
      </c>
      <c r="L30" s="13">
        <v>68.483999999999995</v>
      </c>
      <c r="M30" s="13">
        <v>0</v>
      </c>
      <c r="N30" s="13">
        <v>184.06200000000001</v>
      </c>
      <c r="O30" s="13">
        <v>68.438000000000002</v>
      </c>
      <c r="P30" s="16">
        <v>68.438000000000002</v>
      </c>
    </row>
    <row r="31" spans="1:16" x14ac:dyDescent="0.25">
      <c r="A31" s="10" t="s">
        <v>241</v>
      </c>
      <c r="B31" s="10" t="s">
        <v>242</v>
      </c>
      <c r="C31" s="13">
        <v>-3.403</v>
      </c>
      <c r="D31" s="13">
        <v>-13.162000000000001</v>
      </c>
      <c r="E31" s="13">
        <v>10.564</v>
      </c>
      <c r="F31" s="13">
        <v>17.12</v>
      </c>
      <c r="G31" s="13">
        <v>11.811</v>
      </c>
      <c r="H31" s="13">
        <v>56.747</v>
      </c>
      <c r="I31" s="13">
        <v>94.625</v>
      </c>
      <c r="J31" s="13">
        <v>54.929000000000002</v>
      </c>
      <c r="K31" s="13">
        <v>7.65</v>
      </c>
      <c r="L31" s="13">
        <v>68.483999999999995</v>
      </c>
      <c r="M31" s="13" t="s">
        <v>198</v>
      </c>
      <c r="N31" s="13">
        <v>184.06200000000001</v>
      </c>
      <c r="O31" s="13">
        <v>68.438000000000002</v>
      </c>
      <c r="P31" s="16">
        <v>68.438000000000002</v>
      </c>
    </row>
    <row r="32" spans="1:16" x14ac:dyDescent="0.25">
      <c r="A32" s="10" t="s">
        <v>243</v>
      </c>
      <c r="B32" s="10" t="s">
        <v>244</v>
      </c>
      <c r="C32" s="13" t="s">
        <v>198</v>
      </c>
      <c r="D32" s="13" t="s">
        <v>198</v>
      </c>
      <c r="E32" s="13" t="s">
        <v>198</v>
      </c>
      <c r="F32" s="13" t="s">
        <v>198</v>
      </c>
      <c r="G32" s="13" t="s">
        <v>198</v>
      </c>
      <c r="H32" s="13" t="s">
        <v>198</v>
      </c>
      <c r="I32" s="13" t="s">
        <v>198</v>
      </c>
      <c r="J32" s="13">
        <v>-303.73899999999998</v>
      </c>
      <c r="K32" s="13" t="s">
        <v>198</v>
      </c>
      <c r="L32" s="13" t="s">
        <v>198</v>
      </c>
      <c r="M32" s="13" t="s">
        <v>198</v>
      </c>
      <c r="N32" s="13" t="s">
        <v>198</v>
      </c>
      <c r="O32" s="13" t="s">
        <v>198</v>
      </c>
      <c r="P32" s="16"/>
    </row>
    <row r="33" spans="1:16" x14ac:dyDescent="0.25">
      <c r="A33" s="6" t="s">
        <v>245</v>
      </c>
      <c r="B33" s="6" t="s">
        <v>238</v>
      </c>
      <c r="C33" s="19">
        <v>2552.5129999999999</v>
      </c>
      <c r="D33" s="19">
        <v>3791.6849999999999</v>
      </c>
      <c r="E33" s="19">
        <v>7618.7219999999998</v>
      </c>
      <c r="F33" s="19">
        <v>4688.1949999999997</v>
      </c>
      <c r="G33" s="19">
        <v>5955.241</v>
      </c>
      <c r="H33" s="19">
        <v>5146.4740000000002</v>
      </c>
      <c r="I33" s="19">
        <v>5147.3710000000001</v>
      </c>
      <c r="J33" s="19">
        <v>6854.2060000000001</v>
      </c>
      <c r="K33" s="19">
        <v>6907.6059999999998</v>
      </c>
      <c r="L33" s="19">
        <v>8231.223</v>
      </c>
      <c r="M33" s="19">
        <v>6187.8710000000001</v>
      </c>
      <c r="N33" s="19">
        <v>5223.1819999999998</v>
      </c>
      <c r="O33" s="19">
        <v>11859.197</v>
      </c>
      <c r="P33" s="22">
        <v>11859.197</v>
      </c>
    </row>
    <row r="34" spans="1:16" x14ac:dyDescent="0.25">
      <c r="A34" s="10" t="s">
        <v>246</v>
      </c>
      <c r="B34" s="10" t="s">
        <v>247</v>
      </c>
      <c r="C34" s="13">
        <v>995.346</v>
      </c>
      <c r="D34" s="13">
        <v>1153.33</v>
      </c>
      <c r="E34" s="13">
        <v>2310.2689999999998</v>
      </c>
      <c r="F34" s="13">
        <v>1540.4469999999999</v>
      </c>
      <c r="G34" s="13">
        <v>757.75199999999995</v>
      </c>
      <c r="H34" s="13">
        <v>1113.4739999999999</v>
      </c>
      <c r="I34" s="13">
        <v>1429.518</v>
      </c>
      <c r="J34" s="13">
        <v>1702.162</v>
      </c>
      <c r="K34" s="13">
        <v>1873.7429999999999</v>
      </c>
      <c r="L34" s="13">
        <v>2350.261</v>
      </c>
      <c r="M34" s="13">
        <v>1454.15</v>
      </c>
      <c r="N34" s="13">
        <v>1260.769</v>
      </c>
      <c r="O34" s="13">
        <v>3205.241</v>
      </c>
      <c r="P34" s="16">
        <v>3205.241</v>
      </c>
    </row>
    <row r="35" spans="1:16" x14ac:dyDescent="0.25">
      <c r="A35" s="10" t="s">
        <v>248</v>
      </c>
      <c r="B35" s="10" t="s">
        <v>249</v>
      </c>
      <c r="C35" s="13">
        <v>748.97</v>
      </c>
      <c r="D35" s="13">
        <v>1033.566</v>
      </c>
      <c r="E35" s="13">
        <v>1936.0219999999999</v>
      </c>
      <c r="F35" s="13">
        <v>1284.9880000000001</v>
      </c>
      <c r="G35" s="13">
        <v>1669.6289999999999</v>
      </c>
      <c r="H35" s="13">
        <v>782.18</v>
      </c>
      <c r="I35" s="13">
        <v>796.39</v>
      </c>
      <c r="J35" s="13">
        <v>1152.06</v>
      </c>
      <c r="K35" s="13">
        <v>3531.5079999999998</v>
      </c>
      <c r="L35" s="13">
        <v>2425.6930000000002</v>
      </c>
      <c r="M35" s="13">
        <v>2353.8420000000001</v>
      </c>
      <c r="N35" s="13">
        <v>1719.4580000000001</v>
      </c>
      <c r="O35" s="13">
        <v>2466.634</v>
      </c>
      <c r="P35" s="16">
        <v>2466.634</v>
      </c>
    </row>
    <row r="36" spans="1:16" x14ac:dyDescent="0.25">
      <c r="A36" s="10" t="s">
        <v>250</v>
      </c>
      <c r="B36" s="10" t="s">
        <v>251</v>
      </c>
      <c r="C36" s="13">
        <v>246.376</v>
      </c>
      <c r="D36" s="13">
        <v>119.764</v>
      </c>
      <c r="E36" s="13">
        <v>374.24700000000001</v>
      </c>
      <c r="F36" s="13">
        <v>255.459</v>
      </c>
      <c r="G36" s="13">
        <v>-911.87699999999995</v>
      </c>
      <c r="H36" s="13">
        <v>331.29399999999998</v>
      </c>
      <c r="I36" s="13">
        <v>633.12800000000004</v>
      </c>
      <c r="J36" s="13">
        <v>550.10199999999998</v>
      </c>
      <c r="K36" s="13">
        <v>-1657.7650000000001</v>
      </c>
      <c r="L36" s="13">
        <v>-75.432000000000002</v>
      </c>
      <c r="M36" s="13">
        <v>-899.69200000000001</v>
      </c>
      <c r="N36" s="13">
        <v>-458.68900000000002</v>
      </c>
      <c r="O36" s="13">
        <v>738.60699999999997</v>
      </c>
      <c r="P36" s="16">
        <v>738.60699999999997</v>
      </c>
    </row>
    <row r="37" spans="1:16" x14ac:dyDescent="0.25">
      <c r="A37" s="6" t="s">
        <v>252</v>
      </c>
      <c r="B37" s="6" t="s">
        <v>253</v>
      </c>
      <c r="C37" s="19">
        <v>1557.1669999999999</v>
      </c>
      <c r="D37" s="19">
        <v>2638.355</v>
      </c>
      <c r="E37" s="19">
        <v>5308.4530000000004</v>
      </c>
      <c r="F37" s="19">
        <v>3147.748</v>
      </c>
      <c r="G37" s="19">
        <v>5197.4889999999996</v>
      </c>
      <c r="H37" s="19">
        <v>4033</v>
      </c>
      <c r="I37" s="19">
        <v>3717.8530000000001</v>
      </c>
      <c r="J37" s="19">
        <v>5152.0439999999999</v>
      </c>
      <c r="K37" s="19">
        <v>5033.8630000000003</v>
      </c>
      <c r="L37" s="19">
        <v>5880.9620000000004</v>
      </c>
      <c r="M37" s="19">
        <v>4733.7209999999995</v>
      </c>
      <c r="N37" s="19">
        <v>3962.413</v>
      </c>
      <c r="O37" s="19">
        <v>8653.9560000000001</v>
      </c>
      <c r="P37" s="22">
        <v>8653.9560000000001</v>
      </c>
    </row>
    <row r="38" spans="1:16" x14ac:dyDescent="0.25">
      <c r="A38" s="10" t="s">
        <v>254</v>
      </c>
      <c r="B38" s="10" t="s">
        <v>255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6">
        <v>0</v>
      </c>
    </row>
    <row r="39" spans="1:16" x14ac:dyDescent="0.25">
      <c r="A39" s="10" t="s">
        <v>256</v>
      </c>
      <c r="B39" s="10" t="s">
        <v>257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6">
        <v>0</v>
      </c>
    </row>
    <row r="40" spans="1:16" x14ac:dyDescent="0.25">
      <c r="A40" s="10" t="s">
        <v>258</v>
      </c>
      <c r="B40" s="10" t="s">
        <v>259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6">
        <v>0</v>
      </c>
    </row>
    <row r="41" spans="1:16" x14ac:dyDescent="0.25">
      <c r="A41" s="6" t="s">
        <v>260</v>
      </c>
      <c r="B41" s="6" t="s">
        <v>261</v>
      </c>
      <c r="C41" s="19">
        <v>1557.1669999999999</v>
      </c>
      <c r="D41" s="19">
        <v>2638.355</v>
      </c>
      <c r="E41" s="19">
        <v>5308.4530000000004</v>
      </c>
      <c r="F41" s="19">
        <v>3147.748</v>
      </c>
      <c r="G41" s="19">
        <v>5197.4889999999996</v>
      </c>
      <c r="H41" s="19">
        <v>4033</v>
      </c>
      <c r="I41" s="19">
        <v>3717.8530000000001</v>
      </c>
      <c r="J41" s="19">
        <v>5152.0439999999999</v>
      </c>
      <c r="K41" s="19">
        <v>5033.8630000000003</v>
      </c>
      <c r="L41" s="19">
        <v>5880.9620000000004</v>
      </c>
      <c r="M41" s="19">
        <v>4733.7209999999995</v>
      </c>
      <c r="N41" s="19">
        <v>3962.413</v>
      </c>
      <c r="O41" s="19">
        <v>8653.9560000000001</v>
      </c>
      <c r="P41" s="22">
        <v>8653.9560000000001</v>
      </c>
    </row>
    <row r="42" spans="1:16" x14ac:dyDescent="0.25">
      <c r="A42" s="10" t="s">
        <v>262</v>
      </c>
      <c r="B42" s="10" t="s">
        <v>263</v>
      </c>
      <c r="C42" s="13">
        <v>5.4039999999999999</v>
      </c>
      <c r="D42" s="13">
        <v>2.5870000000000002</v>
      </c>
      <c r="E42" s="13">
        <v>0</v>
      </c>
      <c r="F42" s="13">
        <v>0</v>
      </c>
      <c r="G42" s="13">
        <v>4.3040000000000003</v>
      </c>
      <c r="H42" s="13">
        <v>8.1210000000000004</v>
      </c>
      <c r="I42" s="13">
        <v>5.8310000000000004</v>
      </c>
      <c r="J42" s="13">
        <v>6.024</v>
      </c>
      <c r="K42" s="13">
        <v>14.131</v>
      </c>
      <c r="L42" s="13">
        <v>24.667000000000002</v>
      </c>
      <c r="M42" s="13">
        <v>17.984000000000002</v>
      </c>
      <c r="N42" s="13">
        <v>12.69</v>
      </c>
      <c r="O42" s="13">
        <v>7.5590000000000002</v>
      </c>
      <c r="P42" s="16">
        <v>7.5590000000000002</v>
      </c>
    </row>
    <row r="43" spans="1:16" x14ac:dyDescent="0.25">
      <c r="A43" s="6" t="s">
        <v>264</v>
      </c>
      <c r="B43" s="6" t="s">
        <v>265</v>
      </c>
      <c r="C43" s="19">
        <v>1551.7629999999999</v>
      </c>
      <c r="D43" s="19">
        <v>2635.768</v>
      </c>
      <c r="E43" s="19">
        <v>5308.4530000000004</v>
      </c>
      <c r="F43" s="19">
        <v>3147.748</v>
      </c>
      <c r="G43" s="19">
        <v>5193.1850000000004</v>
      </c>
      <c r="H43" s="19">
        <v>4024.8789999999999</v>
      </c>
      <c r="I43" s="19">
        <v>3712.0219999999999</v>
      </c>
      <c r="J43" s="19">
        <v>5146.0200000000004</v>
      </c>
      <c r="K43" s="19">
        <v>5019.732</v>
      </c>
      <c r="L43" s="19">
        <v>5856.2950000000001</v>
      </c>
      <c r="M43" s="19">
        <v>4715.7370000000001</v>
      </c>
      <c r="N43" s="19">
        <v>3949.723</v>
      </c>
      <c r="O43" s="19">
        <v>8646.3970000000008</v>
      </c>
      <c r="P43" s="22">
        <v>8646.3970000000008</v>
      </c>
    </row>
    <row r="44" spans="1:16" x14ac:dyDescent="0.25">
      <c r="A44" s="10" t="s">
        <v>266</v>
      </c>
      <c r="B44" s="10" t="s">
        <v>267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6">
        <v>0</v>
      </c>
    </row>
    <row r="45" spans="1:16" x14ac:dyDescent="0.25">
      <c r="A45" s="10" t="s">
        <v>268</v>
      </c>
      <c r="B45" s="10" t="s">
        <v>269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6">
        <v>0</v>
      </c>
    </row>
    <row r="46" spans="1:16" x14ac:dyDescent="0.25">
      <c r="A46" s="6" t="s">
        <v>270</v>
      </c>
      <c r="B46" s="6" t="s">
        <v>55</v>
      </c>
      <c r="C46" s="19">
        <v>1551.7629999999999</v>
      </c>
      <c r="D46" s="19">
        <v>2635.768</v>
      </c>
      <c r="E46" s="19">
        <v>5308.4530000000004</v>
      </c>
      <c r="F46" s="19">
        <v>3147.748</v>
      </c>
      <c r="G46" s="19">
        <v>5193.1850000000004</v>
      </c>
      <c r="H46" s="19">
        <v>4024.8789999999999</v>
      </c>
      <c r="I46" s="19">
        <v>3712.0219999999999</v>
      </c>
      <c r="J46" s="19">
        <v>5146.0200000000004</v>
      </c>
      <c r="K46" s="19">
        <v>5019.732</v>
      </c>
      <c r="L46" s="19">
        <v>5856.2950000000001</v>
      </c>
      <c r="M46" s="19">
        <v>4715.7370000000001</v>
      </c>
      <c r="N46" s="19">
        <v>3949.723</v>
      </c>
      <c r="O46" s="19">
        <v>8646.3970000000008</v>
      </c>
      <c r="P46" s="22">
        <v>8646.3970000000008</v>
      </c>
    </row>
    <row r="47" spans="1:16" x14ac:dyDescent="0.25">
      <c r="A47" s="6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21"/>
    </row>
    <row r="48" spans="1:16" x14ac:dyDescent="0.25">
      <c r="A48" s="6" t="s">
        <v>271</v>
      </c>
      <c r="B48" s="6" t="s">
        <v>55</v>
      </c>
      <c r="C48" s="19">
        <v>1549.3809000000001</v>
      </c>
      <c r="D48" s="19">
        <v>2626.5545999999999</v>
      </c>
      <c r="E48" s="19">
        <v>5315.8477999999996</v>
      </c>
      <c r="F48" s="19">
        <v>3159.732</v>
      </c>
      <c r="G48" s="19">
        <v>5201.4526999999998</v>
      </c>
      <c r="H48" s="19">
        <v>4064.6019000000001</v>
      </c>
      <c r="I48" s="19">
        <v>3778.2595000000001</v>
      </c>
      <c r="J48" s="19">
        <v>4971.8530000000001</v>
      </c>
      <c r="K48" s="19">
        <v>5025.0870000000004</v>
      </c>
      <c r="L48" s="19">
        <v>5904.2338</v>
      </c>
      <c r="M48" s="19">
        <v>4715.7370000000001</v>
      </c>
      <c r="N48" s="19">
        <v>4078.5664000000002</v>
      </c>
      <c r="O48" s="19">
        <v>8694.3035999999993</v>
      </c>
      <c r="P48" s="22">
        <v>8694.3035999999993</v>
      </c>
    </row>
    <row r="49" spans="1:16" x14ac:dyDescent="0.25">
      <c r="A49" s="10" t="s">
        <v>272</v>
      </c>
      <c r="B49" s="10" t="s">
        <v>273</v>
      </c>
      <c r="C49" s="13">
        <v>-2.3820999999999999</v>
      </c>
      <c r="D49" s="13">
        <v>-9.2134</v>
      </c>
      <c r="E49" s="13">
        <v>7.3948</v>
      </c>
      <c r="F49" s="13">
        <v>11.984</v>
      </c>
      <c r="G49" s="13">
        <v>8.2676999999999996</v>
      </c>
      <c r="H49" s="13">
        <v>39.722900000000003</v>
      </c>
      <c r="I49" s="13">
        <v>66.237499999999997</v>
      </c>
      <c r="J49" s="13">
        <v>-174.167</v>
      </c>
      <c r="K49" s="13">
        <v>5.3550000000000004</v>
      </c>
      <c r="L49" s="13">
        <v>47.938800000000001</v>
      </c>
      <c r="M49" s="13">
        <v>0</v>
      </c>
      <c r="N49" s="13">
        <v>128.8434</v>
      </c>
      <c r="O49" s="13">
        <v>47.906599999999997</v>
      </c>
      <c r="P49" s="16">
        <v>47.906599999999997</v>
      </c>
    </row>
    <row r="50" spans="1:16" x14ac:dyDescent="0.25">
      <c r="A50" s="10" t="s">
        <v>274</v>
      </c>
      <c r="B50" s="10" t="s">
        <v>255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6">
        <v>0</v>
      </c>
    </row>
    <row r="51" spans="1:16" x14ac:dyDescent="0.25">
      <c r="A51" s="6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21"/>
    </row>
    <row r="52" spans="1:16" x14ac:dyDescent="0.25">
      <c r="A52" s="10" t="s">
        <v>275</v>
      </c>
      <c r="B52" s="10" t="s">
        <v>77</v>
      </c>
      <c r="C52" s="13" t="s">
        <v>198</v>
      </c>
      <c r="D52" s="13">
        <v>3654.0396999999998</v>
      </c>
      <c r="E52" s="13">
        <v>3582.5475999999999</v>
      </c>
      <c r="F52" s="13">
        <v>9390.3670000000002</v>
      </c>
      <c r="G52" s="13">
        <v>3515.1089999999999</v>
      </c>
      <c r="H52" s="13">
        <v>3582.9106999999999</v>
      </c>
      <c r="I52" s="13">
        <v>3588.1264000000001</v>
      </c>
      <c r="J52" s="13">
        <v>3591.1763000000001</v>
      </c>
      <c r="K52" s="13">
        <v>3591.1763000000001</v>
      </c>
      <c r="L52" s="13">
        <v>3591.1763000000001</v>
      </c>
      <c r="M52" s="13">
        <v>3591.1763000000001</v>
      </c>
      <c r="N52" s="13">
        <v>3591.1763000000001</v>
      </c>
      <c r="O52" s="13">
        <v>3591.1763000000001</v>
      </c>
      <c r="P52" s="16">
        <v>3591.176301</v>
      </c>
    </row>
    <row r="53" spans="1:16" x14ac:dyDescent="0.25">
      <c r="A53" s="6" t="s">
        <v>72</v>
      </c>
      <c r="B53" s="6" t="s">
        <v>73</v>
      </c>
      <c r="C53" s="20">
        <v>0.43</v>
      </c>
      <c r="D53" s="20">
        <v>0.74</v>
      </c>
      <c r="E53" s="20">
        <v>1.4818</v>
      </c>
      <c r="F53" s="20">
        <v>0.34</v>
      </c>
      <c r="G53" s="20">
        <v>1.48</v>
      </c>
      <c r="H53" s="20">
        <v>1.1200000000000001</v>
      </c>
      <c r="I53" s="20">
        <v>1.0345</v>
      </c>
      <c r="J53" s="20">
        <v>1.43</v>
      </c>
      <c r="K53" s="20">
        <v>1.3977999999999999</v>
      </c>
      <c r="L53" s="20">
        <v>1.64</v>
      </c>
      <c r="M53" s="20">
        <v>1.31</v>
      </c>
      <c r="N53" s="20">
        <v>1.1000000000000001</v>
      </c>
      <c r="O53" s="20">
        <v>2.41</v>
      </c>
      <c r="P53" s="23">
        <v>2.41</v>
      </c>
    </row>
    <row r="54" spans="1:16" x14ac:dyDescent="0.25">
      <c r="A54" s="6" t="s">
        <v>276</v>
      </c>
      <c r="B54" s="6" t="s">
        <v>277</v>
      </c>
      <c r="C54" s="20">
        <v>0.43</v>
      </c>
      <c r="D54" s="20">
        <v>0.74</v>
      </c>
      <c r="E54" s="20">
        <v>1.4818</v>
      </c>
      <c r="F54" s="20">
        <v>0.34</v>
      </c>
      <c r="G54" s="20">
        <v>1.48</v>
      </c>
      <c r="H54" s="20">
        <v>1.1200000000000001</v>
      </c>
      <c r="I54" s="20">
        <v>1.0345</v>
      </c>
      <c r="J54" s="20">
        <v>1.43</v>
      </c>
      <c r="K54" s="20">
        <v>1.3977999999999999</v>
      </c>
      <c r="L54" s="20">
        <v>1.64</v>
      </c>
      <c r="M54" s="20">
        <v>1.31</v>
      </c>
      <c r="N54" s="20">
        <v>1.1000000000000001</v>
      </c>
      <c r="O54" s="20">
        <v>2.41</v>
      </c>
      <c r="P54" s="23">
        <v>2.41</v>
      </c>
    </row>
    <row r="55" spans="1:16" x14ac:dyDescent="0.25">
      <c r="A55" s="6" t="s">
        <v>278</v>
      </c>
      <c r="B55" s="6" t="s">
        <v>279</v>
      </c>
      <c r="C55" s="20" t="s">
        <v>198</v>
      </c>
      <c r="D55" s="20">
        <v>0.71879999999999999</v>
      </c>
      <c r="E55" s="20">
        <v>1.4838</v>
      </c>
      <c r="F55" s="20">
        <v>0.33650000000000002</v>
      </c>
      <c r="G55" s="20">
        <v>1.4797</v>
      </c>
      <c r="H55" s="20">
        <v>1.1344000000000001</v>
      </c>
      <c r="I55" s="20">
        <v>1.0529999999999999</v>
      </c>
      <c r="J55" s="20">
        <v>1.3845000000000001</v>
      </c>
      <c r="K55" s="20">
        <v>1.3993</v>
      </c>
      <c r="L55" s="20">
        <v>1.6440999999999999</v>
      </c>
      <c r="M55" s="20">
        <v>1.31</v>
      </c>
      <c r="N55" s="20">
        <v>1.1356999999999999</v>
      </c>
      <c r="O55" s="20">
        <v>2.4209999999999998</v>
      </c>
      <c r="P55" s="23">
        <v>2.4210180000000001</v>
      </c>
    </row>
    <row r="56" spans="1:16" x14ac:dyDescent="0.25">
      <c r="A56" s="6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21"/>
    </row>
    <row r="57" spans="1:16" x14ac:dyDescent="0.25">
      <c r="A57" s="10" t="s">
        <v>280</v>
      </c>
      <c r="B57" s="10" t="s">
        <v>79</v>
      </c>
      <c r="C57" s="13" t="s">
        <v>198</v>
      </c>
      <c r="D57" s="13">
        <v>3654.0396999999998</v>
      </c>
      <c r="E57" s="13">
        <v>3582.5475999999999</v>
      </c>
      <c r="F57" s="13">
        <v>9390.3670000000002</v>
      </c>
      <c r="G57" s="13">
        <v>3515.1089999999999</v>
      </c>
      <c r="H57" s="13">
        <v>3582.9106999999999</v>
      </c>
      <c r="I57" s="13">
        <v>3588.1264000000001</v>
      </c>
      <c r="J57" s="13">
        <v>3591.1763000000001</v>
      </c>
      <c r="K57" s="13">
        <v>3591.1763000000001</v>
      </c>
      <c r="L57" s="13">
        <v>3591.1763000000001</v>
      </c>
      <c r="M57" s="13">
        <v>3591.1763000000001</v>
      </c>
      <c r="N57" s="13">
        <v>3591.1763000000001</v>
      </c>
      <c r="O57" s="13">
        <v>3591.1763000000001</v>
      </c>
      <c r="P57" s="16">
        <v>3591.176301</v>
      </c>
    </row>
    <row r="58" spans="1:16" x14ac:dyDescent="0.25">
      <c r="A58" s="6" t="s">
        <v>74</v>
      </c>
      <c r="B58" s="6" t="s">
        <v>75</v>
      </c>
      <c r="C58" s="20">
        <v>0.43</v>
      </c>
      <c r="D58" s="20">
        <v>0.74</v>
      </c>
      <c r="E58" s="20">
        <v>1.4818</v>
      </c>
      <c r="F58" s="20">
        <v>0.34</v>
      </c>
      <c r="G58" s="20">
        <v>1.48</v>
      </c>
      <c r="H58" s="20">
        <v>1.1200000000000001</v>
      </c>
      <c r="I58" s="20">
        <v>1.0345</v>
      </c>
      <c r="J58" s="20">
        <v>1.43</v>
      </c>
      <c r="K58" s="20">
        <v>1.3977999999999999</v>
      </c>
      <c r="L58" s="20">
        <v>1.64</v>
      </c>
      <c r="M58" s="20">
        <v>1.31</v>
      </c>
      <c r="N58" s="20">
        <v>1.1000000000000001</v>
      </c>
      <c r="O58" s="20">
        <v>2.41</v>
      </c>
      <c r="P58" s="23">
        <v>2.41</v>
      </c>
    </row>
    <row r="59" spans="1:16" x14ac:dyDescent="0.25">
      <c r="A59" s="6" t="s">
        <v>281</v>
      </c>
      <c r="B59" s="6" t="s">
        <v>282</v>
      </c>
      <c r="C59" s="20">
        <v>0.43</v>
      </c>
      <c r="D59" s="20">
        <v>0.74</v>
      </c>
      <c r="E59" s="20">
        <v>1.4818</v>
      </c>
      <c r="F59" s="20">
        <v>0.34</v>
      </c>
      <c r="G59" s="20">
        <v>1.48</v>
      </c>
      <c r="H59" s="20">
        <v>1.1200000000000001</v>
      </c>
      <c r="I59" s="20">
        <v>1.0345</v>
      </c>
      <c r="J59" s="20">
        <v>1.43</v>
      </c>
      <c r="K59" s="20">
        <v>1.3977999999999999</v>
      </c>
      <c r="L59" s="20">
        <v>1.64</v>
      </c>
      <c r="M59" s="20">
        <v>1.31</v>
      </c>
      <c r="N59" s="20">
        <v>1.1000000000000001</v>
      </c>
      <c r="O59" s="20">
        <v>2.41</v>
      </c>
      <c r="P59" s="23">
        <v>2.41</v>
      </c>
    </row>
    <row r="60" spans="1:16" x14ac:dyDescent="0.25">
      <c r="A60" s="6" t="s">
        <v>283</v>
      </c>
      <c r="B60" s="6" t="s">
        <v>57</v>
      </c>
      <c r="C60" s="20" t="s">
        <v>198</v>
      </c>
      <c r="D60" s="20">
        <v>0.71879999999999999</v>
      </c>
      <c r="E60" s="20">
        <v>1.4838</v>
      </c>
      <c r="F60" s="20">
        <v>0.33650000000000002</v>
      </c>
      <c r="G60" s="20">
        <v>1.4797</v>
      </c>
      <c r="H60" s="20">
        <v>1.1344000000000001</v>
      </c>
      <c r="I60" s="20">
        <v>1.0529999999999999</v>
      </c>
      <c r="J60" s="20">
        <v>1.3845000000000001</v>
      </c>
      <c r="K60" s="20">
        <v>1.3993</v>
      </c>
      <c r="L60" s="20">
        <v>1.6440999999999999</v>
      </c>
      <c r="M60" s="20">
        <v>1.31</v>
      </c>
      <c r="N60" s="20">
        <v>1.1356999999999999</v>
      </c>
      <c r="O60" s="20">
        <v>2.4209999999999998</v>
      </c>
      <c r="P60" s="23">
        <v>2.4210180000000001</v>
      </c>
    </row>
    <row r="61" spans="1:16" x14ac:dyDescent="0.25">
      <c r="A61" s="6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21"/>
    </row>
    <row r="62" spans="1:16" x14ac:dyDescent="0.25">
      <c r="A62" s="6" t="s">
        <v>3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21"/>
    </row>
    <row r="63" spans="1:16" x14ac:dyDescent="0.25">
      <c r="A63" s="10" t="s">
        <v>284</v>
      </c>
      <c r="B63" s="10" t="s">
        <v>285</v>
      </c>
      <c r="C63" s="12" t="s">
        <v>286</v>
      </c>
      <c r="D63" s="12" t="s">
        <v>286</v>
      </c>
      <c r="E63" s="12" t="s">
        <v>286</v>
      </c>
      <c r="F63" s="12" t="s">
        <v>286</v>
      </c>
      <c r="G63" s="12" t="s">
        <v>286</v>
      </c>
      <c r="H63" s="12" t="s">
        <v>286</v>
      </c>
      <c r="I63" s="12" t="s">
        <v>286</v>
      </c>
      <c r="J63" s="12" t="s">
        <v>286</v>
      </c>
      <c r="K63" s="12" t="s">
        <v>286</v>
      </c>
      <c r="L63" s="12" t="s">
        <v>286</v>
      </c>
      <c r="M63" s="12" t="s">
        <v>286</v>
      </c>
      <c r="N63" s="12" t="s">
        <v>286</v>
      </c>
      <c r="O63" s="12" t="s">
        <v>286</v>
      </c>
      <c r="P63" s="15"/>
    </row>
    <row r="64" spans="1:16" x14ac:dyDescent="0.25">
      <c r="A64" s="10" t="s">
        <v>53</v>
      </c>
      <c r="B64" s="10" t="s">
        <v>53</v>
      </c>
      <c r="C64" s="13">
        <v>2675.5079999999998</v>
      </c>
      <c r="D64" s="13">
        <v>3646.2930000000001</v>
      </c>
      <c r="E64" s="13">
        <v>4880.0600000000004</v>
      </c>
      <c r="F64" s="13">
        <v>6092.4970000000003</v>
      </c>
      <c r="G64" s="13">
        <v>7182.3819999999996</v>
      </c>
      <c r="H64" s="13">
        <v>6130.3760000000002</v>
      </c>
      <c r="I64" s="13">
        <v>6190.19</v>
      </c>
      <c r="J64" s="13">
        <v>7662.0010000000002</v>
      </c>
      <c r="K64" s="13">
        <v>7945.8209999999999</v>
      </c>
      <c r="L64" s="13">
        <v>9911.7129999999997</v>
      </c>
      <c r="M64" s="13">
        <v>7312.1180000000004</v>
      </c>
      <c r="N64" s="13">
        <v>9085.8439999999991</v>
      </c>
      <c r="O64" s="13">
        <v>11082.076999999999</v>
      </c>
      <c r="P64" s="16">
        <v>11082.076999999999</v>
      </c>
    </row>
    <row r="65" spans="1:16" x14ac:dyDescent="0.25">
      <c r="A65" s="10" t="s">
        <v>287</v>
      </c>
      <c r="B65" s="10" t="s">
        <v>288</v>
      </c>
      <c r="C65" s="14">
        <v>21.743300000000001</v>
      </c>
      <c r="D65" s="14">
        <v>23.810500000000001</v>
      </c>
      <c r="E65" s="14">
        <v>26.4146</v>
      </c>
      <c r="F65" s="14">
        <v>24.973099999999999</v>
      </c>
      <c r="G65" s="14">
        <v>27.6693</v>
      </c>
      <c r="H65" s="14">
        <v>21.7712</v>
      </c>
      <c r="I65" s="14">
        <v>20.838999999999999</v>
      </c>
      <c r="J65" s="14">
        <v>21.8689</v>
      </c>
      <c r="K65" s="14">
        <v>20.1571</v>
      </c>
      <c r="L65" s="14">
        <v>21.674700000000001</v>
      </c>
      <c r="M65" s="14">
        <v>16.485600000000002</v>
      </c>
      <c r="N65" s="14">
        <v>20.6677</v>
      </c>
      <c r="O65" s="14">
        <v>25.72</v>
      </c>
      <c r="P65" s="17">
        <v>25.720013213152999</v>
      </c>
    </row>
    <row r="66" spans="1:16" x14ac:dyDescent="0.25">
      <c r="A66" s="10" t="s">
        <v>289</v>
      </c>
      <c r="B66" s="10" t="s">
        <v>289</v>
      </c>
      <c r="C66" s="13" t="s">
        <v>198</v>
      </c>
      <c r="D66" s="13" t="s">
        <v>198</v>
      </c>
      <c r="E66" s="13" t="s">
        <v>198</v>
      </c>
      <c r="F66" s="13">
        <v>5676.3140000000003</v>
      </c>
      <c r="G66" s="13">
        <v>6766.1989999999996</v>
      </c>
      <c r="H66" s="13">
        <v>5664.6369999999997</v>
      </c>
      <c r="I66" s="13">
        <v>5561.5370000000003</v>
      </c>
      <c r="J66" s="13">
        <v>6996.7209999999995</v>
      </c>
      <c r="K66" s="13">
        <v>7391.4570000000003</v>
      </c>
      <c r="L66" s="13">
        <v>9189.5650000000005</v>
      </c>
      <c r="M66" s="13">
        <v>6549.5919999999996</v>
      </c>
      <c r="N66" s="13">
        <v>8048.9960000000001</v>
      </c>
      <c r="O66" s="13" t="s">
        <v>198</v>
      </c>
      <c r="P66" s="16"/>
    </row>
    <row r="67" spans="1:16" x14ac:dyDescent="0.25">
      <c r="A67" s="10" t="s">
        <v>139</v>
      </c>
      <c r="B67" s="10" t="s">
        <v>139</v>
      </c>
      <c r="C67" s="13">
        <v>2488.6489999999999</v>
      </c>
      <c r="D67" s="13">
        <v>3362.3809999999999</v>
      </c>
      <c r="E67" s="13">
        <v>4630.7719999999999</v>
      </c>
      <c r="F67" s="13">
        <v>5641.027</v>
      </c>
      <c r="G67" s="13">
        <v>6747.3670000000002</v>
      </c>
      <c r="H67" s="13">
        <v>5599.6880000000001</v>
      </c>
      <c r="I67" s="13">
        <v>5504.7650000000003</v>
      </c>
      <c r="J67" s="13">
        <v>6947.5420000000004</v>
      </c>
      <c r="K67" s="13">
        <v>7128.8519999999999</v>
      </c>
      <c r="L67" s="13">
        <v>8958.32</v>
      </c>
      <c r="M67" s="13">
        <v>6238.3249999999998</v>
      </c>
      <c r="N67" s="13">
        <v>7948.7330000000002</v>
      </c>
      <c r="O67" s="13">
        <v>9732.6010000000006</v>
      </c>
      <c r="P67" s="16">
        <v>9732.6010000000006</v>
      </c>
    </row>
    <row r="68" spans="1:16" x14ac:dyDescent="0.25">
      <c r="A68" s="10" t="s">
        <v>290</v>
      </c>
      <c r="B68" s="10" t="s">
        <v>291</v>
      </c>
      <c r="C68" s="14">
        <v>56.890900000000002</v>
      </c>
      <c r="D68" s="14">
        <v>59.272300000000001</v>
      </c>
      <c r="E68" s="14">
        <v>60.896799999999999</v>
      </c>
      <c r="F68" s="14">
        <v>59.273200000000003</v>
      </c>
      <c r="G68" s="14">
        <v>62.1053</v>
      </c>
      <c r="H68" s="14">
        <v>57.472799999999999</v>
      </c>
      <c r="I68" s="14">
        <v>52.7378</v>
      </c>
      <c r="J68" s="14">
        <v>52.0777</v>
      </c>
      <c r="K68" s="14">
        <v>53.968800000000002</v>
      </c>
      <c r="L68" s="14">
        <v>54.86</v>
      </c>
      <c r="M68" s="14">
        <v>50.682699999999997</v>
      </c>
      <c r="N68" s="14">
        <v>53.481999999999999</v>
      </c>
      <c r="O68" s="14">
        <v>55.963200000000001</v>
      </c>
      <c r="P68" s="17">
        <v>55.963242963384502</v>
      </c>
    </row>
    <row r="69" spans="1:16" x14ac:dyDescent="0.25">
      <c r="A69" s="10" t="s">
        <v>292</v>
      </c>
      <c r="B69" s="10" t="s">
        <v>293</v>
      </c>
      <c r="C69" s="14">
        <v>20.224699999999999</v>
      </c>
      <c r="D69" s="14">
        <v>21.956499999999998</v>
      </c>
      <c r="E69" s="14">
        <v>25.065300000000001</v>
      </c>
      <c r="F69" s="14">
        <v>23.122599999999998</v>
      </c>
      <c r="G69" s="14">
        <v>25.993500000000001</v>
      </c>
      <c r="H69" s="14">
        <v>19.886500000000002</v>
      </c>
      <c r="I69" s="14">
        <v>18.531600000000001</v>
      </c>
      <c r="J69" s="14">
        <v>19.829599999999999</v>
      </c>
      <c r="K69" s="14">
        <v>18.084599999999998</v>
      </c>
      <c r="L69" s="14">
        <v>19.5898</v>
      </c>
      <c r="M69" s="14">
        <v>14.0647</v>
      </c>
      <c r="N69" s="14">
        <v>18.081099999999999</v>
      </c>
      <c r="O69" s="14">
        <v>22.588100000000001</v>
      </c>
      <c r="P69" s="17">
        <v>22.588060552037899</v>
      </c>
    </row>
    <row r="70" spans="1:16" x14ac:dyDescent="0.25">
      <c r="A70" s="10" t="s">
        <v>294</v>
      </c>
      <c r="B70" s="10" t="s">
        <v>295</v>
      </c>
      <c r="C70" s="14">
        <v>12.5915</v>
      </c>
      <c r="D70" s="14">
        <v>17.151599999999998</v>
      </c>
      <c r="E70" s="14">
        <v>28.773399999999999</v>
      </c>
      <c r="F70" s="14">
        <v>12.951700000000001</v>
      </c>
      <c r="G70" s="14">
        <v>20.038</v>
      </c>
      <c r="H70" s="14">
        <v>14.434900000000001</v>
      </c>
      <c r="I70" s="14">
        <v>12.7194</v>
      </c>
      <c r="J70" s="14">
        <v>14.1906</v>
      </c>
      <c r="K70" s="14">
        <v>12.7478</v>
      </c>
      <c r="L70" s="14">
        <v>12.911199999999999</v>
      </c>
      <c r="M70" s="14">
        <v>10.6319</v>
      </c>
      <c r="N70" s="14">
        <v>9.2775999999999996</v>
      </c>
      <c r="O70" s="14">
        <v>20.1783</v>
      </c>
      <c r="P70" s="17">
        <v>20.178311653236499</v>
      </c>
    </row>
    <row r="71" spans="1:16" x14ac:dyDescent="0.25">
      <c r="A71" s="10" t="s">
        <v>296</v>
      </c>
      <c r="B71" s="10" t="s">
        <v>297</v>
      </c>
      <c r="C71" s="14" t="s">
        <v>198</v>
      </c>
      <c r="D71" s="14" t="s">
        <v>198</v>
      </c>
      <c r="E71" s="14">
        <v>3379338.0282000001</v>
      </c>
      <c r="F71" s="14">
        <v>4462449.6067000004</v>
      </c>
      <c r="G71" s="14">
        <v>4393693.6357000005</v>
      </c>
      <c r="H71" s="14">
        <v>4850682.1705</v>
      </c>
      <c r="I71" s="14">
        <v>4345345.3773999996</v>
      </c>
      <c r="J71" s="14">
        <v>4336155.8168000001</v>
      </c>
      <c r="K71" s="14">
        <v>4680527.1907000002</v>
      </c>
      <c r="L71" s="14">
        <v>4685878.8810000001</v>
      </c>
      <c r="M71" s="14">
        <v>4314229.5497000003</v>
      </c>
      <c r="N71" s="14">
        <v>4943383.3351999996</v>
      </c>
      <c r="O71" s="14" t="s">
        <v>198</v>
      </c>
      <c r="P71" s="17"/>
    </row>
    <row r="72" spans="1:16" x14ac:dyDescent="0.25">
      <c r="A72" s="10" t="s">
        <v>298</v>
      </c>
      <c r="B72" s="10" t="s">
        <v>299</v>
      </c>
      <c r="C72" s="14">
        <v>0</v>
      </c>
      <c r="D72" s="14">
        <v>0</v>
      </c>
      <c r="E72" s="14">
        <v>0</v>
      </c>
      <c r="F72" s="14">
        <v>0</v>
      </c>
      <c r="G72" s="14">
        <v>0.41849999999999998</v>
      </c>
      <c r="H72" s="14">
        <v>0.50800000000000001</v>
      </c>
      <c r="I72" s="14">
        <v>0.30809999999999998</v>
      </c>
      <c r="J72" s="14">
        <v>0.4304</v>
      </c>
      <c r="K72" s="14">
        <v>0.42049999999999998</v>
      </c>
      <c r="L72" s="14">
        <v>0.49130000000000001</v>
      </c>
      <c r="M72" s="14">
        <v>0.39539999999999997</v>
      </c>
      <c r="N72" s="14">
        <v>0.3972</v>
      </c>
      <c r="O72" s="14" t="s">
        <v>198</v>
      </c>
      <c r="P72" s="17"/>
    </row>
    <row r="73" spans="1:16" x14ac:dyDescent="0.25">
      <c r="A73" s="10" t="s">
        <v>300</v>
      </c>
      <c r="B73" s="10" t="s">
        <v>301</v>
      </c>
      <c r="C73" s="13">
        <v>0</v>
      </c>
      <c r="D73" s="13">
        <v>0</v>
      </c>
      <c r="E73" s="13">
        <v>0</v>
      </c>
      <c r="F73" s="13">
        <v>0</v>
      </c>
      <c r="G73" s="13">
        <v>1502.7374</v>
      </c>
      <c r="H73" s="13">
        <v>1820.1186</v>
      </c>
      <c r="I73" s="13">
        <v>1105.5017</v>
      </c>
      <c r="J73" s="13">
        <v>1545.6063999999999</v>
      </c>
      <c r="K73" s="13">
        <v>1510.1255000000001</v>
      </c>
      <c r="L73" s="13">
        <v>1764.2731000000001</v>
      </c>
      <c r="M73" s="13">
        <v>1420.0948000000001</v>
      </c>
      <c r="N73" s="13">
        <v>1426.4511</v>
      </c>
      <c r="O73" s="13" t="s">
        <v>198</v>
      </c>
      <c r="P73" s="16"/>
    </row>
    <row r="74" spans="1:16" x14ac:dyDescent="0.25">
      <c r="A74" s="10" t="s">
        <v>302</v>
      </c>
      <c r="B74" s="10" t="s">
        <v>303</v>
      </c>
      <c r="C74" s="13">
        <v>8204.1790000000001</v>
      </c>
      <c r="D74" s="13">
        <v>10696.334000000001</v>
      </c>
      <c r="E74" s="13">
        <v>14059.852000000001</v>
      </c>
      <c r="F74" s="13" t="s">
        <v>198</v>
      </c>
      <c r="G74" s="13" t="s">
        <v>198</v>
      </c>
      <c r="H74" s="13" t="s">
        <v>198</v>
      </c>
      <c r="I74" s="13" t="s">
        <v>198</v>
      </c>
      <c r="J74" s="13">
        <v>28431.679</v>
      </c>
      <c r="K74" s="13">
        <v>31185.15</v>
      </c>
      <c r="L74" s="13">
        <v>34806.184000000001</v>
      </c>
      <c r="M74" s="13">
        <v>32541.234</v>
      </c>
      <c r="N74" s="13">
        <v>32891.334999999999</v>
      </c>
      <c r="O74" s="13">
        <v>32134.241000000002</v>
      </c>
      <c r="P74" s="16">
        <v>32134.241000000002</v>
      </c>
    </row>
    <row r="75" spans="1:16" x14ac:dyDescent="0.25">
      <c r="A75" s="10" t="s">
        <v>304</v>
      </c>
      <c r="B75" s="10" t="s">
        <v>305</v>
      </c>
      <c r="C75" s="13" t="s">
        <v>198</v>
      </c>
      <c r="D75" s="13" t="s">
        <v>198</v>
      </c>
      <c r="E75" s="13" t="s">
        <v>198</v>
      </c>
      <c r="F75" s="13">
        <v>416.18299999999999</v>
      </c>
      <c r="G75" s="13">
        <v>416.18299999999999</v>
      </c>
      <c r="H75" s="13">
        <v>465.73899999999998</v>
      </c>
      <c r="I75" s="13">
        <v>628.65300000000002</v>
      </c>
      <c r="J75" s="13">
        <v>665.28</v>
      </c>
      <c r="K75" s="13">
        <v>554.36400000000003</v>
      </c>
      <c r="L75" s="13">
        <v>722.14800000000002</v>
      </c>
      <c r="M75" s="13">
        <v>762.52599999999995</v>
      </c>
      <c r="N75" s="13">
        <v>1036.848</v>
      </c>
      <c r="O75" s="13" t="s">
        <v>198</v>
      </c>
      <c r="P75" s="16"/>
    </row>
    <row r="76" spans="1:16" x14ac:dyDescent="0.25">
      <c r="A76" s="10" t="s">
        <v>306</v>
      </c>
      <c r="B76" s="10" t="s">
        <v>307</v>
      </c>
      <c r="C76" s="13" t="s">
        <v>198</v>
      </c>
      <c r="D76" s="13" t="s">
        <v>198</v>
      </c>
      <c r="E76" s="13">
        <v>17.754999999999999</v>
      </c>
      <c r="F76" s="13">
        <v>25.68</v>
      </c>
      <c r="G76" s="13">
        <v>229.208</v>
      </c>
      <c r="H76" s="13">
        <v>1665.9480000000001</v>
      </c>
      <c r="I76" s="13" t="s">
        <v>198</v>
      </c>
      <c r="J76" s="13" t="s">
        <v>198</v>
      </c>
      <c r="K76" s="13" t="s">
        <v>198</v>
      </c>
      <c r="L76" s="13" t="s">
        <v>198</v>
      </c>
      <c r="M76" s="13" t="s">
        <v>198</v>
      </c>
      <c r="N76" s="13" t="s">
        <v>198</v>
      </c>
      <c r="O76" s="13" t="s">
        <v>198</v>
      </c>
      <c r="P76" s="16"/>
    </row>
    <row r="77" spans="1:16" x14ac:dyDescent="0.25">
      <c r="A77" s="7" t="s">
        <v>65</v>
      </c>
      <c r="B77" s="7"/>
      <c r="C77" s="7" t="s">
        <v>4</v>
      </c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2"/>
  <sheetViews>
    <sheetView workbookViewId="0">
      <selection activeCell="G21" sqref="G21"/>
    </sheetView>
  </sheetViews>
  <sheetFormatPr baseColWidth="10" defaultRowHeight="15" x14ac:dyDescent="0.25"/>
  <cols>
    <col min="1" max="1" width="35.140625" customWidth="1"/>
    <col min="2" max="2" width="0" hidden="1" customWidth="1"/>
    <col min="3" max="16" width="11.855468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0.25" x14ac:dyDescent="0.25">
      <c r="A2" s="8" t="s">
        <v>308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25">
      <c r="A4" s="3" t="s">
        <v>67</v>
      </c>
      <c r="B4" s="3"/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196</v>
      </c>
    </row>
    <row r="5" spans="1:16" x14ac:dyDescent="0.25">
      <c r="A5" s="9" t="s">
        <v>21</v>
      </c>
      <c r="B5" s="9"/>
      <c r="C5" s="5" t="s">
        <v>22</v>
      </c>
      <c r="D5" s="5" t="s">
        <v>23</v>
      </c>
      <c r="E5" s="5" t="s">
        <v>24</v>
      </c>
      <c r="F5" s="5" t="s">
        <v>25</v>
      </c>
      <c r="G5" s="5" t="s">
        <v>26</v>
      </c>
      <c r="H5" s="5" t="s">
        <v>27</v>
      </c>
      <c r="I5" s="5" t="s">
        <v>28</v>
      </c>
      <c r="J5" s="5" t="s">
        <v>29</v>
      </c>
      <c r="K5" s="5" t="s">
        <v>30</v>
      </c>
      <c r="L5" s="5" t="s">
        <v>31</v>
      </c>
      <c r="M5" s="5" t="s">
        <v>32</v>
      </c>
      <c r="N5" s="5" t="s">
        <v>33</v>
      </c>
      <c r="O5" s="5" t="s">
        <v>34</v>
      </c>
      <c r="P5" s="5" t="s">
        <v>34</v>
      </c>
    </row>
    <row r="6" spans="1:16" x14ac:dyDescent="0.25">
      <c r="A6" s="6" t="s">
        <v>0</v>
      </c>
      <c r="B6" s="6" t="s">
        <v>46</v>
      </c>
      <c r="C6" s="19">
        <v>12304.984</v>
      </c>
      <c r="D6" s="19">
        <v>15313.797</v>
      </c>
      <c r="E6" s="19">
        <v>18474.841</v>
      </c>
      <c r="F6" s="19">
        <v>24396.212</v>
      </c>
      <c r="G6" s="19">
        <v>25957.941999999999</v>
      </c>
      <c r="H6" s="19">
        <v>28158.21</v>
      </c>
      <c r="I6" s="19">
        <v>29704.780999999999</v>
      </c>
      <c r="J6" s="19">
        <v>35036.139000000003</v>
      </c>
      <c r="K6" s="19">
        <v>39419.4</v>
      </c>
      <c r="L6" s="19">
        <v>45729.491999999998</v>
      </c>
      <c r="M6" s="19">
        <v>44354.593999999997</v>
      </c>
      <c r="N6" s="19">
        <v>43961.508000000002</v>
      </c>
      <c r="O6" s="19">
        <v>43087.368999999999</v>
      </c>
      <c r="P6" s="22">
        <v>43087.368999999999</v>
      </c>
    </row>
    <row r="7" spans="1:16" x14ac:dyDescent="0.25">
      <c r="A7" s="10" t="s">
        <v>199</v>
      </c>
      <c r="B7" s="10" t="s">
        <v>200</v>
      </c>
      <c r="C7" s="13">
        <v>12304.984</v>
      </c>
      <c r="D7" s="13">
        <v>15313.797</v>
      </c>
      <c r="E7" s="13">
        <v>18474.841</v>
      </c>
      <c r="F7" s="13">
        <v>24396.212</v>
      </c>
      <c r="G7" s="13">
        <v>25957.941999999999</v>
      </c>
      <c r="H7" s="13">
        <v>28158.21</v>
      </c>
      <c r="I7" s="13">
        <v>29704.780999999999</v>
      </c>
      <c r="J7" s="13">
        <v>35036.139000000003</v>
      </c>
      <c r="K7" s="13">
        <v>39419.4</v>
      </c>
      <c r="L7" s="13">
        <v>45729.491999999998</v>
      </c>
      <c r="M7" s="13">
        <v>44354.593999999997</v>
      </c>
      <c r="N7" s="13">
        <v>43961.508000000002</v>
      </c>
      <c r="O7" s="13">
        <v>43087.368999999999</v>
      </c>
      <c r="P7" s="16">
        <v>43087.368999999999</v>
      </c>
    </row>
    <row r="8" spans="1:16" x14ac:dyDescent="0.25">
      <c r="A8" s="10" t="s">
        <v>201</v>
      </c>
      <c r="B8" s="10" t="s">
        <v>202</v>
      </c>
      <c r="C8" s="13">
        <v>5304.567</v>
      </c>
      <c r="D8" s="13">
        <v>6236.95</v>
      </c>
      <c r="E8" s="13">
        <v>7224.2529999999997</v>
      </c>
      <c r="F8" s="13">
        <v>9935.7960000000003</v>
      </c>
      <c r="G8" s="13">
        <v>9836.6749999999993</v>
      </c>
      <c r="H8" s="13">
        <v>11974.906000000001</v>
      </c>
      <c r="I8" s="13">
        <v>14039.147000000001</v>
      </c>
      <c r="J8" s="13">
        <v>16790.114000000001</v>
      </c>
      <c r="K8" s="13">
        <v>18145.221000000001</v>
      </c>
      <c r="L8" s="13">
        <v>20642.306</v>
      </c>
      <c r="M8" s="13">
        <v>21874.48</v>
      </c>
      <c r="N8" s="13">
        <v>20449.998</v>
      </c>
      <c r="O8" s="13">
        <v>18974.28</v>
      </c>
      <c r="P8" s="16">
        <v>18974.28</v>
      </c>
    </row>
    <row r="9" spans="1:16" x14ac:dyDescent="0.25">
      <c r="A9" s="10" t="s">
        <v>203</v>
      </c>
      <c r="B9" s="10" t="s">
        <v>204</v>
      </c>
      <c r="C9" s="13">
        <v>5287.5540000000001</v>
      </c>
      <c r="D9" s="13">
        <v>6208.0709999999999</v>
      </c>
      <c r="E9" s="13">
        <v>7173.0479999999998</v>
      </c>
      <c r="F9" s="13">
        <v>9705.2669999999998</v>
      </c>
      <c r="G9" s="13">
        <v>9587.34</v>
      </c>
      <c r="H9" s="13">
        <v>11974.906000000001</v>
      </c>
      <c r="I9" s="13">
        <v>14039.147000000001</v>
      </c>
      <c r="J9" s="13">
        <v>16790.114000000001</v>
      </c>
      <c r="K9" s="13">
        <v>18145.221000000001</v>
      </c>
      <c r="L9" s="13">
        <v>20642.306</v>
      </c>
      <c r="M9" s="13">
        <v>21874.48</v>
      </c>
      <c r="N9" s="13">
        <v>20449.998</v>
      </c>
      <c r="O9" s="13">
        <v>18974.28</v>
      </c>
      <c r="P9" s="16">
        <v>18974.28</v>
      </c>
    </row>
    <row r="10" spans="1:16" x14ac:dyDescent="0.25">
      <c r="A10" s="10" t="s">
        <v>205</v>
      </c>
      <c r="B10" s="10" t="s">
        <v>206</v>
      </c>
      <c r="C10" s="13">
        <v>17.013000000000002</v>
      </c>
      <c r="D10" s="13">
        <v>28.879000000000001</v>
      </c>
      <c r="E10" s="13">
        <v>51.204999999999998</v>
      </c>
      <c r="F10" s="13">
        <v>230.529</v>
      </c>
      <c r="G10" s="13">
        <v>249.33500000000001</v>
      </c>
      <c r="H10" s="13" t="s">
        <v>198</v>
      </c>
      <c r="I10" s="13" t="s">
        <v>198</v>
      </c>
      <c r="J10" s="13" t="s">
        <v>198</v>
      </c>
      <c r="K10" s="13" t="s">
        <v>198</v>
      </c>
      <c r="L10" s="13" t="s">
        <v>198</v>
      </c>
      <c r="M10" s="13" t="s">
        <v>198</v>
      </c>
      <c r="N10" s="13" t="s">
        <v>198</v>
      </c>
      <c r="O10" s="13" t="s">
        <v>198</v>
      </c>
      <c r="P10" s="16"/>
    </row>
    <row r="11" spans="1:16" x14ac:dyDescent="0.25">
      <c r="A11" s="10" t="s">
        <v>207</v>
      </c>
      <c r="B11" s="10" t="s">
        <v>208</v>
      </c>
      <c r="C11" s="13" t="s">
        <v>198</v>
      </c>
      <c r="D11" s="13" t="s">
        <v>198</v>
      </c>
      <c r="E11" s="13" t="s">
        <v>198</v>
      </c>
      <c r="F11" s="13" t="s">
        <v>198</v>
      </c>
      <c r="G11" s="13" t="s">
        <v>198</v>
      </c>
      <c r="H11" s="13" t="s">
        <v>198</v>
      </c>
      <c r="I11" s="13" t="s">
        <v>198</v>
      </c>
      <c r="J11" s="13" t="s">
        <v>198</v>
      </c>
      <c r="K11" s="13">
        <v>0</v>
      </c>
      <c r="L11" s="13">
        <v>0</v>
      </c>
      <c r="M11" s="13" t="s">
        <v>198</v>
      </c>
      <c r="N11" s="13" t="s">
        <v>198</v>
      </c>
      <c r="O11" s="13" t="s">
        <v>198</v>
      </c>
      <c r="P11" s="16"/>
    </row>
    <row r="12" spans="1:16" x14ac:dyDescent="0.25">
      <c r="A12" s="6" t="s">
        <v>2</v>
      </c>
      <c r="B12" s="6" t="s">
        <v>50</v>
      </c>
      <c r="C12" s="19">
        <v>7000.4170000000004</v>
      </c>
      <c r="D12" s="19">
        <v>9076.8469999999998</v>
      </c>
      <c r="E12" s="19">
        <v>11250.588</v>
      </c>
      <c r="F12" s="19">
        <v>14460.415999999999</v>
      </c>
      <c r="G12" s="19">
        <v>16121.267</v>
      </c>
      <c r="H12" s="19">
        <v>16183.304</v>
      </c>
      <c r="I12" s="19">
        <v>15665.634</v>
      </c>
      <c r="J12" s="19">
        <v>18246.025000000001</v>
      </c>
      <c r="K12" s="19">
        <v>21274.179</v>
      </c>
      <c r="L12" s="19">
        <v>25087.186000000002</v>
      </c>
      <c r="M12" s="19">
        <v>22480.114000000001</v>
      </c>
      <c r="N12" s="19">
        <v>23511.51</v>
      </c>
      <c r="O12" s="19">
        <v>24113.089</v>
      </c>
      <c r="P12" s="22">
        <v>24113.089</v>
      </c>
    </row>
    <row r="13" spans="1:16" x14ac:dyDescent="0.25">
      <c r="A13" s="10" t="s">
        <v>209</v>
      </c>
      <c r="B13" s="10" t="s">
        <v>210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 t="s">
        <v>198</v>
      </c>
      <c r="K13" s="13" t="s">
        <v>198</v>
      </c>
      <c r="L13" s="13" t="s">
        <v>198</v>
      </c>
      <c r="M13" s="13" t="s">
        <v>198</v>
      </c>
      <c r="N13" s="13">
        <v>0</v>
      </c>
      <c r="O13" s="13" t="s">
        <v>198</v>
      </c>
      <c r="P13" s="16"/>
    </row>
    <row r="14" spans="1:16" x14ac:dyDescent="0.25">
      <c r="A14" s="10" t="s">
        <v>211</v>
      </c>
      <c r="B14" s="10" t="s">
        <v>212</v>
      </c>
      <c r="C14" s="13">
        <v>4508.3649999999998</v>
      </c>
      <c r="D14" s="13">
        <v>5701.3040000000001</v>
      </c>
      <c r="E14" s="13">
        <v>6630.38</v>
      </c>
      <c r="F14" s="13">
        <v>8836.509</v>
      </c>
      <c r="G14" s="13">
        <v>9385.7109999999993</v>
      </c>
      <c r="H14" s="13">
        <v>10640.362999999999</v>
      </c>
      <c r="I14" s="13">
        <v>10255.494000000001</v>
      </c>
      <c r="J14" s="13">
        <v>11353.412</v>
      </c>
      <c r="K14" s="13">
        <v>14152.977000000001</v>
      </c>
      <c r="L14" s="13">
        <v>16197.35</v>
      </c>
      <c r="M14" s="13">
        <v>16241.789000000001</v>
      </c>
      <c r="N14" s="13">
        <v>15746.839</v>
      </c>
      <c r="O14" s="13">
        <v>14448.925999999999</v>
      </c>
      <c r="P14" s="16">
        <v>14448.925999999999</v>
      </c>
    </row>
    <row r="15" spans="1:16" x14ac:dyDescent="0.25">
      <c r="A15" s="10" t="s">
        <v>213</v>
      </c>
      <c r="B15" s="10" t="s">
        <v>214</v>
      </c>
      <c r="C15" s="13">
        <v>4501.8239999999996</v>
      </c>
      <c r="D15" s="13">
        <v>5625.4260000000004</v>
      </c>
      <c r="E15" s="13">
        <v>6526.1009999999997</v>
      </c>
      <c r="F15" s="13">
        <v>8996.9490000000005</v>
      </c>
      <c r="G15" s="13">
        <v>9184.4869999999992</v>
      </c>
      <c r="H15" s="13">
        <v>10580.852999999999</v>
      </c>
      <c r="I15" s="13">
        <v>12415.654</v>
      </c>
      <c r="J15" s="13">
        <v>11445.007</v>
      </c>
      <c r="K15" s="13">
        <v>14207.897000000001</v>
      </c>
      <c r="L15" s="13">
        <v>16231.848</v>
      </c>
      <c r="M15" s="13">
        <v>16163.754000000001</v>
      </c>
      <c r="N15" s="13">
        <v>15738.182000000001</v>
      </c>
      <c r="O15" s="13">
        <v>15733.085999999999</v>
      </c>
      <c r="P15" s="16">
        <v>15734.085999999999</v>
      </c>
    </row>
    <row r="16" spans="1:16" x14ac:dyDescent="0.25">
      <c r="A16" s="11" t="s">
        <v>215</v>
      </c>
      <c r="B16" s="11" t="s">
        <v>216</v>
      </c>
      <c r="C16" s="25">
        <v>3454.3240000000001</v>
      </c>
      <c r="D16" s="25">
        <v>4622.6750000000002</v>
      </c>
      <c r="E16" s="25">
        <v>5442.3</v>
      </c>
      <c r="F16" s="25">
        <v>7560.6369999999997</v>
      </c>
      <c r="G16" s="25">
        <v>7524.8940000000002</v>
      </c>
      <c r="H16" s="25">
        <v>8759.7739999999994</v>
      </c>
      <c r="I16" s="25">
        <v>10661.567999999999</v>
      </c>
      <c r="J16" s="25">
        <v>9472.0370000000003</v>
      </c>
      <c r="K16" s="25">
        <v>12134.222</v>
      </c>
      <c r="L16" s="25">
        <v>13943.745999999999</v>
      </c>
      <c r="M16" s="25">
        <v>13737.353999999999</v>
      </c>
      <c r="N16" s="25">
        <v>13080.776</v>
      </c>
      <c r="O16" s="25">
        <v>13157.535</v>
      </c>
      <c r="P16" s="28">
        <v>13158.535</v>
      </c>
    </row>
    <row r="17" spans="1:16" x14ac:dyDescent="0.25">
      <c r="A17" s="11" t="s">
        <v>217</v>
      </c>
      <c r="B17" s="11" t="s">
        <v>218</v>
      </c>
      <c r="C17" s="25">
        <v>1047.5</v>
      </c>
      <c r="D17" s="25">
        <v>1002.751</v>
      </c>
      <c r="E17" s="25">
        <v>1083.8009999999999</v>
      </c>
      <c r="F17" s="25">
        <v>1436.3119999999999</v>
      </c>
      <c r="G17" s="25">
        <v>1659.5930000000001</v>
      </c>
      <c r="H17" s="25">
        <v>1821.079</v>
      </c>
      <c r="I17" s="25">
        <v>1754.086</v>
      </c>
      <c r="J17" s="25">
        <v>1972.97</v>
      </c>
      <c r="K17" s="25">
        <v>2073.6750000000002</v>
      </c>
      <c r="L17" s="25">
        <v>2288.1019999999999</v>
      </c>
      <c r="M17" s="25">
        <v>2426.4</v>
      </c>
      <c r="N17" s="25">
        <v>2657.4059999999999</v>
      </c>
      <c r="O17" s="25">
        <v>2575.5509999999999</v>
      </c>
      <c r="P17" s="28">
        <v>2575.5509999999999</v>
      </c>
    </row>
    <row r="18" spans="1:16" x14ac:dyDescent="0.25">
      <c r="A18" s="10" t="s">
        <v>207</v>
      </c>
      <c r="B18" s="10" t="s">
        <v>309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 t="s">
        <v>198</v>
      </c>
      <c r="P18" s="16"/>
    </row>
    <row r="19" spans="1:16" x14ac:dyDescent="0.25">
      <c r="A19" s="10" t="s">
        <v>220</v>
      </c>
      <c r="B19" s="10" t="s">
        <v>310</v>
      </c>
      <c r="C19" s="13">
        <v>6.5410000000000004</v>
      </c>
      <c r="D19" s="13">
        <v>75.878</v>
      </c>
      <c r="E19" s="13">
        <v>104.279</v>
      </c>
      <c r="F19" s="13">
        <v>-160.44</v>
      </c>
      <c r="G19" s="13">
        <v>201.22399999999999</v>
      </c>
      <c r="H19" s="13">
        <v>59.51</v>
      </c>
      <c r="I19" s="13">
        <v>-2160.16</v>
      </c>
      <c r="J19" s="13">
        <v>-91.594999999999999</v>
      </c>
      <c r="K19" s="13">
        <v>-54.92</v>
      </c>
      <c r="L19" s="13">
        <v>-34.497999999999998</v>
      </c>
      <c r="M19" s="13">
        <v>78.034999999999997</v>
      </c>
      <c r="N19" s="13">
        <v>8.657</v>
      </c>
      <c r="O19" s="13">
        <v>-1284.1600000000001</v>
      </c>
      <c r="P19" s="16">
        <v>-1285.1600000000001</v>
      </c>
    </row>
    <row r="20" spans="1:16" x14ac:dyDescent="0.25">
      <c r="A20" s="6" t="s">
        <v>222</v>
      </c>
      <c r="B20" s="6" t="s">
        <v>70</v>
      </c>
      <c r="C20" s="19">
        <v>2492.0520000000001</v>
      </c>
      <c r="D20" s="19">
        <v>3375.5430000000001</v>
      </c>
      <c r="E20" s="19">
        <v>4620.2079999999996</v>
      </c>
      <c r="F20" s="19">
        <v>5623.9070000000002</v>
      </c>
      <c r="G20" s="19">
        <v>6735.5559999999996</v>
      </c>
      <c r="H20" s="19">
        <v>5542.9409999999998</v>
      </c>
      <c r="I20" s="19">
        <v>5410.14</v>
      </c>
      <c r="J20" s="19">
        <v>6892.6130000000003</v>
      </c>
      <c r="K20" s="19">
        <v>7121.2020000000002</v>
      </c>
      <c r="L20" s="19">
        <v>8889.8359999999993</v>
      </c>
      <c r="M20" s="19">
        <v>6238.3249999999998</v>
      </c>
      <c r="N20" s="19">
        <v>7764.6710000000003</v>
      </c>
      <c r="O20" s="19">
        <v>9664.1630000000005</v>
      </c>
      <c r="P20" s="22">
        <v>9664.1630000000005</v>
      </c>
    </row>
    <row r="21" spans="1:16" x14ac:dyDescent="0.25">
      <c r="A21" s="10" t="s">
        <v>223</v>
      </c>
      <c r="B21" s="10" t="s">
        <v>311</v>
      </c>
      <c r="C21" s="13">
        <v>-60.460999999999999</v>
      </c>
      <c r="D21" s="13">
        <v>-416.142</v>
      </c>
      <c r="E21" s="13">
        <v>-2998.5140000000001</v>
      </c>
      <c r="F21" s="13">
        <v>935.71199999999999</v>
      </c>
      <c r="G21" s="13">
        <v>780.31500000000005</v>
      </c>
      <c r="H21" s="13">
        <v>396.46699999999998</v>
      </c>
      <c r="I21" s="13">
        <v>262.76900000000001</v>
      </c>
      <c r="J21" s="13">
        <v>38.406999999999996</v>
      </c>
      <c r="K21" s="13">
        <v>213.596</v>
      </c>
      <c r="L21" s="13">
        <v>658.61300000000006</v>
      </c>
      <c r="M21" s="13">
        <v>50.454000000000001</v>
      </c>
      <c r="N21" s="13">
        <v>2541.489</v>
      </c>
      <c r="O21" s="13">
        <v>-2195.0340000000001</v>
      </c>
      <c r="P21" s="16">
        <v>-2195.0340000000001</v>
      </c>
    </row>
    <row r="22" spans="1:16" x14ac:dyDescent="0.25">
      <c r="A22" s="10" t="s">
        <v>225</v>
      </c>
      <c r="B22" s="10" t="s">
        <v>226</v>
      </c>
      <c r="C22" s="13">
        <v>21.943999999999999</v>
      </c>
      <c r="D22" s="13">
        <v>6.7140000000000004</v>
      </c>
      <c r="E22" s="13">
        <v>128.59100000000001</v>
      </c>
      <c r="F22" s="13">
        <v>344.839</v>
      </c>
      <c r="G22" s="13">
        <v>375.73200000000003</v>
      </c>
      <c r="H22" s="13">
        <v>238.46100000000001</v>
      </c>
      <c r="I22" s="13">
        <v>262.76900000000001</v>
      </c>
      <c r="J22" s="13">
        <v>401.14299999999997</v>
      </c>
      <c r="K22" s="13">
        <v>448.036</v>
      </c>
      <c r="L22" s="13">
        <v>706.47799999999995</v>
      </c>
      <c r="M22" s="13">
        <v>856.77300000000002</v>
      </c>
      <c r="N22" s="13">
        <v>900.08600000000001</v>
      </c>
      <c r="O22" s="13">
        <v>748.25099999999998</v>
      </c>
      <c r="P22" s="16">
        <v>3282.6190000000001</v>
      </c>
    </row>
    <row r="23" spans="1:16" x14ac:dyDescent="0.25">
      <c r="A23" s="11" t="s">
        <v>227</v>
      </c>
      <c r="B23" s="11" t="s">
        <v>228</v>
      </c>
      <c r="C23" s="25">
        <v>46.646000000000001</v>
      </c>
      <c r="D23" s="25">
        <v>38.654000000000003</v>
      </c>
      <c r="E23" s="25">
        <v>136.465</v>
      </c>
      <c r="F23" s="25">
        <v>394.20100000000002</v>
      </c>
      <c r="G23" s="25">
        <v>485.49200000000002</v>
      </c>
      <c r="H23" s="25">
        <v>431.55799999999999</v>
      </c>
      <c r="I23" s="25">
        <v>528.55100000000004</v>
      </c>
      <c r="J23" s="25">
        <v>544.80899999999997</v>
      </c>
      <c r="K23" s="25">
        <v>698.70699999999999</v>
      </c>
      <c r="L23" s="25">
        <v>849.52599999999995</v>
      </c>
      <c r="M23" s="25">
        <v>1096.402</v>
      </c>
      <c r="N23" s="25">
        <v>1351.498</v>
      </c>
      <c r="O23" s="25">
        <v>1141.6479999999999</v>
      </c>
      <c r="P23" s="28">
        <v>3676.0160000000001</v>
      </c>
    </row>
    <row r="24" spans="1:16" x14ac:dyDescent="0.25">
      <c r="A24" s="11" t="s">
        <v>229</v>
      </c>
      <c r="B24" s="11" t="s">
        <v>230</v>
      </c>
      <c r="C24" s="25">
        <v>24.702000000000002</v>
      </c>
      <c r="D24" s="25">
        <v>31.94</v>
      </c>
      <c r="E24" s="25">
        <v>7.8739999999999997</v>
      </c>
      <c r="F24" s="25">
        <v>49.362000000000002</v>
      </c>
      <c r="G24" s="25">
        <v>109.76</v>
      </c>
      <c r="H24" s="25">
        <v>193.09700000000001</v>
      </c>
      <c r="I24" s="25">
        <v>265.78199999999998</v>
      </c>
      <c r="J24" s="25">
        <v>143.666</v>
      </c>
      <c r="K24" s="25">
        <v>250.67099999999999</v>
      </c>
      <c r="L24" s="25">
        <v>143.048</v>
      </c>
      <c r="M24" s="25">
        <v>239.62899999999999</v>
      </c>
      <c r="N24" s="25">
        <v>451.41199999999998</v>
      </c>
      <c r="O24" s="25">
        <v>393.39699999999999</v>
      </c>
      <c r="P24" s="28">
        <v>393.39699999999999</v>
      </c>
    </row>
    <row r="25" spans="1:16" x14ac:dyDescent="0.25">
      <c r="A25" s="10" t="s">
        <v>231</v>
      </c>
      <c r="B25" s="10" t="s">
        <v>232</v>
      </c>
      <c r="C25" s="13">
        <v>33.652000000000001</v>
      </c>
      <c r="D25" s="13">
        <v>-422.85599999999999</v>
      </c>
      <c r="E25" s="13">
        <v>319.20699999999999</v>
      </c>
      <c r="F25" s="13">
        <v>1181.7460000000001</v>
      </c>
      <c r="G25" s="13">
        <v>794.12199999999996</v>
      </c>
      <c r="H25" s="13">
        <v>0</v>
      </c>
      <c r="I25" s="13">
        <v>0</v>
      </c>
      <c r="J25" s="13">
        <v>-58.997</v>
      </c>
      <c r="K25" s="13">
        <v>-234.44</v>
      </c>
      <c r="L25" s="13">
        <v>-86.885000000000005</v>
      </c>
      <c r="M25" s="13">
        <v>-818.077</v>
      </c>
      <c r="N25" s="13">
        <v>1596.9860000000001</v>
      </c>
      <c r="O25" s="13">
        <v>-839.35400000000004</v>
      </c>
      <c r="P25" s="16">
        <v>-732.4</v>
      </c>
    </row>
    <row r="26" spans="1:16" x14ac:dyDescent="0.25">
      <c r="A26" s="10" t="s">
        <v>233</v>
      </c>
      <c r="B26" s="10" t="s">
        <v>234</v>
      </c>
      <c r="C26" s="13">
        <v>-116.057</v>
      </c>
      <c r="D26" s="13">
        <v>0</v>
      </c>
      <c r="E26" s="13">
        <v>-3446.3119999999999</v>
      </c>
      <c r="F26" s="13">
        <v>0</v>
      </c>
      <c r="G26" s="13">
        <v>7.5220000000000002</v>
      </c>
      <c r="H26" s="13">
        <v>9.4450000000000003</v>
      </c>
      <c r="I26" s="13" t="s">
        <v>198</v>
      </c>
      <c r="J26" s="13" t="s">
        <v>198</v>
      </c>
      <c r="K26" s="13" t="s">
        <v>198</v>
      </c>
      <c r="L26" s="13">
        <v>39.020000000000003</v>
      </c>
      <c r="M26" s="13">
        <v>43.051000000000002</v>
      </c>
      <c r="N26" s="13">
        <v>41.988</v>
      </c>
      <c r="O26" s="13">
        <v>-2429.174</v>
      </c>
      <c r="P26" s="16">
        <v>-2429.174</v>
      </c>
    </row>
    <row r="27" spans="1:16" x14ac:dyDescent="0.25">
      <c r="A27" s="10" t="s">
        <v>235</v>
      </c>
      <c r="B27" s="10" t="s">
        <v>312</v>
      </c>
      <c r="C27" s="13">
        <v>0</v>
      </c>
      <c r="D27" s="13">
        <v>0</v>
      </c>
      <c r="E27" s="13">
        <v>0</v>
      </c>
      <c r="F27" s="13">
        <v>-590.87300000000005</v>
      </c>
      <c r="G27" s="13">
        <v>-397.06099999999998</v>
      </c>
      <c r="H27" s="13">
        <v>148.56100000000001</v>
      </c>
      <c r="I27" s="13">
        <v>0</v>
      </c>
      <c r="J27" s="13">
        <v>-303.73899999999998</v>
      </c>
      <c r="K27" s="13">
        <v>0</v>
      </c>
      <c r="L27" s="13">
        <v>0</v>
      </c>
      <c r="M27" s="13">
        <v>-31.292999999999999</v>
      </c>
      <c r="N27" s="13">
        <v>2.4289999999999998</v>
      </c>
      <c r="O27" s="13">
        <v>325.24299999999999</v>
      </c>
      <c r="P27" s="16">
        <v>-2316.0790000000002</v>
      </c>
    </row>
    <row r="28" spans="1:16" x14ac:dyDescent="0.25">
      <c r="A28" s="6" t="s">
        <v>313</v>
      </c>
      <c r="B28" s="6" t="s">
        <v>238</v>
      </c>
      <c r="C28" s="19">
        <v>2552.5129999999999</v>
      </c>
      <c r="D28" s="19">
        <v>3791.6849999999999</v>
      </c>
      <c r="E28" s="19">
        <v>7618.7219999999998</v>
      </c>
      <c r="F28" s="19">
        <v>4688.1949999999997</v>
      </c>
      <c r="G28" s="19">
        <v>5955.241</v>
      </c>
      <c r="H28" s="19">
        <v>5146.4740000000002</v>
      </c>
      <c r="I28" s="19">
        <v>5147.3710000000001</v>
      </c>
      <c r="J28" s="19">
        <v>6854.2060000000001</v>
      </c>
      <c r="K28" s="19">
        <v>6907.6059999999998</v>
      </c>
      <c r="L28" s="19">
        <v>8231.223</v>
      </c>
      <c r="M28" s="19">
        <v>6187.8710000000001</v>
      </c>
      <c r="N28" s="19">
        <v>5223.1819999999998</v>
      </c>
      <c r="O28" s="19">
        <v>11859.197</v>
      </c>
      <c r="P28" s="22">
        <v>11859.197</v>
      </c>
    </row>
    <row r="29" spans="1:16" x14ac:dyDescent="0.25">
      <c r="A29" s="10" t="s">
        <v>246</v>
      </c>
      <c r="B29" s="10" t="s">
        <v>247</v>
      </c>
      <c r="C29" s="13">
        <v>995.346</v>
      </c>
      <c r="D29" s="13">
        <v>1153.33</v>
      </c>
      <c r="E29" s="13">
        <v>2310.2689999999998</v>
      </c>
      <c r="F29" s="13">
        <v>1540.4469999999999</v>
      </c>
      <c r="G29" s="13">
        <v>757.75199999999995</v>
      </c>
      <c r="H29" s="13">
        <v>1113.4739999999999</v>
      </c>
      <c r="I29" s="13">
        <v>1429.518</v>
      </c>
      <c r="J29" s="13">
        <v>1702.162</v>
      </c>
      <c r="K29" s="13">
        <v>1873.7429999999999</v>
      </c>
      <c r="L29" s="13">
        <v>2350.261</v>
      </c>
      <c r="M29" s="13">
        <v>1454.15</v>
      </c>
      <c r="N29" s="13">
        <v>1260.769</v>
      </c>
      <c r="O29" s="13">
        <v>3205.241</v>
      </c>
      <c r="P29" s="16">
        <v>3205.241</v>
      </c>
    </row>
    <row r="30" spans="1:16" x14ac:dyDescent="0.25">
      <c r="A30" s="10" t="s">
        <v>248</v>
      </c>
      <c r="B30" s="10" t="s">
        <v>249</v>
      </c>
      <c r="C30" s="13">
        <v>748.97</v>
      </c>
      <c r="D30" s="13">
        <v>1033.566</v>
      </c>
      <c r="E30" s="13">
        <v>1936.0219999999999</v>
      </c>
      <c r="F30" s="13">
        <v>1284.9880000000001</v>
      </c>
      <c r="G30" s="13">
        <v>1669.6289999999999</v>
      </c>
      <c r="H30" s="13">
        <v>782.18</v>
      </c>
      <c r="I30" s="13">
        <v>796.39</v>
      </c>
      <c r="J30" s="13">
        <v>1152.06</v>
      </c>
      <c r="K30" s="13">
        <v>3531.5079999999998</v>
      </c>
      <c r="L30" s="13">
        <v>2425.6930000000002</v>
      </c>
      <c r="M30" s="13">
        <v>2353.8420000000001</v>
      </c>
      <c r="N30" s="13">
        <v>1719.4580000000001</v>
      </c>
      <c r="O30" s="13">
        <v>2466.634</v>
      </c>
      <c r="P30" s="16">
        <v>2466.634</v>
      </c>
    </row>
    <row r="31" spans="1:16" x14ac:dyDescent="0.25">
      <c r="A31" s="10" t="s">
        <v>250</v>
      </c>
      <c r="B31" s="10" t="s">
        <v>251</v>
      </c>
      <c r="C31" s="13">
        <v>246.376</v>
      </c>
      <c r="D31" s="13">
        <v>119.764</v>
      </c>
      <c r="E31" s="13">
        <v>374.24700000000001</v>
      </c>
      <c r="F31" s="13">
        <v>255.459</v>
      </c>
      <c r="G31" s="13">
        <v>-911.87699999999995</v>
      </c>
      <c r="H31" s="13">
        <v>331.29399999999998</v>
      </c>
      <c r="I31" s="13">
        <v>633.12800000000004</v>
      </c>
      <c r="J31" s="13">
        <v>550.10199999999998</v>
      </c>
      <c r="K31" s="13">
        <v>-1657.7650000000001</v>
      </c>
      <c r="L31" s="13">
        <v>-75.432000000000002</v>
      </c>
      <c r="M31" s="13">
        <v>-899.69200000000001</v>
      </c>
      <c r="N31" s="13">
        <v>-458.68900000000002</v>
      </c>
      <c r="O31" s="13">
        <v>738.60699999999997</v>
      </c>
      <c r="P31" s="16">
        <v>738.60699999999997</v>
      </c>
    </row>
    <row r="32" spans="1:16" x14ac:dyDescent="0.25">
      <c r="A32" s="6" t="s">
        <v>252</v>
      </c>
      <c r="B32" s="6" t="s">
        <v>253</v>
      </c>
      <c r="C32" s="19">
        <v>1557.1669999999999</v>
      </c>
      <c r="D32" s="19">
        <v>2638.355</v>
      </c>
      <c r="E32" s="19">
        <v>5308.4530000000004</v>
      </c>
      <c r="F32" s="19">
        <v>3147.748</v>
      </c>
      <c r="G32" s="19">
        <v>5197.4889999999996</v>
      </c>
      <c r="H32" s="19">
        <v>4033</v>
      </c>
      <c r="I32" s="19">
        <v>3717.8530000000001</v>
      </c>
      <c r="J32" s="19">
        <v>5152.0439999999999</v>
      </c>
      <c r="K32" s="19">
        <v>5033.8630000000003</v>
      </c>
      <c r="L32" s="19">
        <v>5880.9620000000004</v>
      </c>
      <c r="M32" s="19">
        <v>4733.7209999999995</v>
      </c>
      <c r="N32" s="19">
        <v>3962.413</v>
      </c>
      <c r="O32" s="19">
        <v>8653.9560000000001</v>
      </c>
      <c r="P32" s="22">
        <v>8653.9560000000001</v>
      </c>
    </row>
    <row r="33" spans="1:16" x14ac:dyDescent="0.25">
      <c r="A33" s="10" t="s">
        <v>254</v>
      </c>
      <c r="B33" s="10" t="s">
        <v>255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6">
        <v>0</v>
      </c>
    </row>
    <row r="34" spans="1:16" x14ac:dyDescent="0.25">
      <c r="A34" s="10" t="s">
        <v>256</v>
      </c>
      <c r="B34" s="10" t="s">
        <v>257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6">
        <v>0</v>
      </c>
    </row>
    <row r="35" spans="1:16" x14ac:dyDescent="0.25">
      <c r="A35" s="10" t="s">
        <v>258</v>
      </c>
      <c r="B35" s="10" t="s">
        <v>259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6">
        <v>0</v>
      </c>
    </row>
    <row r="36" spans="1:16" x14ac:dyDescent="0.25">
      <c r="A36" s="6" t="s">
        <v>260</v>
      </c>
      <c r="B36" s="6" t="s">
        <v>261</v>
      </c>
      <c r="C36" s="19">
        <v>1557.1669999999999</v>
      </c>
      <c r="D36" s="19">
        <v>2638.355</v>
      </c>
      <c r="E36" s="19">
        <v>5308.4530000000004</v>
      </c>
      <c r="F36" s="19">
        <v>3147.748</v>
      </c>
      <c r="G36" s="19">
        <v>5197.4889999999996</v>
      </c>
      <c r="H36" s="19">
        <v>4033</v>
      </c>
      <c r="I36" s="19">
        <v>3717.8530000000001</v>
      </c>
      <c r="J36" s="19">
        <v>5152.0439999999999</v>
      </c>
      <c r="K36" s="19">
        <v>5033.8630000000003</v>
      </c>
      <c r="L36" s="19">
        <v>5880.9620000000004</v>
      </c>
      <c r="M36" s="19">
        <v>4733.7209999999995</v>
      </c>
      <c r="N36" s="19">
        <v>3962.413</v>
      </c>
      <c r="O36" s="19">
        <v>8653.9560000000001</v>
      </c>
      <c r="P36" s="22">
        <v>8653.9560000000001</v>
      </c>
    </row>
    <row r="37" spans="1:16" x14ac:dyDescent="0.25">
      <c r="A37" s="10" t="s">
        <v>262</v>
      </c>
      <c r="B37" s="10" t="s">
        <v>263</v>
      </c>
      <c r="C37" s="13">
        <v>5.4039999999999999</v>
      </c>
      <c r="D37" s="13">
        <v>2.5870000000000002</v>
      </c>
      <c r="E37" s="13">
        <v>0</v>
      </c>
      <c r="F37" s="13">
        <v>0</v>
      </c>
      <c r="G37" s="13">
        <v>4.3040000000000003</v>
      </c>
      <c r="H37" s="13">
        <v>8.1210000000000004</v>
      </c>
      <c r="I37" s="13">
        <v>5.8310000000000004</v>
      </c>
      <c r="J37" s="13">
        <v>6.024</v>
      </c>
      <c r="K37" s="13">
        <v>14.131</v>
      </c>
      <c r="L37" s="13">
        <v>24.667000000000002</v>
      </c>
      <c r="M37" s="13">
        <v>17.984000000000002</v>
      </c>
      <c r="N37" s="13">
        <v>12.69</v>
      </c>
      <c r="O37" s="13">
        <v>7.5590000000000002</v>
      </c>
      <c r="P37" s="16">
        <v>7.5590000000000002</v>
      </c>
    </row>
    <row r="38" spans="1:16" x14ac:dyDescent="0.25">
      <c r="A38" s="6" t="s">
        <v>264</v>
      </c>
      <c r="B38" s="6" t="s">
        <v>265</v>
      </c>
      <c r="C38" s="19">
        <v>1551.7629999999999</v>
      </c>
      <c r="D38" s="19">
        <v>2635.768</v>
      </c>
      <c r="E38" s="19">
        <v>5308.4530000000004</v>
      </c>
      <c r="F38" s="19">
        <v>3147.748</v>
      </c>
      <c r="G38" s="19">
        <v>5193.1850000000004</v>
      </c>
      <c r="H38" s="19">
        <v>4024.8789999999999</v>
      </c>
      <c r="I38" s="19">
        <v>3712.0219999999999</v>
      </c>
      <c r="J38" s="19">
        <v>5146.0200000000004</v>
      </c>
      <c r="K38" s="19">
        <v>5019.732</v>
      </c>
      <c r="L38" s="19">
        <v>5856.2950000000001</v>
      </c>
      <c r="M38" s="19">
        <v>4715.7370000000001</v>
      </c>
      <c r="N38" s="19">
        <v>3949.723</v>
      </c>
      <c r="O38" s="19">
        <v>8646.3970000000008</v>
      </c>
      <c r="P38" s="22">
        <v>8646.3970000000008</v>
      </c>
    </row>
    <row r="39" spans="1:16" x14ac:dyDescent="0.25">
      <c r="A39" s="10" t="s">
        <v>266</v>
      </c>
      <c r="B39" s="10" t="s">
        <v>267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6">
        <v>0</v>
      </c>
    </row>
    <row r="40" spans="1:16" x14ac:dyDescent="0.25">
      <c r="A40" s="10" t="s">
        <v>268</v>
      </c>
      <c r="B40" s="10" t="s">
        <v>269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6">
        <v>0</v>
      </c>
    </row>
    <row r="41" spans="1:16" x14ac:dyDescent="0.25">
      <c r="A41" s="6" t="s">
        <v>270</v>
      </c>
      <c r="B41" s="6" t="s">
        <v>55</v>
      </c>
      <c r="C41" s="19">
        <v>1551.7629999999999</v>
      </c>
      <c r="D41" s="19">
        <v>2635.768</v>
      </c>
      <c r="E41" s="19">
        <v>5308.4530000000004</v>
      </c>
      <c r="F41" s="19">
        <v>3147.748</v>
      </c>
      <c r="G41" s="19">
        <v>5193.1850000000004</v>
      </c>
      <c r="H41" s="19">
        <v>4024.8789999999999</v>
      </c>
      <c r="I41" s="19">
        <v>3712.0219999999999</v>
      </c>
      <c r="J41" s="19">
        <v>5146.0200000000004</v>
      </c>
      <c r="K41" s="19">
        <v>5019.732</v>
      </c>
      <c r="L41" s="19">
        <v>5856.2950000000001</v>
      </c>
      <c r="M41" s="19">
        <v>4715.7370000000001</v>
      </c>
      <c r="N41" s="19">
        <v>3949.723</v>
      </c>
      <c r="O41" s="19">
        <v>8646.3970000000008</v>
      </c>
      <c r="P41" s="22">
        <v>8646.3970000000008</v>
      </c>
    </row>
    <row r="42" spans="1:16" x14ac:dyDescent="0.25">
      <c r="A42" s="6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21"/>
    </row>
    <row r="43" spans="1:16" x14ac:dyDescent="0.25">
      <c r="A43" s="6" t="s">
        <v>271</v>
      </c>
      <c r="B43" s="6" t="s">
        <v>55</v>
      </c>
      <c r="C43" s="19">
        <v>1549.3809000000001</v>
      </c>
      <c r="D43" s="19">
        <v>2626.5545999999999</v>
      </c>
      <c r="E43" s="19">
        <v>5315.8477999999996</v>
      </c>
      <c r="F43" s="19">
        <v>3159.732</v>
      </c>
      <c r="G43" s="19">
        <v>5201.4526999999998</v>
      </c>
      <c r="H43" s="19">
        <v>4064.6019000000001</v>
      </c>
      <c r="I43" s="19">
        <v>3778.2595000000001</v>
      </c>
      <c r="J43" s="19">
        <v>4971.8530000000001</v>
      </c>
      <c r="K43" s="19">
        <v>5025.0870000000004</v>
      </c>
      <c r="L43" s="19">
        <v>5904.2338</v>
      </c>
      <c r="M43" s="19">
        <v>4715.7370000000001</v>
      </c>
      <c r="N43" s="19">
        <v>4078.5664000000002</v>
      </c>
      <c r="O43" s="19">
        <v>8694.3035999999993</v>
      </c>
      <c r="P43" s="22">
        <v>8694.3035999999993</v>
      </c>
    </row>
    <row r="44" spans="1:16" x14ac:dyDescent="0.25">
      <c r="A44" s="10" t="s">
        <v>272</v>
      </c>
      <c r="B44" s="10" t="s">
        <v>273</v>
      </c>
      <c r="C44" s="13">
        <v>-2.3820999999999999</v>
      </c>
      <c r="D44" s="13">
        <v>-9.2134</v>
      </c>
      <c r="E44" s="13">
        <v>7.3948</v>
      </c>
      <c r="F44" s="13">
        <v>11.984</v>
      </c>
      <c r="G44" s="13">
        <v>8.2676999999999996</v>
      </c>
      <c r="H44" s="13">
        <v>39.722900000000003</v>
      </c>
      <c r="I44" s="13">
        <v>66.237499999999997</v>
      </c>
      <c r="J44" s="13">
        <v>-174.167</v>
      </c>
      <c r="K44" s="13">
        <v>5.3550000000000004</v>
      </c>
      <c r="L44" s="13">
        <v>47.938800000000001</v>
      </c>
      <c r="M44" s="13">
        <v>0</v>
      </c>
      <c r="N44" s="13">
        <v>128.8434</v>
      </c>
      <c r="O44" s="13">
        <v>47.906599999999997</v>
      </c>
      <c r="P44" s="16">
        <v>47.906599999999997</v>
      </c>
    </row>
    <row r="45" spans="1:16" x14ac:dyDescent="0.25">
      <c r="A45" s="10" t="s">
        <v>274</v>
      </c>
      <c r="B45" s="10" t="s">
        <v>255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6">
        <v>0</v>
      </c>
    </row>
    <row r="46" spans="1:16" x14ac:dyDescent="0.25">
      <c r="A46" s="6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21"/>
    </row>
    <row r="47" spans="1:16" x14ac:dyDescent="0.25">
      <c r="A47" s="10" t="s">
        <v>275</v>
      </c>
      <c r="B47" s="10" t="s">
        <v>77</v>
      </c>
      <c r="C47" s="13" t="s">
        <v>198</v>
      </c>
      <c r="D47" s="13">
        <v>3654.0396999999998</v>
      </c>
      <c r="E47" s="13">
        <v>3582.5475999999999</v>
      </c>
      <c r="F47" s="13">
        <v>9390.3670000000002</v>
      </c>
      <c r="G47" s="13">
        <v>3515.1089999999999</v>
      </c>
      <c r="H47" s="13">
        <v>3582.9106999999999</v>
      </c>
      <c r="I47" s="13">
        <v>3588.1264000000001</v>
      </c>
      <c r="J47" s="13">
        <v>3591.1763000000001</v>
      </c>
      <c r="K47" s="13">
        <v>3591.1763000000001</v>
      </c>
      <c r="L47" s="13">
        <v>3591.1763000000001</v>
      </c>
      <c r="M47" s="13">
        <v>3591.1763000000001</v>
      </c>
      <c r="N47" s="13">
        <v>3591.1763000000001</v>
      </c>
      <c r="O47" s="13">
        <v>3591.1763000000001</v>
      </c>
      <c r="P47" s="16">
        <v>3591.176301</v>
      </c>
    </row>
    <row r="48" spans="1:16" x14ac:dyDescent="0.25">
      <c r="A48" s="6" t="s">
        <v>72</v>
      </c>
      <c r="B48" s="6" t="s">
        <v>73</v>
      </c>
      <c r="C48" s="20">
        <v>0.43</v>
      </c>
      <c r="D48" s="20">
        <v>0.74</v>
      </c>
      <c r="E48" s="20">
        <v>1.4818</v>
      </c>
      <c r="F48" s="20">
        <v>0.34</v>
      </c>
      <c r="G48" s="20">
        <v>1.48</v>
      </c>
      <c r="H48" s="20">
        <v>1.1200000000000001</v>
      </c>
      <c r="I48" s="20">
        <v>1.0345</v>
      </c>
      <c r="J48" s="20">
        <v>1.43</v>
      </c>
      <c r="K48" s="20">
        <v>1.3977999999999999</v>
      </c>
      <c r="L48" s="20">
        <v>1.64</v>
      </c>
      <c r="M48" s="20">
        <v>1.31</v>
      </c>
      <c r="N48" s="20">
        <v>1.1000000000000001</v>
      </c>
      <c r="O48" s="20">
        <v>2.41</v>
      </c>
      <c r="P48" s="23">
        <v>2.41</v>
      </c>
    </row>
    <row r="49" spans="1:16" x14ac:dyDescent="0.25">
      <c r="A49" s="6" t="s">
        <v>276</v>
      </c>
      <c r="B49" s="6" t="s">
        <v>277</v>
      </c>
      <c r="C49" s="20">
        <v>0.43</v>
      </c>
      <c r="D49" s="20">
        <v>0.74</v>
      </c>
      <c r="E49" s="20">
        <v>1.4818</v>
      </c>
      <c r="F49" s="20">
        <v>0.34</v>
      </c>
      <c r="G49" s="20">
        <v>1.48</v>
      </c>
      <c r="H49" s="20">
        <v>1.1200000000000001</v>
      </c>
      <c r="I49" s="20">
        <v>1.0345</v>
      </c>
      <c r="J49" s="20">
        <v>1.43</v>
      </c>
      <c r="K49" s="20">
        <v>1.3977999999999999</v>
      </c>
      <c r="L49" s="20">
        <v>1.64</v>
      </c>
      <c r="M49" s="20">
        <v>1.31</v>
      </c>
      <c r="N49" s="20">
        <v>1.1000000000000001</v>
      </c>
      <c r="O49" s="20">
        <v>2.41</v>
      </c>
      <c r="P49" s="23">
        <v>2.41</v>
      </c>
    </row>
    <row r="50" spans="1:16" x14ac:dyDescent="0.25">
      <c r="A50" s="6" t="s">
        <v>278</v>
      </c>
      <c r="B50" s="6" t="s">
        <v>279</v>
      </c>
      <c r="C50" s="20" t="s">
        <v>198</v>
      </c>
      <c r="D50" s="20">
        <v>0.71879999999999999</v>
      </c>
      <c r="E50" s="20">
        <v>1.4838</v>
      </c>
      <c r="F50" s="20">
        <v>0.33650000000000002</v>
      </c>
      <c r="G50" s="20">
        <v>1.4797</v>
      </c>
      <c r="H50" s="20">
        <v>1.1344000000000001</v>
      </c>
      <c r="I50" s="20">
        <v>1.0529999999999999</v>
      </c>
      <c r="J50" s="20">
        <v>1.3845000000000001</v>
      </c>
      <c r="K50" s="20">
        <v>1.3993</v>
      </c>
      <c r="L50" s="20">
        <v>1.6440999999999999</v>
      </c>
      <c r="M50" s="20">
        <v>1.31</v>
      </c>
      <c r="N50" s="20">
        <v>1.1356999999999999</v>
      </c>
      <c r="O50" s="20">
        <v>2.4209999999999998</v>
      </c>
      <c r="P50" s="23">
        <v>2.4210180000000001</v>
      </c>
    </row>
    <row r="51" spans="1:16" x14ac:dyDescent="0.25">
      <c r="A51" s="6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21"/>
    </row>
    <row r="52" spans="1:16" x14ac:dyDescent="0.25">
      <c r="A52" s="10" t="s">
        <v>280</v>
      </c>
      <c r="B52" s="10" t="s">
        <v>79</v>
      </c>
      <c r="C52" s="13" t="s">
        <v>198</v>
      </c>
      <c r="D52" s="13">
        <v>3654.0396999999998</v>
      </c>
      <c r="E52" s="13">
        <v>3582.5475999999999</v>
      </c>
      <c r="F52" s="13">
        <v>9390.3670000000002</v>
      </c>
      <c r="G52" s="13">
        <v>3515.1089999999999</v>
      </c>
      <c r="H52" s="13">
        <v>3582.9106999999999</v>
      </c>
      <c r="I52" s="13">
        <v>3588.1264000000001</v>
      </c>
      <c r="J52" s="13">
        <v>3591.1763000000001</v>
      </c>
      <c r="K52" s="13">
        <v>3591.1763000000001</v>
      </c>
      <c r="L52" s="13">
        <v>3591.1763000000001</v>
      </c>
      <c r="M52" s="13">
        <v>3591.1763000000001</v>
      </c>
      <c r="N52" s="13">
        <v>3591.1763000000001</v>
      </c>
      <c r="O52" s="13">
        <v>3591.1763000000001</v>
      </c>
      <c r="P52" s="16">
        <v>3591.176301</v>
      </c>
    </row>
    <row r="53" spans="1:16" x14ac:dyDescent="0.25">
      <c r="A53" s="6" t="s">
        <v>74</v>
      </c>
      <c r="B53" s="6" t="s">
        <v>75</v>
      </c>
      <c r="C53" s="20">
        <v>0.43</v>
      </c>
      <c r="D53" s="20">
        <v>0.74</v>
      </c>
      <c r="E53" s="20">
        <v>1.4818</v>
      </c>
      <c r="F53" s="20">
        <v>0.34</v>
      </c>
      <c r="G53" s="20">
        <v>1.48</v>
      </c>
      <c r="H53" s="20">
        <v>1.1200000000000001</v>
      </c>
      <c r="I53" s="20">
        <v>1.0345</v>
      </c>
      <c r="J53" s="20">
        <v>1.43</v>
      </c>
      <c r="K53" s="20">
        <v>1.3977999999999999</v>
      </c>
      <c r="L53" s="20">
        <v>1.64</v>
      </c>
      <c r="M53" s="20">
        <v>1.31</v>
      </c>
      <c r="N53" s="20">
        <v>1.1000000000000001</v>
      </c>
      <c r="O53" s="20">
        <v>2.41</v>
      </c>
      <c r="P53" s="23">
        <v>2.41</v>
      </c>
    </row>
    <row r="54" spans="1:16" x14ac:dyDescent="0.25">
      <c r="A54" s="6" t="s">
        <v>281</v>
      </c>
      <c r="B54" s="6" t="s">
        <v>282</v>
      </c>
      <c r="C54" s="20">
        <v>0.43</v>
      </c>
      <c r="D54" s="20">
        <v>0.74</v>
      </c>
      <c r="E54" s="20">
        <v>1.4818</v>
      </c>
      <c r="F54" s="20">
        <v>0.34</v>
      </c>
      <c r="G54" s="20">
        <v>1.48</v>
      </c>
      <c r="H54" s="20">
        <v>1.1200000000000001</v>
      </c>
      <c r="I54" s="20">
        <v>1.0345</v>
      </c>
      <c r="J54" s="20">
        <v>1.43</v>
      </c>
      <c r="K54" s="20">
        <v>1.3977999999999999</v>
      </c>
      <c r="L54" s="20">
        <v>1.64</v>
      </c>
      <c r="M54" s="20">
        <v>1.31</v>
      </c>
      <c r="N54" s="20">
        <v>1.1000000000000001</v>
      </c>
      <c r="O54" s="20">
        <v>2.41</v>
      </c>
      <c r="P54" s="23">
        <v>2.41</v>
      </c>
    </row>
    <row r="55" spans="1:16" x14ac:dyDescent="0.25">
      <c r="A55" s="6" t="s">
        <v>283</v>
      </c>
      <c r="B55" s="6" t="s">
        <v>57</v>
      </c>
      <c r="C55" s="20" t="s">
        <v>198</v>
      </c>
      <c r="D55" s="20">
        <v>0.71879999999999999</v>
      </c>
      <c r="E55" s="20">
        <v>1.4838</v>
      </c>
      <c r="F55" s="20">
        <v>0.33650000000000002</v>
      </c>
      <c r="G55" s="20">
        <v>1.4797</v>
      </c>
      <c r="H55" s="20">
        <v>1.1344000000000001</v>
      </c>
      <c r="I55" s="20">
        <v>1.0529999999999999</v>
      </c>
      <c r="J55" s="20">
        <v>1.3845000000000001</v>
      </c>
      <c r="K55" s="20">
        <v>1.3993</v>
      </c>
      <c r="L55" s="20">
        <v>1.6440999999999999</v>
      </c>
      <c r="M55" s="20">
        <v>1.31</v>
      </c>
      <c r="N55" s="20">
        <v>1.1356999999999999</v>
      </c>
      <c r="O55" s="20">
        <v>2.4209999999999998</v>
      </c>
      <c r="P55" s="23">
        <v>2.4210180000000001</v>
      </c>
    </row>
    <row r="56" spans="1:16" x14ac:dyDescent="0.25">
      <c r="A56" s="6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21"/>
    </row>
    <row r="57" spans="1:16" x14ac:dyDescent="0.25">
      <c r="A57" s="6" t="s">
        <v>3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21"/>
    </row>
    <row r="58" spans="1:16" x14ac:dyDescent="0.25">
      <c r="A58" s="10" t="s">
        <v>284</v>
      </c>
      <c r="B58" s="10" t="s">
        <v>285</v>
      </c>
      <c r="C58" s="12" t="s">
        <v>286</v>
      </c>
      <c r="D58" s="12" t="s">
        <v>286</v>
      </c>
      <c r="E58" s="12" t="s">
        <v>286</v>
      </c>
      <c r="F58" s="12" t="s">
        <v>286</v>
      </c>
      <c r="G58" s="12" t="s">
        <v>286</v>
      </c>
      <c r="H58" s="12" t="s">
        <v>286</v>
      </c>
      <c r="I58" s="12" t="s">
        <v>286</v>
      </c>
      <c r="J58" s="12" t="s">
        <v>286</v>
      </c>
      <c r="K58" s="12" t="s">
        <v>286</v>
      </c>
      <c r="L58" s="12" t="s">
        <v>286</v>
      </c>
      <c r="M58" s="12" t="s">
        <v>286</v>
      </c>
      <c r="N58" s="12" t="s">
        <v>286</v>
      </c>
      <c r="O58" s="12" t="s">
        <v>286</v>
      </c>
      <c r="P58" s="15"/>
    </row>
    <row r="59" spans="1:16" x14ac:dyDescent="0.25">
      <c r="A59" s="10" t="s">
        <v>53</v>
      </c>
      <c r="B59" s="10" t="s">
        <v>53</v>
      </c>
      <c r="C59" s="13">
        <v>2678.9110000000001</v>
      </c>
      <c r="D59" s="13">
        <v>3659.4549999999999</v>
      </c>
      <c r="E59" s="13">
        <v>4869.4960000000001</v>
      </c>
      <c r="F59" s="13">
        <v>6075.3770000000004</v>
      </c>
      <c r="G59" s="13">
        <v>7170.5709999999999</v>
      </c>
      <c r="H59" s="13">
        <v>6073.6289999999999</v>
      </c>
      <c r="I59" s="13">
        <v>6095.5649999999996</v>
      </c>
      <c r="J59" s="13">
        <v>7607.0720000000001</v>
      </c>
      <c r="K59" s="13">
        <v>7938.1710000000003</v>
      </c>
      <c r="L59" s="13">
        <v>9843.2289999999994</v>
      </c>
      <c r="M59" s="13">
        <v>7312.1180000000004</v>
      </c>
      <c r="N59" s="13">
        <v>8901.7819999999992</v>
      </c>
      <c r="O59" s="13">
        <v>11013.638999999999</v>
      </c>
      <c r="P59" s="16">
        <v>11013.638999999999</v>
      </c>
    </row>
    <row r="60" spans="1:16" x14ac:dyDescent="0.25">
      <c r="A60" s="10" t="s">
        <v>287</v>
      </c>
      <c r="B60" s="10" t="s">
        <v>288</v>
      </c>
      <c r="C60" s="14">
        <v>21.770900000000001</v>
      </c>
      <c r="D60" s="14">
        <v>23.8965</v>
      </c>
      <c r="E60" s="14">
        <v>26.357399999999998</v>
      </c>
      <c r="F60" s="14">
        <v>24.902999999999999</v>
      </c>
      <c r="G60" s="14">
        <v>27.623799999999999</v>
      </c>
      <c r="H60" s="14">
        <v>21.569700000000001</v>
      </c>
      <c r="I60" s="14">
        <v>20.520499999999998</v>
      </c>
      <c r="J60" s="14">
        <v>21.7121</v>
      </c>
      <c r="K60" s="14">
        <v>20.137699999999999</v>
      </c>
      <c r="L60" s="14">
        <v>21.524899999999999</v>
      </c>
      <c r="M60" s="14">
        <v>16.485600000000002</v>
      </c>
      <c r="N60" s="14">
        <v>20.248999999999999</v>
      </c>
      <c r="O60" s="14">
        <v>25.561199999999999</v>
      </c>
      <c r="P60" s="17">
        <v>25.561177801318099</v>
      </c>
    </row>
    <row r="61" spans="1:16" x14ac:dyDescent="0.25">
      <c r="A61" s="10" t="s">
        <v>289</v>
      </c>
      <c r="B61" s="10" t="s">
        <v>289</v>
      </c>
      <c r="C61" s="13" t="s">
        <v>198</v>
      </c>
      <c r="D61" s="13" t="s">
        <v>198</v>
      </c>
      <c r="E61" s="13" t="s">
        <v>198</v>
      </c>
      <c r="F61" s="13">
        <v>5659.1940000000004</v>
      </c>
      <c r="G61" s="13">
        <v>6754.3879999999999</v>
      </c>
      <c r="H61" s="13">
        <v>5607.89</v>
      </c>
      <c r="I61" s="13">
        <v>5466.9120000000003</v>
      </c>
      <c r="J61" s="13">
        <v>6941.7920000000004</v>
      </c>
      <c r="K61" s="13">
        <v>7383.8069999999998</v>
      </c>
      <c r="L61" s="13">
        <v>9121.0810000000001</v>
      </c>
      <c r="M61" s="13">
        <v>6549.5919999999996</v>
      </c>
      <c r="N61" s="13">
        <v>7864.9340000000002</v>
      </c>
      <c r="O61" s="13" t="s">
        <v>198</v>
      </c>
      <c r="P61" s="16"/>
    </row>
    <row r="62" spans="1:16" x14ac:dyDescent="0.25">
      <c r="A62" s="10" t="s">
        <v>139</v>
      </c>
      <c r="B62" s="10" t="s">
        <v>139</v>
      </c>
      <c r="C62" s="13">
        <v>2492.0520000000001</v>
      </c>
      <c r="D62" s="13">
        <v>3375.5430000000001</v>
      </c>
      <c r="E62" s="13">
        <v>4620.2079999999996</v>
      </c>
      <c r="F62" s="13">
        <v>5623.9070000000002</v>
      </c>
      <c r="G62" s="13">
        <v>6735.5559999999996</v>
      </c>
      <c r="H62" s="13">
        <v>5542.9409999999998</v>
      </c>
      <c r="I62" s="13">
        <v>5410.14</v>
      </c>
      <c r="J62" s="13">
        <v>6892.6130000000003</v>
      </c>
      <c r="K62" s="13">
        <v>7121.2020000000002</v>
      </c>
      <c r="L62" s="13">
        <v>8889.8359999999993</v>
      </c>
      <c r="M62" s="13">
        <v>6238.3249999999998</v>
      </c>
      <c r="N62" s="13">
        <v>7764.6710000000003</v>
      </c>
      <c r="O62" s="13">
        <v>9664.1630000000005</v>
      </c>
      <c r="P62" s="16">
        <v>9664.1630000000005</v>
      </c>
    </row>
    <row r="63" spans="1:16" x14ac:dyDescent="0.25">
      <c r="A63" s="10" t="s">
        <v>290</v>
      </c>
      <c r="B63" s="10" t="s">
        <v>291</v>
      </c>
      <c r="C63" s="14">
        <v>56.890900000000002</v>
      </c>
      <c r="D63" s="14">
        <v>59.272300000000001</v>
      </c>
      <c r="E63" s="14">
        <v>60.896799999999999</v>
      </c>
      <c r="F63" s="14">
        <v>59.273200000000003</v>
      </c>
      <c r="G63" s="14">
        <v>62.1053</v>
      </c>
      <c r="H63" s="14">
        <v>57.472799999999999</v>
      </c>
      <c r="I63" s="14">
        <v>52.7378</v>
      </c>
      <c r="J63" s="14">
        <v>52.0777</v>
      </c>
      <c r="K63" s="14">
        <v>53.968800000000002</v>
      </c>
      <c r="L63" s="14">
        <v>54.86</v>
      </c>
      <c r="M63" s="14">
        <v>50.682699999999997</v>
      </c>
      <c r="N63" s="14">
        <v>53.481999999999999</v>
      </c>
      <c r="O63" s="14">
        <v>55.963200000000001</v>
      </c>
      <c r="P63" s="17">
        <v>55.963242963384502</v>
      </c>
    </row>
    <row r="64" spans="1:16" x14ac:dyDescent="0.25">
      <c r="A64" s="10" t="s">
        <v>292</v>
      </c>
      <c r="B64" s="10" t="s">
        <v>293</v>
      </c>
      <c r="C64" s="14">
        <v>20.252400000000002</v>
      </c>
      <c r="D64" s="14">
        <v>22.0425</v>
      </c>
      <c r="E64" s="14">
        <v>25.008099999999999</v>
      </c>
      <c r="F64" s="14">
        <v>23.052399999999999</v>
      </c>
      <c r="G64" s="14">
        <v>25.948</v>
      </c>
      <c r="H64" s="14">
        <v>19.684999999999999</v>
      </c>
      <c r="I64" s="14">
        <v>18.213000000000001</v>
      </c>
      <c r="J64" s="14">
        <v>19.672899999999998</v>
      </c>
      <c r="K64" s="14">
        <v>18.065200000000001</v>
      </c>
      <c r="L64" s="14">
        <v>19.440000000000001</v>
      </c>
      <c r="M64" s="14">
        <v>14.0647</v>
      </c>
      <c r="N64" s="14">
        <v>17.662400000000002</v>
      </c>
      <c r="O64" s="14">
        <v>22.429200000000002</v>
      </c>
      <c r="P64" s="17">
        <v>22.429225140202899</v>
      </c>
    </row>
    <row r="65" spans="1:16" x14ac:dyDescent="0.25">
      <c r="A65" s="10" t="s">
        <v>294</v>
      </c>
      <c r="B65" s="10" t="s">
        <v>295</v>
      </c>
      <c r="C65" s="14">
        <v>12.610799999999999</v>
      </c>
      <c r="D65" s="14">
        <v>17.2117</v>
      </c>
      <c r="E65" s="14">
        <v>28.7334</v>
      </c>
      <c r="F65" s="14">
        <v>12.9026</v>
      </c>
      <c r="G65" s="14">
        <v>20.0062</v>
      </c>
      <c r="H65" s="14">
        <v>14.293799999999999</v>
      </c>
      <c r="I65" s="14">
        <v>12.4964</v>
      </c>
      <c r="J65" s="14">
        <v>14.6877</v>
      </c>
      <c r="K65" s="14">
        <v>12.7342</v>
      </c>
      <c r="L65" s="14">
        <v>12.8064</v>
      </c>
      <c r="M65" s="14">
        <v>10.6319</v>
      </c>
      <c r="N65" s="14">
        <v>8.9845000000000006</v>
      </c>
      <c r="O65" s="14">
        <v>20.0671</v>
      </c>
      <c r="P65" s="17">
        <v>20.067126864952002</v>
      </c>
    </row>
    <row r="66" spans="1:16" x14ac:dyDescent="0.25">
      <c r="A66" s="10" t="s">
        <v>296</v>
      </c>
      <c r="B66" s="10" t="s">
        <v>297</v>
      </c>
      <c r="C66" s="14" t="s">
        <v>198</v>
      </c>
      <c r="D66" s="14" t="s">
        <v>198</v>
      </c>
      <c r="E66" s="14">
        <v>3379338.0282000001</v>
      </c>
      <c r="F66" s="14">
        <v>4462449.6067000004</v>
      </c>
      <c r="G66" s="14">
        <v>4393693.6357000005</v>
      </c>
      <c r="H66" s="14">
        <v>4850682.1705</v>
      </c>
      <c r="I66" s="14">
        <v>4345345.3773999996</v>
      </c>
      <c r="J66" s="14">
        <v>4336155.8168000001</v>
      </c>
      <c r="K66" s="14">
        <v>4680527.1907000002</v>
      </c>
      <c r="L66" s="14">
        <v>4685878.8810000001</v>
      </c>
      <c r="M66" s="14">
        <v>4314229.5497000003</v>
      </c>
      <c r="N66" s="14">
        <v>4943383.3351999996</v>
      </c>
      <c r="O66" s="14" t="s">
        <v>198</v>
      </c>
      <c r="P66" s="17"/>
    </row>
    <row r="67" spans="1:16" x14ac:dyDescent="0.25">
      <c r="A67" s="10" t="s">
        <v>298</v>
      </c>
      <c r="B67" s="10" t="s">
        <v>299</v>
      </c>
      <c r="C67" s="14">
        <v>0</v>
      </c>
      <c r="D67" s="14">
        <v>0</v>
      </c>
      <c r="E67" s="14">
        <v>0</v>
      </c>
      <c r="F67" s="14">
        <v>0</v>
      </c>
      <c r="G67" s="14">
        <v>0.41849999999999998</v>
      </c>
      <c r="H67" s="14">
        <v>0.50800000000000001</v>
      </c>
      <c r="I67" s="14">
        <v>0.30809999999999998</v>
      </c>
      <c r="J67" s="14">
        <v>0.4304</v>
      </c>
      <c r="K67" s="14">
        <v>0.42049999999999998</v>
      </c>
      <c r="L67" s="14">
        <v>0.49130000000000001</v>
      </c>
      <c r="M67" s="14">
        <v>0.39539999999999997</v>
      </c>
      <c r="N67" s="14">
        <v>0.3972</v>
      </c>
      <c r="O67" s="14" t="s">
        <v>198</v>
      </c>
      <c r="P67" s="17"/>
    </row>
    <row r="68" spans="1:16" x14ac:dyDescent="0.25">
      <c r="A68" s="10" t="s">
        <v>300</v>
      </c>
      <c r="B68" s="10" t="s">
        <v>301</v>
      </c>
      <c r="C68" s="13">
        <v>0</v>
      </c>
      <c r="D68" s="13">
        <v>0</v>
      </c>
      <c r="E68" s="13">
        <v>0</v>
      </c>
      <c r="F68" s="13">
        <v>0</v>
      </c>
      <c r="G68" s="13">
        <v>1502.7374</v>
      </c>
      <c r="H68" s="13">
        <v>1820.1186</v>
      </c>
      <c r="I68" s="13">
        <v>1105.5017</v>
      </c>
      <c r="J68" s="13">
        <v>1545.6063999999999</v>
      </c>
      <c r="K68" s="13">
        <v>1510.1255000000001</v>
      </c>
      <c r="L68" s="13">
        <v>1764.2731000000001</v>
      </c>
      <c r="M68" s="13">
        <v>1420.0948000000001</v>
      </c>
      <c r="N68" s="13">
        <v>1426.4511</v>
      </c>
      <c r="O68" s="13" t="s">
        <v>198</v>
      </c>
      <c r="P68" s="16"/>
    </row>
    <row r="69" spans="1:16" x14ac:dyDescent="0.25">
      <c r="A69" s="10" t="s">
        <v>302</v>
      </c>
      <c r="B69" s="10" t="s">
        <v>303</v>
      </c>
      <c r="C69" s="13">
        <v>8204.1790000000001</v>
      </c>
      <c r="D69" s="13">
        <v>10696.334000000001</v>
      </c>
      <c r="E69" s="13">
        <v>14059.852000000001</v>
      </c>
      <c r="F69" s="13" t="s">
        <v>198</v>
      </c>
      <c r="G69" s="13" t="s">
        <v>198</v>
      </c>
      <c r="H69" s="13" t="s">
        <v>198</v>
      </c>
      <c r="I69" s="13" t="s">
        <v>198</v>
      </c>
      <c r="J69" s="13">
        <v>28431.679</v>
      </c>
      <c r="K69" s="13">
        <v>31185.15</v>
      </c>
      <c r="L69" s="13">
        <v>34806.184000000001</v>
      </c>
      <c r="M69" s="13">
        <v>32541.234</v>
      </c>
      <c r="N69" s="13">
        <v>32891.334999999999</v>
      </c>
      <c r="O69" s="13">
        <v>32134.241000000002</v>
      </c>
      <c r="P69" s="16">
        <v>32134.241000000002</v>
      </c>
    </row>
    <row r="70" spans="1:16" x14ac:dyDescent="0.25">
      <c r="A70" s="10" t="s">
        <v>304</v>
      </c>
      <c r="B70" s="10" t="s">
        <v>305</v>
      </c>
      <c r="C70" s="13" t="s">
        <v>198</v>
      </c>
      <c r="D70" s="13" t="s">
        <v>198</v>
      </c>
      <c r="E70" s="13" t="s">
        <v>198</v>
      </c>
      <c r="F70" s="13">
        <v>416.18299999999999</v>
      </c>
      <c r="G70" s="13">
        <v>416.18299999999999</v>
      </c>
      <c r="H70" s="13">
        <v>465.73899999999998</v>
      </c>
      <c r="I70" s="13">
        <v>628.65300000000002</v>
      </c>
      <c r="J70" s="13">
        <v>665.28</v>
      </c>
      <c r="K70" s="13">
        <v>554.36400000000003</v>
      </c>
      <c r="L70" s="13">
        <v>722.14800000000002</v>
      </c>
      <c r="M70" s="13">
        <v>762.52599999999995</v>
      </c>
      <c r="N70" s="13">
        <v>1036.848</v>
      </c>
      <c r="O70" s="13" t="s">
        <v>198</v>
      </c>
      <c r="P70" s="16"/>
    </row>
    <row r="71" spans="1:16" x14ac:dyDescent="0.25">
      <c r="A71" s="10" t="s">
        <v>306</v>
      </c>
      <c r="B71" s="10" t="s">
        <v>307</v>
      </c>
      <c r="C71" s="13" t="s">
        <v>198</v>
      </c>
      <c r="D71" s="13" t="s">
        <v>198</v>
      </c>
      <c r="E71" s="13">
        <v>17.754999999999999</v>
      </c>
      <c r="F71" s="13">
        <v>25.68</v>
      </c>
      <c r="G71" s="13">
        <v>229.208</v>
      </c>
      <c r="H71" s="13">
        <v>1665.9480000000001</v>
      </c>
      <c r="I71" s="13" t="s">
        <v>198</v>
      </c>
      <c r="J71" s="13" t="s">
        <v>198</v>
      </c>
      <c r="K71" s="13" t="s">
        <v>198</v>
      </c>
      <c r="L71" s="13" t="s">
        <v>198</v>
      </c>
      <c r="M71" s="13" t="s">
        <v>198</v>
      </c>
      <c r="N71" s="13" t="s">
        <v>198</v>
      </c>
      <c r="O71" s="13" t="s">
        <v>198</v>
      </c>
      <c r="P71" s="16"/>
    </row>
    <row r="72" spans="1:16" x14ac:dyDescent="0.25">
      <c r="A72" s="7" t="s">
        <v>65</v>
      </c>
      <c r="B72" s="7"/>
      <c r="C72" s="7" t="s">
        <v>4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10"/>
  <sheetViews>
    <sheetView workbookViewId="0">
      <selection activeCell="G15" sqref="G15"/>
    </sheetView>
  </sheetViews>
  <sheetFormatPr baseColWidth="10" defaultRowHeight="15" x14ac:dyDescent="0.25"/>
  <cols>
    <col min="1" max="1" width="35.140625" customWidth="1"/>
    <col min="2" max="2" width="0" hidden="1" customWidth="1"/>
    <col min="3" max="15" width="11.85546875" customWidth="1"/>
  </cols>
  <sheetData>
    <row r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.25" x14ac:dyDescent="0.25">
      <c r="A2" s="8" t="s">
        <v>314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3" t="s">
        <v>67</v>
      </c>
      <c r="B4" s="3"/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</row>
    <row r="5" spans="1:15" x14ac:dyDescent="0.25">
      <c r="A5" s="9" t="s">
        <v>21</v>
      </c>
      <c r="B5" s="9"/>
      <c r="C5" s="5" t="s">
        <v>22</v>
      </c>
      <c r="D5" s="5" t="s">
        <v>23</v>
      </c>
      <c r="E5" s="5" t="s">
        <v>24</v>
      </c>
      <c r="F5" s="5" t="s">
        <v>25</v>
      </c>
      <c r="G5" s="5" t="s">
        <v>26</v>
      </c>
      <c r="H5" s="5" t="s">
        <v>27</v>
      </c>
      <c r="I5" s="5" t="s">
        <v>28</v>
      </c>
      <c r="J5" s="5" t="s">
        <v>29</v>
      </c>
      <c r="K5" s="5" t="s">
        <v>30</v>
      </c>
      <c r="L5" s="5" t="s">
        <v>31</v>
      </c>
      <c r="M5" s="5" t="s">
        <v>32</v>
      </c>
      <c r="N5" s="5" t="s">
        <v>33</v>
      </c>
      <c r="O5" s="5" t="s">
        <v>34</v>
      </c>
    </row>
    <row r="6" spans="1:15" x14ac:dyDescent="0.25">
      <c r="A6" s="6" t="s">
        <v>315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</row>
    <row r="7" spans="1:15" x14ac:dyDescent="0.25">
      <c r="A7" s="10" t="s">
        <v>316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spans="1:15" x14ac:dyDescent="0.25">
      <c r="A8" s="6" t="s">
        <v>1</v>
      </c>
      <c r="B8" s="6" t="s">
        <v>317</v>
      </c>
      <c r="C8" s="19">
        <v>12304.984</v>
      </c>
      <c r="D8" s="19">
        <v>15313.797</v>
      </c>
      <c r="E8" s="19">
        <v>18474.841</v>
      </c>
      <c r="F8" s="19">
        <v>24396.212</v>
      </c>
      <c r="G8" s="19">
        <v>25957.941999999999</v>
      </c>
      <c r="H8" s="19">
        <v>28158.21</v>
      </c>
      <c r="I8" s="19">
        <v>29704.780999999999</v>
      </c>
      <c r="J8" s="19">
        <v>35036.139000000003</v>
      </c>
      <c r="K8" s="19">
        <v>39419.4</v>
      </c>
      <c r="L8" s="19">
        <v>45729.491999999998</v>
      </c>
      <c r="M8" s="19">
        <v>44354.593999999997</v>
      </c>
      <c r="N8" s="19">
        <v>43961.508000000002</v>
      </c>
      <c r="O8" s="19">
        <v>43087.368999999999</v>
      </c>
    </row>
    <row r="9" spans="1:15" x14ac:dyDescent="0.25">
      <c r="A9" s="10" t="s">
        <v>318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spans="1:15" x14ac:dyDescent="0.25">
      <c r="A10" s="10" t="s">
        <v>319</v>
      </c>
      <c r="B10" s="10" t="s">
        <v>320</v>
      </c>
      <c r="C10" s="13">
        <v>5304.567</v>
      </c>
      <c r="D10" s="13">
        <v>6236.95</v>
      </c>
      <c r="E10" s="13">
        <v>7224.2529999999997</v>
      </c>
      <c r="F10" s="13">
        <v>9935.7960000000003</v>
      </c>
      <c r="G10" s="13">
        <v>9836.6749999999993</v>
      </c>
      <c r="H10" s="13">
        <v>11974.906000000001</v>
      </c>
      <c r="I10" s="13">
        <v>14039.147000000001</v>
      </c>
      <c r="J10" s="13">
        <v>16790.114000000001</v>
      </c>
      <c r="K10" s="13">
        <v>18145.221000000001</v>
      </c>
      <c r="L10" s="13">
        <v>20642.306</v>
      </c>
      <c r="M10" s="13">
        <v>21874.48</v>
      </c>
      <c r="N10" s="13">
        <v>20449.998</v>
      </c>
      <c r="O10" s="13">
        <v>18974.28</v>
      </c>
    </row>
    <row r="11" spans="1:15" x14ac:dyDescent="0.25">
      <c r="A11" s="10" t="s">
        <v>321</v>
      </c>
      <c r="B11" s="10" t="s">
        <v>322</v>
      </c>
      <c r="C11" s="13" t="s">
        <v>198</v>
      </c>
      <c r="D11" s="13" t="s">
        <v>198</v>
      </c>
      <c r="E11" s="13" t="s">
        <v>198</v>
      </c>
      <c r="F11" s="13" t="s">
        <v>198</v>
      </c>
      <c r="G11" s="13" t="s">
        <v>198</v>
      </c>
      <c r="H11" s="13">
        <v>7881.51</v>
      </c>
      <c r="I11" s="13">
        <v>7465.6289999999999</v>
      </c>
      <c r="J11" s="13" t="s">
        <v>198</v>
      </c>
      <c r="K11" s="13" t="s">
        <v>198</v>
      </c>
      <c r="L11" s="13" t="s">
        <v>198</v>
      </c>
      <c r="M11" s="13" t="s">
        <v>198</v>
      </c>
      <c r="N11" s="13" t="s">
        <v>198</v>
      </c>
      <c r="O11" s="13">
        <v>10837.05</v>
      </c>
    </row>
    <row r="12" spans="1:15" x14ac:dyDescent="0.25">
      <c r="A12" s="10" t="s">
        <v>323</v>
      </c>
      <c r="B12" s="10" t="s">
        <v>324</v>
      </c>
      <c r="C12" s="13">
        <v>1047.5</v>
      </c>
      <c r="D12" s="13">
        <v>1002.751</v>
      </c>
      <c r="E12" s="13">
        <v>1083.8009999999999</v>
      </c>
      <c r="F12" s="13">
        <v>1436.3119999999999</v>
      </c>
      <c r="G12" s="13">
        <v>1659.5930000000001</v>
      </c>
      <c r="H12" s="13">
        <v>1821.079</v>
      </c>
      <c r="I12" s="13">
        <v>1754.086</v>
      </c>
      <c r="J12" s="13">
        <v>1972.97</v>
      </c>
      <c r="K12" s="13">
        <v>2073.6750000000002</v>
      </c>
      <c r="L12" s="13">
        <v>2288.1019999999999</v>
      </c>
      <c r="M12" s="13">
        <v>2426.4</v>
      </c>
      <c r="N12" s="13">
        <v>2657.4059999999999</v>
      </c>
      <c r="O12" s="13">
        <v>2575.5509999999999</v>
      </c>
    </row>
    <row r="13" spans="1:15" x14ac:dyDescent="0.25">
      <c r="A13" s="10" t="s">
        <v>2</v>
      </c>
      <c r="B13" s="10" t="s">
        <v>325</v>
      </c>
      <c r="C13" s="13">
        <v>7000.4170000000004</v>
      </c>
      <c r="D13" s="13">
        <v>9076.8469999999998</v>
      </c>
      <c r="E13" s="13">
        <v>11250.588</v>
      </c>
      <c r="F13" s="13">
        <v>14460.415999999999</v>
      </c>
      <c r="G13" s="13">
        <v>16121.267</v>
      </c>
      <c r="H13" s="13">
        <v>16183.304</v>
      </c>
      <c r="I13" s="13">
        <v>15665.634</v>
      </c>
      <c r="J13" s="13">
        <v>18246.025000000001</v>
      </c>
      <c r="K13" s="13">
        <v>21274.179</v>
      </c>
      <c r="L13" s="13">
        <v>25087.186000000002</v>
      </c>
      <c r="M13" s="13">
        <v>22480.114000000001</v>
      </c>
      <c r="N13" s="13">
        <v>23511.51</v>
      </c>
      <c r="O13" s="13">
        <v>24113.089</v>
      </c>
    </row>
    <row r="14" spans="1:15" x14ac:dyDescent="0.25">
      <c r="A14" s="10" t="s">
        <v>69</v>
      </c>
      <c r="B14" s="10" t="s">
        <v>326</v>
      </c>
      <c r="C14" s="13">
        <v>2492.0520000000001</v>
      </c>
      <c r="D14" s="13">
        <v>3375.5430000000001</v>
      </c>
      <c r="E14" s="13">
        <v>4620.2079999999996</v>
      </c>
      <c r="F14" s="13">
        <v>5623.9070000000002</v>
      </c>
      <c r="G14" s="13">
        <v>6735.5559999999996</v>
      </c>
      <c r="H14" s="13">
        <v>5542.9409999999998</v>
      </c>
      <c r="I14" s="13">
        <v>5410.14</v>
      </c>
      <c r="J14" s="13">
        <v>6892.6130000000003</v>
      </c>
      <c r="K14" s="13">
        <v>7121.2020000000002</v>
      </c>
      <c r="L14" s="13">
        <v>8889.8359999999993</v>
      </c>
      <c r="M14" s="13">
        <v>6238.3249999999998</v>
      </c>
      <c r="N14" s="13">
        <v>7764.6710000000003</v>
      </c>
      <c r="O14" s="13">
        <v>9664.1630000000005</v>
      </c>
    </row>
    <row r="15" spans="1:15" x14ac:dyDescent="0.25">
      <c r="A15" s="10" t="s">
        <v>327</v>
      </c>
      <c r="B15" s="10" t="s">
        <v>328</v>
      </c>
      <c r="C15" s="13">
        <v>6.5410000000000004</v>
      </c>
      <c r="D15" s="13">
        <v>75.878</v>
      </c>
      <c r="E15" s="13">
        <v>104.279</v>
      </c>
      <c r="F15" s="13">
        <v>-160.44</v>
      </c>
      <c r="G15" s="13">
        <v>201.22399999999999</v>
      </c>
      <c r="H15" s="13">
        <v>0</v>
      </c>
      <c r="I15" s="13">
        <v>-159.78899999999999</v>
      </c>
      <c r="J15" s="13">
        <v>-91.594999999999999</v>
      </c>
      <c r="K15" s="13">
        <v>-54.92</v>
      </c>
      <c r="L15" s="13">
        <v>-34.497999999999998</v>
      </c>
      <c r="M15" s="13">
        <v>78.034999999999997</v>
      </c>
      <c r="N15" s="13">
        <v>8.657</v>
      </c>
      <c r="O15" s="13">
        <v>-1284.21</v>
      </c>
    </row>
    <row r="16" spans="1:15" x14ac:dyDescent="0.25">
      <c r="A16" s="10" t="s">
        <v>329</v>
      </c>
      <c r="B16" s="10" t="s">
        <v>330</v>
      </c>
      <c r="C16" s="13">
        <v>411.185</v>
      </c>
      <c r="D16" s="13">
        <v>612.49900000000002</v>
      </c>
      <c r="E16" s="13">
        <v>726.77300000000002</v>
      </c>
      <c r="F16" s="13">
        <v>750.00800000000004</v>
      </c>
      <c r="G16" s="13">
        <v>917.86500000000001</v>
      </c>
      <c r="H16" s="13" t="s">
        <v>198</v>
      </c>
      <c r="I16" s="13" t="s">
        <v>198</v>
      </c>
      <c r="J16" s="13">
        <v>1379.692</v>
      </c>
      <c r="K16" s="13">
        <v>2028.0530000000001</v>
      </c>
      <c r="L16" s="13">
        <v>2192.6089999999999</v>
      </c>
      <c r="M16" s="13">
        <v>1925.6659999999999</v>
      </c>
      <c r="N16" s="13">
        <v>1808.768</v>
      </c>
      <c r="O16" s="13" t="s">
        <v>198</v>
      </c>
    </row>
    <row r="17" spans="1:15" x14ac:dyDescent="0.25">
      <c r="A17" s="10" t="s">
        <v>331</v>
      </c>
      <c r="B17" s="10" t="s">
        <v>332</v>
      </c>
      <c r="C17" s="13" t="s">
        <v>198</v>
      </c>
      <c r="D17" s="13" t="s">
        <v>198</v>
      </c>
      <c r="E17" s="13">
        <v>7991.442</v>
      </c>
      <c r="F17" s="13">
        <v>7170.5709999999999</v>
      </c>
      <c r="G17" s="13" t="s">
        <v>198</v>
      </c>
      <c r="H17" s="13" t="s">
        <v>198</v>
      </c>
      <c r="I17" s="13" t="s">
        <v>198</v>
      </c>
      <c r="J17" s="13" t="s">
        <v>198</v>
      </c>
      <c r="K17" s="13" t="s">
        <v>198</v>
      </c>
      <c r="L17" s="13">
        <v>9843</v>
      </c>
      <c r="M17" s="13">
        <v>7312.1180000000004</v>
      </c>
      <c r="N17" s="13">
        <v>8901.7819999999992</v>
      </c>
      <c r="O17" s="13">
        <v>11014</v>
      </c>
    </row>
    <row r="18" spans="1:15" x14ac:dyDescent="0.25">
      <c r="A18" s="10" t="s">
        <v>333</v>
      </c>
      <c r="B18" s="10" t="s">
        <v>334</v>
      </c>
      <c r="C18" s="13">
        <v>449.58199999999999</v>
      </c>
      <c r="D18" s="13">
        <v>554.65200000000004</v>
      </c>
      <c r="E18" s="13">
        <v>592.81799999999998</v>
      </c>
      <c r="F18" s="13">
        <v>771.72</v>
      </c>
      <c r="G18" s="13">
        <v>962.96900000000005</v>
      </c>
      <c r="H18" s="13">
        <v>937.774</v>
      </c>
      <c r="I18" s="13">
        <v>1195.568</v>
      </c>
      <c r="J18" s="13">
        <v>1404.296</v>
      </c>
      <c r="K18" s="13">
        <v>1417.221</v>
      </c>
      <c r="L18" s="13">
        <v>1588.662</v>
      </c>
      <c r="M18" s="13">
        <v>1825.556</v>
      </c>
      <c r="N18" s="13">
        <v>2150.1350000000002</v>
      </c>
      <c r="O18" s="13">
        <v>2320.5349999999999</v>
      </c>
    </row>
    <row r="19" spans="1:15" x14ac:dyDescent="0.25">
      <c r="A19" s="10" t="s">
        <v>335</v>
      </c>
      <c r="B19" s="10" t="s">
        <v>336</v>
      </c>
      <c r="C19" s="13">
        <v>2593.5569999999998</v>
      </c>
      <c r="D19" s="13">
        <v>3455.5239999999999</v>
      </c>
      <c r="E19" s="13">
        <v>4122.7089999999998</v>
      </c>
      <c r="F19" s="13">
        <v>6038.9089999999997</v>
      </c>
      <c r="G19" s="13">
        <v>5644.06</v>
      </c>
      <c r="H19" s="13" t="s">
        <v>198</v>
      </c>
      <c r="I19" s="13" t="s">
        <v>198</v>
      </c>
      <c r="J19" s="13">
        <v>6688.049</v>
      </c>
      <c r="K19" s="13">
        <v>8688.9480000000003</v>
      </c>
      <c r="L19" s="13">
        <v>10162.475</v>
      </c>
      <c r="M19" s="13">
        <v>9986.1319999999996</v>
      </c>
      <c r="N19" s="13">
        <v>9121.8729999999996</v>
      </c>
      <c r="O19" s="13" t="s">
        <v>198</v>
      </c>
    </row>
    <row r="20" spans="1:15" x14ac:dyDescent="0.25">
      <c r="A20" s="10" t="s">
        <v>337</v>
      </c>
      <c r="B20" s="10" t="s">
        <v>338</v>
      </c>
      <c r="C20" s="13">
        <v>46.646000000000001</v>
      </c>
      <c r="D20" s="13">
        <v>38.654000000000003</v>
      </c>
      <c r="E20" s="13">
        <v>136.465</v>
      </c>
      <c r="F20" s="13">
        <v>394.20100000000002</v>
      </c>
      <c r="G20" s="13">
        <v>485.49200000000002</v>
      </c>
      <c r="H20" s="13">
        <v>431.55799999999999</v>
      </c>
      <c r="I20" s="13">
        <v>528.55100000000004</v>
      </c>
      <c r="J20" s="13">
        <v>544.80899999999997</v>
      </c>
      <c r="K20" s="13">
        <v>698.70699999999999</v>
      </c>
      <c r="L20" s="13">
        <v>849.52599999999995</v>
      </c>
      <c r="M20" s="13">
        <v>1096.402</v>
      </c>
      <c r="N20" s="13">
        <v>1351.498</v>
      </c>
      <c r="O20" s="13">
        <v>1141.6479999999999</v>
      </c>
    </row>
    <row r="21" spans="1:15" x14ac:dyDescent="0.25">
      <c r="A21" s="10" t="s">
        <v>339</v>
      </c>
      <c r="B21" s="10" t="s">
        <v>340</v>
      </c>
      <c r="C21" s="13">
        <v>-24.702000000000002</v>
      </c>
      <c r="D21" s="13">
        <v>-31.94</v>
      </c>
      <c r="E21" s="13">
        <v>-7.8739999999999997</v>
      </c>
      <c r="F21" s="13">
        <v>-49.362000000000002</v>
      </c>
      <c r="G21" s="13">
        <v>-109.76</v>
      </c>
      <c r="H21" s="13">
        <v>-193.09700000000001</v>
      </c>
      <c r="I21" s="13">
        <v>-265.78199999999998</v>
      </c>
      <c r="J21" s="13">
        <v>-143.666</v>
      </c>
      <c r="K21" s="13">
        <v>-250.67099999999999</v>
      </c>
      <c r="L21" s="13">
        <v>-143.048</v>
      </c>
      <c r="M21" s="13">
        <v>-239.62899999999999</v>
      </c>
      <c r="N21" s="13">
        <v>-451.41199999999998</v>
      </c>
      <c r="O21" s="13">
        <v>-393.39699999999999</v>
      </c>
    </row>
    <row r="22" spans="1:15" x14ac:dyDescent="0.25">
      <c r="A22" s="10" t="s">
        <v>341</v>
      </c>
      <c r="B22" s="10" t="s">
        <v>342</v>
      </c>
      <c r="C22" s="13" t="s">
        <v>198</v>
      </c>
      <c r="D22" s="13" t="s">
        <v>198</v>
      </c>
      <c r="E22" s="13" t="s">
        <v>198</v>
      </c>
      <c r="F22" s="13" t="s">
        <v>198</v>
      </c>
      <c r="G22" s="13" t="s">
        <v>198</v>
      </c>
      <c r="H22" s="13" t="s">
        <v>198</v>
      </c>
      <c r="I22" s="13" t="s">
        <v>198</v>
      </c>
      <c r="J22" s="13" t="s">
        <v>198</v>
      </c>
      <c r="K22" s="13" t="s">
        <v>198</v>
      </c>
      <c r="L22" s="13" t="s">
        <v>198</v>
      </c>
      <c r="M22" s="13" t="s">
        <v>198</v>
      </c>
      <c r="N22" s="13" t="s">
        <v>198</v>
      </c>
      <c r="O22" s="13">
        <v>-907.50800000000004</v>
      </c>
    </row>
    <row r="23" spans="1:15" x14ac:dyDescent="0.25">
      <c r="A23" s="10" t="s">
        <v>343</v>
      </c>
      <c r="B23" s="10" t="s">
        <v>344</v>
      </c>
      <c r="C23" s="13" t="s">
        <v>198</v>
      </c>
      <c r="D23" s="13" t="s">
        <v>198</v>
      </c>
      <c r="E23" s="13" t="s">
        <v>198</v>
      </c>
      <c r="F23" s="13" t="s">
        <v>198</v>
      </c>
      <c r="G23" s="13" t="s">
        <v>198</v>
      </c>
      <c r="H23" s="13" t="s">
        <v>198</v>
      </c>
      <c r="I23" s="13" t="s">
        <v>198</v>
      </c>
      <c r="J23" s="13" t="s">
        <v>198</v>
      </c>
      <c r="K23" s="13" t="s">
        <v>198</v>
      </c>
      <c r="L23" s="13" t="s">
        <v>198</v>
      </c>
      <c r="M23" s="13" t="s">
        <v>198</v>
      </c>
      <c r="N23" s="13" t="s">
        <v>198</v>
      </c>
      <c r="O23" s="13">
        <v>325.24299999999999</v>
      </c>
    </row>
    <row r="24" spans="1:15" x14ac:dyDescent="0.25">
      <c r="A24" s="10" t="s">
        <v>345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spans="1:15" x14ac:dyDescent="0.25">
      <c r="A25" s="10" t="s">
        <v>346</v>
      </c>
      <c r="B25" s="10" t="s">
        <v>347</v>
      </c>
      <c r="C25" s="13" t="s">
        <v>198</v>
      </c>
      <c r="D25" s="13" t="s">
        <v>198</v>
      </c>
      <c r="E25" s="13" t="s">
        <v>198</v>
      </c>
      <c r="F25" s="13">
        <v>590.87300000000005</v>
      </c>
      <c r="G25" s="13">
        <v>397.06099999999998</v>
      </c>
      <c r="H25" s="13" t="s">
        <v>198</v>
      </c>
      <c r="I25" s="13" t="s">
        <v>198</v>
      </c>
      <c r="J25" s="13">
        <v>-58.997</v>
      </c>
      <c r="K25" s="13">
        <v>-234.44</v>
      </c>
      <c r="L25" s="13">
        <v>-86.885000000000005</v>
      </c>
      <c r="M25" s="13">
        <v>-818.077</v>
      </c>
      <c r="N25" s="13">
        <v>1596.9860000000001</v>
      </c>
      <c r="O25" s="13" t="s">
        <v>198</v>
      </c>
    </row>
    <row r="26" spans="1:15" x14ac:dyDescent="0.25">
      <c r="A26" s="10" t="s">
        <v>348</v>
      </c>
      <c r="B26" s="10" t="s">
        <v>349</v>
      </c>
      <c r="C26" s="13">
        <v>-116.057</v>
      </c>
      <c r="D26" s="13">
        <v>0</v>
      </c>
      <c r="E26" s="13">
        <v>-3446.3119999999999</v>
      </c>
      <c r="F26" s="13">
        <v>0</v>
      </c>
      <c r="G26" s="13">
        <v>7.5220000000000002</v>
      </c>
      <c r="H26" s="13">
        <v>9.4450000000000003</v>
      </c>
      <c r="I26" s="13" t="s">
        <v>198</v>
      </c>
      <c r="J26" s="13" t="s">
        <v>198</v>
      </c>
      <c r="K26" s="13" t="s">
        <v>198</v>
      </c>
      <c r="L26" s="13">
        <v>39.020000000000003</v>
      </c>
      <c r="M26" s="13">
        <v>43.051000000000002</v>
      </c>
      <c r="N26" s="13">
        <v>41.988</v>
      </c>
      <c r="O26" s="13">
        <v>-2429.174</v>
      </c>
    </row>
    <row r="27" spans="1:15" x14ac:dyDescent="0.25">
      <c r="A27" s="10" t="s">
        <v>350</v>
      </c>
      <c r="B27" s="10" t="s">
        <v>351</v>
      </c>
      <c r="C27" s="13">
        <v>995.346</v>
      </c>
      <c r="D27" s="13">
        <v>1153.33</v>
      </c>
      <c r="E27" s="13">
        <v>2310.2689999999998</v>
      </c>
      <c r="F27" s="13">
        <v>1540.4469999999999</v>
      </c>
      <c r="G27" s="13">
        <v>757.75199999999995</v>
      </c>
      <c r="H27" s="13">
        <v>1113.4739999999999</v>
      </c>
      <c r="I27" s="13">
        <v>1429.518</v>
      </c>
      <c r="J27" s="13">
        <v>1702.162</v>
      </c>
      <c r="K27" s="13">
        <v>1873.7429999999999</v>
      </c>
      <c r="L27" s="13">
        <v>2350.261</v>
      </c>
      <c r="M27" s="13">
        <v>1454.15</v>
      </c>
      <c r="N27" s="13">
        <v>1260.769</v>
      </c>
      <c r="O27" s="13">
        <v>3205.241</v>
      </c>
    </row>
    <row r="28" spans="1:15" x14ac:dyDescent="0.25">
      <c r="A28" s="10" t="s">
        <v>352</v>
      </c>
      <c r="B28" s="10" t="s">
        <v>353</v>
      </c>
      <c r="C28" s="13">
        <v>2552.5129999999999</v>
      </c>
      <c r="D28" s="13">
        <v>3791.6849999999999</v>
      </c>
      <c r="E28" s="13">
        <v>7618.7219999999998</v>
      </c>
      <c r="F28" s="13">
        <v>4688.1949999999997</v>
      </c>
      <c r="G28" s="13">
        <v>5955.241</v>
      </c>
      <c r="H28" s="13">
        <v>5146.4740000000002</v>
      </c>
      <c r="I28" s="13">
        <v>5147.3710000000001</v>
      </c>
      <c r="J28" s="13">
        <v>6854.2060000000001</v>
      </c>
      <c r="K28" s="13">
        <v>6907.6059999999998</v>
      </c>
      <c r="L28" s="13">
        <v>8231.223</v>
      </c>
      <c r="M28" s="13">
        <v>6187.8710000000001</v>
      </c>
      <c r="N28" s="13">
        <v>5223.1819999999998</v>
      </c>
      <c r="O28" s="13">
        <v>11859.197</v>
      </c>
    </row>
    <row r="29" spans="1:15" x14ac:dyDescent="0.25">
      <c r="A29" s="10" t="s">
        <v>354</v>
      </c>
      <c r="B29" s="10" t="s">
        <v>355</v>
      </c>
      <c r="C29" s="13">
        <v>748.97</v>
      </c>
      <c r="D29" s="13">
        <v>1033.566</v>
      </c>
      <c r="E29" s="13">
        <v>1936.0219999999999</v>
      </c>
      <c r="F29" s="13" t="s">
        <v>198</v>
      </c>
      <c r="G29" s="13" t="s">
        <v>198</v>
      </c>
      <c r="H29" s="13" t="s">
        <v>198</v>
      </c>
      <c r="I29" s="13" t="s">
        <v>198</v>
      </c>
      <c r="J29" s="13" t="s">
        <v>198</v>
      </c>
      <c r="K29" s="13" t="s">
        <v>198</v>
      </c>
      <c r="L29" s="13" t="s">
        <v>198</v>
      </c>
      <c r="M29" s="13" t="s">
        <v>198</v>
      </c>
      <c r="N29" s="13" t="s">
        <v>198</v>
      </c>
      <c r="O29" s="13" t="s">
        <v>198</v>
      </c>
    </row>
    <row r="30" spans="1:15" x14ac:dyDescent="0.25">
      <c r="A30" s="10" t="s">
        <v>356</v>
      </c>
      <c r="B30" s="10" t="s">
        <v>357</v>
      </c>
      <c r="C30" s="13">
        <v>246.376</v>
      </c>
      <c r="D30" s="13">
        <v>119.764</v>
      </c>
      <c r="E30" s="13">
        <v>374.24700000000001</v>
      </c>
      <c r="F30" s="13" t="s">
        <v>198</v>
      </c>
      <c r="G30" s="13" t="s">
        <v>198</v>
      </c>
      <c r="H30" s="13" t="s">
        <v>198</v>
      </c>
      <c r="I30" s="13" t="s">
        <v>198</v>
      </c>
      <c r="J30" s="13" t="s">
        <v>198</v>
      </c>
      <c r="K30" s="13" t="s">
        <v>198</v>
      </c>
      <c r="L30" s="13" t="s">
        <v>198</v>
      </c>
      <c r="M30" s="13" t="s">
        <v>198</v>
      </c>
      <c r="N30" s="13" t="s">
        <v>198</v>
      </c>
      <c r="O30" s="13" t="s">
        <v>198</v>
      </c>
    </row>
    <row r="31" spans="1:15" x14ac:dyDescent="0.25">
      <c r="A31" s="10" t="s">
        <v>358</v>
      </c>
      <c r="B31" s="10" t="s">
        <v>359</v>
      </c>
      <c r="C31" s="13" t="s">
        <v>198</v>
      </c>
      <c r="D31" s="13" t="s">
        <v>198</v>
      </c>
      <c r="E31" s="13" t="s">
        <v>198</v>
      </c>
      <c r="F31" s="13" t="s">
        <v>198</v>
      </c>
      <c r="G31" s="13" t="s">
        <v>198</v>
      </c>
      <c r="H31" s="13" t="s">
        <v>198</v>
      </c>
      <c r="I31" s="13" t="s">
        <v>198</v>
      </c>
      <c r="J31" s="13" t="s">
        <v>198</v>
      </c>
      <c r="K31" s="13" t="s">
        <v>198</v>
      </c>
      <c r="L31" s="13" t="s">
        <v>198</v>
      </c>
      <c r="M31" s="13">
        <v>-31.292999999999999</v>
      </c>
      <c r="N31" s="13">
        <v>2.4289999999999998</v>
      </c>
      <c r="O31" s="13" t="s">
        <v>198</v>
      </c>
    </row>
    <row r="32" spans="1:15" x14ac:dyDescent="0.25">
      <c r="A32" s="10" t="s">
        <v>360</v>
      </c>
      <c r="B32" s="10" t="s">
        <v>361</v>
      </c>
      <c r="C32" s="13">
        <v>55.595999999999997</v>
      </c>
      <c r="D32" s="13">
        <v>-416.142</v>
      </c>
      <c r="E32" s="13">
        <v>447.798</v>
      </c>
      <c r="F32" s="13" t="s">
        <v>198</v>
      </c>
      <c r="G32" s="13" t="s">
        <v>198</v>
      </c>
      <c r="H32" s="13" t="s">
        <v>198</v>
      </c>
      <c r="I32" s="13" t="s">
        <v>198</v>
      </c>
      <c r="J32" s="13" t="s">
        <v>198</v>
      </c>
      <c r="K32" s="13" t="s">
        <v>198</v>
      </c>
      <c r="L32" s="13" t="s">
        <v>198</v>
      </c>
      <c r="M32" s="13" t="s">
        <v>198</v>
      </c>
      <c r="N32" s="13" t="s">
        <v>198</v>
      </c>
      <c r="O32" s="13" t="s">
        <v>198</v>
      </c>
    </row>
    <row r="33" spans="1:15" x14ac:dyDescent="0.25">
      <c r="A33" s="10" t="s">
        <v>362</v>
      </c>
      <c r="B33" s="10" t="s">
        <v>363</v>
      </c>
      <c r="C33" s="13">
        <v>80.298000000000002</v>
      </c>
      <c r="D33" s="13">
        <v>38.654000000000003</v>
      </c>
      <c r="E33" s="13">
        <v>455.67200000000003</v>
      </c>
      <c r="F33" s="13">
        <v>394.20100000000002</v>
      </c>
      <c r="G33" s="13">
        <v>485.49200000000002</v>
      </c>
      <c r="H33" s="13">
        <v>580.11900000000003</v>
      </c>
      <c r="I33" s="13">
        <v>528.55100000000004</v>
      </c>
      <c r="J33" s="13">
        <v>544.80899999999997</v>
      </c>
      <c r="K33" s="13">
        <v>698.70699999999999</v>
      </c>
      <c r="L33" s="13">
        <v>849.52599999999995</v>
      </c>
      <c r="M33" s="13">
        <v>1096.402</v>
      </c>
      <c r="N33" s="13">
        <v>1351.498</v>
      </c>
      <c r="O33" s="13">
        <v>1141.6479999999999</v>
      </c>
    </row>
    <row r="34" spans="1:15" x14ac:dyDescent="0.25">
      <c r="A34" s="10" t="s">
        <v>341</v>
      </c>
      <c r="B34" s="10" t="s">
        <v>364</v>
      </c>
      <c r="C34" s="13">
        <v>-24.702000000000002</v>
      </c>
      <c r="D34" s="13">
        <v>-454.79599999999999</v>
      </c>
      <c r="E34" s="13">
        <v>-7.8739999999999997</v>
      </c>
      <c r="F34" s="13">
        <v>-49.362000000000002</v>
      </c>
      <c r="G34" s="13">
        <v>-109.76</v>
      </c>
      <c r="H34" s="13">
        <v>-193.09700000000001</v>
      </c>
      <c r="I34" s="13">
        <v>-265.78199999999998</v>
      </c>
      <c r="J34" s="13">
        <v>-143.666</v>
      </c>
      <c r="K34" s="13">
        <v>-250.67099999999999</v>
      </c>
      <c r="L34" s="13">
        <v>-143.048</v>
      </c>
      <c r="M34" s="13">
        <v>-239.62899999999999</v>
      </c>
      <c r="N34" s="13">
        <v>-451.41199999999998</v>
      </c>
      <c r="O34" s="13">
        <v>-907.50800000000004</v>
      </c>
    </row>
    <row r="35" spans="1:15" x14ac:dyDescent="0.25">
      <c r="A35" s="10" t="s">
        <v>365</v>
      </c>
      <c r="B35" s="10" t="s">
        <v>366</v>
      </c>
      <c r="C35" s="13" t="s">
        <v>198</v>
      </c>
      <c r="D35" s="13" t="s">
        <v>198</v>
      </c>
      <c r="E35" s="13" t="s">
        <v>198</v>
      </c>
      <c r="F35" s="13" t="s">
        <v>198</v>
      </c>
      <c r="G35" s="13" t="s">
        <v>198</v>
      </c>
      <c r="H35" s="13" t="s">
        <v>198</v>
      </c>
      <c r="I35" s="13" t="s">
        <v>198</v>
      </c>
      <c r="J35" s="13">
        <v>-303.73899999999998</v>
      </c>
      <c r="K35" s="13" t="s">
        <v>198</v>
      </c>
      <c r="L35" s="13" t="s">
        <v>198</v>
      </c>
      <c r="M35" s="13" t="s">
        <v>198</v>
      </c>
      <c r="N35" s="13" t="s">
        <v>198</v>
      </c>
      <c r="O35" s="13" t="s">
        <v>198</v>
      </c>
    </row>
    <row r="36" spans="1:15" x14ac:dyDescent="0.25">
      <c r="A36" s="10" t="s">
        <v>367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spans="1:15" x14ac:dyDescent="0.25">
      <c r="A37" s="10" t="s">
        <v>368</v>
      </c>
      <c r="B37" s="10" t="s">
        <v>369</v>
      </c>
      <c r="C37" s="13" t="s">
        <v>198</v>
      </c>
      <c r="D37" s="13" t="s">
        <v>198</v>
      </c>
      <c r="E37" s="13" t="s">
        <v>198</v>
      </c>
      <c r="F37" s="13" t="s">
        <v>198</v>
      </c>
      <c r="G37" s="13" t="s">
        <v>198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 t="s">
        <v>198</v>
      </c>
      <c r="N37" s="13" t="s">
        <v>198</v>
      </c>
      <c r="O37" s="13" t="s">
        <v>198</v>
      </c>
    </row>
    <row r="38" spans="1:15" x14ac:dyDescent="0.25">
      <c r="A38" s="10" t="s">
        <v>370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</row>
    <row r="39" spans="1:15" x14ac:dyDescent="0.25">
      <c r="A39" s="10" t="s">
        <v>371</v>
      </c>
      <c r="B39" s="10" t="s">
        <v>372</v>
      </c>
      <c r="C39" s="13">
        <v>5.4039999999999999</v>
      </c>
      <c r="D39" s="13">
        <v>2.5870000000000002</v>
      </c>
      <c r="E39" s="13">
        <v>0</v>
      </c>
      <c r="F39" s="13">
        <v>0</v>
      </c>
      <c r="G39" s="13">
        <v>4.3040000000000003</v>
      </c>
      <c r="H39" s="13">
        <v>8.1210000000000004</v>
      </c>
      <c r="I39" s="13">
        <v>5.8310000000000004</v>
      </c>
      <c r="J39" s="13">
        <v>6.024</v>
      </c>
      <c r="K39" s="13">
        <v>14.131</v>
      </c>
      <c r="L39" s="13">
        <v>24.667000000000002</v>
      </c>
      <c r="M39" s="13">
        <v>17.984000000000002</v>
      </c>
      <c r="N39" s="13">
        <v>12.69</v>
      </c>
      <c r="O39" s="13">
        <v>7.5590000000000002</v>
      </c>
    </row>
    <row r="40" spans="1:15" x14ac:dyDescent="0.25">
      <c r="A40" s="10" t="s">
        <v>373</v>
      </c>
      <c r="B40" s="10" t="s">
        <v>374</v>
      </c>
      <c r="C40" s="14" t="s">
        <v>198</v>
      </c>
      <c r="D40" s="14" t="s">
        <v>198</v>
      </c>
      <c r="E40" s="14" t="s">
        <v>198</v>
      </c>
      <c r="F40" s="14">
        <v>0</v>
      </c>
      <c r="G40" s="14">
        <v>0.41849999999999998</v>
      </c>
      <c r="H40" s="14">
        <v>0.50800000000000001</v>
      </c>
      <c r="I40" s="14">
        <v>0.30809999999999998</v>
      </c>
      <c r="J40" s="14">
        <v>0.4304</v>
      </c>
      <c r="K40" s="14">
        <v>0.42049999999999998</v>
      </c>
      <c r="L40" s="14">
        <v>0.49130000000000001</v>
      </c>
      <c r="M40" s="14">
        <v>0.39539999999999997</v>
      </c>
      <c r="N40" s="14">
        <v>0.3972</v>
      </c>
      <c r="O40" s="14" t="s">
        <v>198</v>
      </c>
    </row>
    <row r="41" spans="1:15" x14ac:dyDescent="0.25">
      <c r="A41" s="10" t="s">
        <v>375</v>
      </c>
      <c r="B41" s="10" t="s">
        <v>376</v>
      </c>
      <c r="C41" s="14">
        <v>0.43</v>
      </c>
      <c r="D41" s="14">
        <v>0.74</v>
      </c>
      <c r="E41" s="14" t="s">
        <v>198</v>
      </c>
      <c r="F41" s="14">
        <v>0.34</v>
      </c>
      <c r="G41" s="14">
        <v>1.48</v>
      </c>
      <c r="H41" s="14">
        <v>1.1200000000000001</v>
      </c>
      <c r="I41" s="14" t="s">
        <v>198</v>
      </c>
      <c r="J41" s="14">
        <v>1.43</v>
      </c>
      <c r="K41" s="14" t="s">
        <v>198</v>
      </c>
      <c r="L41" s="14">
        <v>1.64</v>
      </c>
      <c r="M41" s="14">
        <v>1.31</v>
      </c>
      <c r="N41" s="14">
        <v>1.1000000000000001</v>
      </c>
      <c r="O41" s="14">
        <v>2.41</v>
      </c>
    </row>
    <row r="42" spans="1:15" x14ac:dyDescent="0.25">
      <c r="A42" s="10" t="s">
        <v>377</v>
      </c>
      <c r="B42" s="10" t="s">
        <v>378</v>
      </c>
      <c r="C42" s="13" t="s">
        <v>198</v>
      </c>
      <c r="D42" s="13">
        <v>3654.0396999999998</v>
      </c>
      <c r="E42" s="13">
        <v>3582.5475999999999</v>
      </c>
      <c r="F42" s="13">
        <v>9390.3670000000002</v>
      </c>
      <c r="G42" s="13">
        <v>3515.1089999999999</v>
      </c>
      <c r="H42" s="13" t="s">
        <v>198</v>
      </c>
      <c r="I42" s="13">
        <v>3588.1264000000001</v>
      </c>
      <c r="J42" s="13">
        <v>3591.1763000000001</v>
      </c>
      <c r="K42" s="13">
        <v>3591.1763000000001</v>
      </c>
      <c r="L42" s="13">
        <v>3591.1763000000001</v>
      </c>
      <c r="M42" s="13">
        <v>3591.1763000000001</v>
      </c>
      <c r="N42" s="13">
        <v>3591.1763000000001</v>
      </c>
      <c r="O42" s="13" t="s">
        <v>198</v>
      </c>
    </row>
    <row r="43" spans="1:15" x14ac:dyDescent="0.25">
      <c r="A43" s="10" t="s">
        <v>379</v>
      </c>
      <c r="B43" s="10" t="s">
        <v>380</v>
      </c>
      <c r="C43" s="14">
        <v>0.43</v>
      </c>
      <c r="D43" s="14">
        <v>0.74</v>
      </c>
      <c r="E43" s="14" t="s">
        <v>198</v>
      </c>
      <c r="F43" s="14">
        <v>0.34</v>
      </c>
      <c r="G43" s="14">
        <v>1.48</v>
      </c>
      <c r="H43" s="14">
        <v>1.1200000000000001</v>
      </c>
      <c r="I43" s="14" t="s">
        <v>198</v>
      </c>
      <c r="J43" s="14">
        <v>1.43</v>
      </c>
      <c r="K43" s="14" t="s">
        <v>198</v>
      </c>
      <c r="L43" s="14">
        <v>1.64</v>
      </c>
      <c r="M43" s="14">
        <v>1.31</v>
      </c>
      <c r="N43" s="14">
        <v>1.1000000000000001</v>
      </c>
      <c r="O43" s="14">
        <v>2.41</v>
      </c>
    </row>
    <row r="44" spans="1:15" x14ac:dyDescent="0.25">
      <c r="A44" s="10" t="s">
        <v>381</v>
      </c>
      <c r="B44" s="10" t="s">
        <v>382</v>
      </c>
      <c r="C44" s="13" t="s">
        <v>198</v>
      </c>
      <c r="D44" s="13" t="s">
        <v>198</v>
      </c>
      <c r="E44" s="13" t="s">
        <v>198</v>
      </c>
      <c r="F44" s="13" t="s">
        <v>198</v>
      </c>
      <c r="G44" s="13" t="s">
        <v>198</v>
      </c>
      <c r="H44" s="13" t="s">
        <v>198</v>
      </c>
      <c r="I44" s="13">
        <v>3588.1264000000001</v>
      </c>
      <c r="J44" s="13">
        <v>3591.1763000000001</v>
      </c>
      <c r="K44" s="13">
        <v>3591.1763000000001</v>
      </c>
      <c r="L44" s="13">
        <v>3591.1763000000001</v>
      </c>
      <c r="M44" s="13">
        <v>3591.1763000000001</v>
      </c>
      <c r="N44" s="13">
        <v>3591.1763000000001</v>
      </c>
      <c r="O44" s="13" t="s">
        <v>198</v>
      </c>
    </row>
    <row r="45" spans="1:15" x14ac:dyDescent="0.25">
      <c r="A45" s="10" t="s">
        <v>383</v>
      </c>
      <c r="B45" s="10" t="s">
        <v>384</v>
      </c>
      <c r="C45" s="13">
        <v>1557.1669999999999</v>
      </c>
      <c r="D45" s="13">
        <v>2638.355</v>
      </c>
      <c r="E45" s="13">
        <v>5308.4530000000004</v>
      </c>
      <c r="F45" s="13">
        <v>3147.748</v>
      </c>
      <c r="G45" s="13">
        <v>5197.4889999999996</v>
      </c>
      <c r="H45" s="13">
        <v>4033</v>
      </c>
      <c r="I45" s="13">
        <v>3717.8530000000001</v>
      </c>
      <c r="J45" s="13">
        <v>5152.0439999999999</v>
      </c>
      <c r="K45" s="13">
        <v>5033.8630000000003</v>
      </c>
      <c r="L45" s="13">
        <v>5880.9620000000004</v>
      </c>
      <c r="M45" s="13">
        <v>4733.7209999999995</v>
      </c>
      <c r="N45" s="13">
        <v>3962.413</v>
      </c>
      <c r="O45" s="13">
        <v>8653.9560000000001</v>
      </c>
    </row>
    <row r="46" spans="1:15" x14ac:dyDescent="0.25">
      <c r="A46" s="6" t="s">
        <v>385</v>
      </c>
      <c r="B46" s="6" t="s">
        <v>386</v>
      </c>
      <c r="C46" s="19">
        <v>1551.7629999999999</v>
      </c>
      <c r="D46" s="19">
        <v>2635.768</v>
      </c>
      <c r="E46" s="19">
        <v>5308.4530000000004</v>
      </c>
      <c r="F46" s="19">
        <v>3147.748</v>
      </c>
      <c r="G46" s="19">
        <v>5193.1850000000004</v>
      </c>
      <c r="H46" s="19">
        <v>4024.8789999999999</v>
      </c>
      <c r="I46" s="19">
        <v>3712.0219999999999</v>
      </c>
      <c r="J46" s="19">
        <v>5146.0200000000004</v>
      </c>
      <c r="K46" s="19">
        <v>5019.732</v>
      </c>
      <c r="L46" s="19">
        <v>5856.2950000000001</v>
      </c>
      <c r="M46" s="19">
        <v>4715.7370000000001</v>
      </c>
      <c r="N46" s="19">
        <v>3949.723</v>
      </c>
      <c r="O46" s="19">
        <v>8646.3970000000008</v>
      </c>
    </row>
    <row r="47" spans="1:15" x14ac:dyDescent="0.25">
      <c r="A47" s="10" t="s">
        <v>387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</row>
    <row r="48" spans="1:15" x14ac:dyDescent="0.25">
      <c r="A48" s="6" t="s">
        <v>388</v>
      </c>
      <c r="B48" s="6" t="s">
        <v>389</v>
      </c>
      <c r="C48" s="19">
        <v>27.338999999999999</v>
      </c>
      <c r="D48" s="19">
        <v>865.2</v>
      </c>
      <c r="E48" s="19">
        <v>1703.277</v>
      </c>
      <c r="F48" s="19">
        <v>2298.5949999999998</v>
      </c>
      <c r="G48" s="19">
        <v>284.33999999999997</v>
      </c>
      <c r="H48" s="19">
        <v>-1040.587</v>
      </c>
      <c r="I48" s="19">
        <v>-1145.931</v>
      </c>
      <c r="J48" s="19">
        <v>1913.777</v>
      </c>
      <c r="K48" s="19">
        <v>249.75</v>
      </c>
      <c r="L48" s="19">
        <v>-4534.5959999999995</v>
      </c>
      <c r="M48" s="19">
        <v>-3790.895</v>
      </c>
      <c r="N48" s="19">
        <v>6628.0230000000001</v>
      </c>
      <c r="O48" s="19">
        <v>-4574.8530000000001</v>
      </c>
    </row>
    <row r="49" spans="1:15" x14ac:dyDescent="0.25">
      <c r="A49" s="6" t="s">
        <v>390</v>
      </c>
      <c r="B49" s="6" t="s">
        <v>391</v>
      </c>
      <c r="C49" s="19" t="s">
        <v>198</v>
      </c>
      <c r="D49" s="19" t="s">
        <v>198</v>
      </c>
      <c r="E49" s="19" t="s">
        <v>198</v>
      </c>
      <c r="F49" s="19" t="s">
        <v>198</v>
      </c>
      <c r="G49" s="19" t="s">
        <v>198</v>
      </c>
      <c r="H49" s="19" t="s">
        <v>198</v>
      </c>
      <c r="I49" s="19" t="s">
        <v>198</v>
      </c>
      <c r="J49" s="19" t="s">
        <v>198</v>
      </c>
      <c r="K49" s="19" t="s">
        <v>198</v>
      </c>
      <c r="L49" s="19" t="s">
        <v>198</v>
      </c>
      <c r="M49" s="19" t="s">
        <v>198</v>
      </c>
      <c r="N49" s="19" t="s">
        <v>198</v>
      </c>
      <c r="O49" s="19">
        <v>32.878999999999998</v>
      </c>
    </row>
    <row r="50" spans="1:15" x14ac:dyDescent="0.25">
      <c r="A50" s="6" t="s">
        <v>392</v>
      </c>
      <c r="B50" s="6" t="s">
        <v>393</v>
      </c>
      <c r="C50" s="19" t="s">
        <v>198</v>
      </c>
      <c r="D50" s="19" t="s">
        <v>198</v>
      </c>
      <c r="E50" s="19" t="s">
        <v>198</v>
      </c>
      <c r="F50" s="19" t="s">
        <v>198</v>
      </c>
      <c r="G50" s="19" t="s">
        <v>198</v>
      </c>
      <c r="H50" s="19">
        <v>72.238</v>
      </c>
      <c r="I50" s="19">
        <v>-20.8</v>
      </c>
      <c r="J50" s="19">
        <v>62.173999999999999</v>
      </c>
      <c r="K50" s="19">
        <v>-39.753999999999998</v>
      </c>
      <c r="L50" s="19">
        <v>27.044</v>
      </c>
      <c r="M50" s="19">
        <v>41.337000000000003</v>
      </c>
      <c r="N50" s="19">
        <v>61.398000000000003</v>
      </c>
      <c r="O50" s="19">
        <v>1288.826</v>
      </c>
    </row>
    <row r="51" spans="1:15" x14ac:dyDescent="0.25">
      <c r="A51" s="6" t="s">
        <v>394</v>
      </c>
      <c r="B51" s="6" t="s">
        <v>395</v>
      </c>
      <c r="C51" s="19">
        <v>1593.3579999999999</v>
      </c>
      <c r="D51" s="19">
        <v>3507.8090000000002</v>
      </c>
      <c r="E51" s="19">
        <v>7017.2060000000001</v>
      </c>
      <c r="F51" s="19">
        <v>5446.3429999999998</v>
      </c>
      <c r="G51" s="19">
        <v>5477.5249999999996</v>
      </c>
      <c r="H51" s="19">
        <v>3056.53</v>
      </c>
      <c r="I51" s="19">
        <v>2545.2910000000002</v>
      </c>
      <c r="J51" s="19">
        <v>7121.9709999999995</v>
      </c>
      <c r="K51" s="19">
        <v>5229.7280000000001</v>
      </c>
      <c r="L51" s="19">
        <v>1348.7429999999999</v>
      </c>
      <c r="M51" s="19">
        <v>966.17899999999997</v>
      </c>
      <c r="N51" s="19">
        <v>10639.144</v>
      </c>
      <c r="O51" s="19">
        <v>5393.2489999999998</v>
      </c>
    </row>
    <row r="52" spans="1:15" x14ac:dyDescent="0.25">
      <c r="A52" s="6" t="s">
        <v>396</v>
      </c>
      <c r="B52" s="6" t="s">
        <v>397</v>
      </c>
      <c r="C52" s="19">
        <v>8.8520000000000003</v>
      </c>
      <c r="D52" s="19">
        <v>4.2539999999999996</v>
      </c>
      <c r="E52" s="19">
        <v>5.476</v>
      </c>
      <c r="F52" s="19" t="s">
        <v>198</v>
      </c>
      <c r="G52" s="19" t="s">
        <v>198</v>
      </c>
      <c r="H52" s="19" t="s">
        <v>198</v>
      </c>
      <c r="I52" s="19" t="s">
        <v>198</v>
      </c>
      <c r="J52" s="19" t="s">
        <v>198</v>
      </c>
      <c r="K52" s="19" t="s">
        <v>198</v>
      </c>
      <c r="L52" s="19" t="s">
        <v>198</v>
      </c>
      <c r="M52" s="19" t="s">
        <v>198</v>
      </c>
      <c r="N52" s="19" t="s">
        <v>198</v>
      </c>
      <c r="O52" s="19" t="s">
        <v>198</v>
      </c>
    </row>
    <row r="53" spans="1:15" x14ac:dyDescent="0.25">
      <c r="A53" s="6" t="s">
        <v>398</v>
      </c>
      <c r="B53" s="6" t="s">
        <v>399</v>
      </c>
      <c r="C53" s="19" t="s">
        <v>198</v>
      </c>
      <c r="D53" s="19" t="s">
        <v>198</v>
      </c>
      <c r="E53" s="19">
        <v>0</v>
      </c>
      <c r="F53" s="19">
        <v>0</v>
      </c>
      <c r="G53" s="19">
        <v>4.3040000000000003</v>
      </c>
      <c r="H53" s="19">
        <v>8.1210000000000004</v>
      </c>
      <c r="I53" s="19">
        <v>5.8310000000000004</v>
      </c>
      <c r="J53" s="19">
        <v>6.024</v>
      </c>
      <c r="K53" s="19">
        <v>14.131</v>
      </c>
      <c r="L53" s="19">
        <v>24.667000000000002</v>
      </c>
      <c r="M53" s="19">
        <v>17.984000000000002</v>
      </c>
      <c r="N53" s="19">
        <v>12.69</v>
      </c>
      <c r="O53" s="19">
        <v>7.5590000000000002</v>
      </c>
    </row>
    <row r="54" spans="1:15" x14ac:dyDescent="0.25">
      <c r="A54" s="6" t="s">
        <v>400</v>
      </c>
      <c r="B54" s="6" t="s">
        <v>401</v>
      </c>
      <c r="C54" s="19" t="s">
        <v>198</v>
      </c>
      <c r="D54" s="19" t="s">
        <v>198</v>
      </c>
      <c r="E54" s="19">
        <v>5308.4530000000004</v>
      </c>
      <c r="F54" s="19">
        <v>3147.748</v>
      </c>
      <c r="G54" s="19">
        <v>5197.4889999999996</v>
      </c>
      <c r="H54" s="19">
        <v>4033</v>
      </c>
      <c r="I54" s="19">
        <v>3717.8530000000001</v>
      </c>
      <c r="J54" s="19">
        <v>5152.0439999999999</v>
      </c>
      <c r="K54" s="19">
        <v>5033.8630000000003</v>
      </c>
      <c r="L54" s="19">
        <v>5880.9620000000004</v>
      </c>
      <c r="M54" s="19">
        <v>4733.7209999999995</v>
      </c>
      <c r="N54" s="19">
        <v>3962.413</v>
      </c>
      <c r="O54" s="19">
        <v>8653.9560000000001</v>
      </c>
    </row>
    <row r="55" spans="1:15" x14ac:dyDescent="0.25">
      <c r="A55" s="6" t="s">
        <v>402</v>
      </c>
      <c r="B55" s="6" t="s">
        <v>403</v>
      </c>
      <c r="C55" s="19">
        <v>36.191000000000003</v>
      </c>
      <c r="D55" s="19">
        <v>869.45399999999995</v>
      </c>
      <c r="E55" s="19">
        <v>1708.7529999999999</v>
      </c>
      <c r="F55" s="19" t="s">
        <v>198</v>
      </c>
      <c r="G55" s="19" t="s">
        <v>198</v>
      </c>
      <c r="H55" s="19" t="s">
        <v>198</v>
      </c>
      <c r="I55" s="19" t="s">
        <v>198</v>
      </c>
      <c r="J55" s="19" t="s">
        <v>198</v>
      </c>
      <c r="K55" s="19" t="s">
        <v>198</v>
      </c>
      <c r="L55" s="19" t="s">
        <v>198</v>
      </c>
      <c r="M55" s="19" t="s">
        <v>198</v>
      </c>
      <c r="N55" s="19" t="s">
        <v>198</v>
      </c>
      <c r="O55" s="19" t="s">
        <v>198</v>
      </c>
    </row>
    <row r="56" spans="1:15" x14ac:dyDescent="0.25">
      <c r="A56" s="6" t="s">
        <v>404</v>
      </c>
      <c r="B56" s="6" t="s">
        <v>405</v>
      </c>
      <c r="C56" s="19" t="s">
        <v>198</v>
      </c>
      <c r="D56" s="19" t="s">
        <v>198</v>
      </c>
      <c r="E56" s="19" t="s">
        <v>198</v>
      </c>
      <c r="F56" s="19" t="s">
        <v>198</v>
      </c>
      <c r="G56" s="19" t="s">
        <v>198</v>
      </c>
      <c r="H56" s="19">
        <v>3064.6509999999998</v>
      </c>
      <c r="I56" s="19">
        <v>2551.1219999999998</v>
      </c>
      <c r="J56" s="19">
        <v>7127.9949999999999</v>
      </c>
      <c r="K56" s="19">
        <v>5243.8590000000004</v>
      </c>
      <c r="L56" s="19">
        <v>1373.41</v>
      </c>
      <c r="M56" s="19">
        <v>984.16300000000001</v>
      </c>
      <c r="N56" s="19">
        <v>10651.834000000001</v>
      </c>
      <c r="O56" s="19">
        <v>5400.808</v>
      </c>
    </row>
    <row r="57" spans="1:15" x14ac:dyDescent="0.25">
      <c r="A57" s="10" t="s">
        <v>406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</row>
    <row r="58" spans="1:15" x14ac:dyDescent="0.25">
      <c r="A58" s="10" t="s">
        <v>319</v>
      </c>
      <c r="B58" s="10" t="s">
        <v>407</v>
      </c>
      <c r="C58" s="13" t="s">
        <v>198</v>
      </c>
      <c r="D58" s="13" t="s">
        <v>198</v>
      </c>
      <c r="E58" s="13">
        <v>7224.2529999999997</v>
      </c>
      <c r="F58" s="13">
        <v>9935.7960000000003</v>
      </c>
      <c r="G58" s="13">
        <v>9836.6749999999993</v>
      </c>
      <c r="H58" s="13">
        <v>11974.906000000001</v>
      </c>
      <c r="I58" s="13">
        <v>14039.147000000001</v>
      </c>
      <c r="J58" s="13">
        <v>16790.114000000001</v>
      </c>
      <c r="K58" s="13">
        <v>18145.221000000001</v>
      </c>
      <c r="L58" s="13">
        <v>20642.306</v>
      </c>
      <c r="M58" s="13">
        <v>21874.48</v>
      </c>
      <c r="N58" s="13">
        <v>20449.998</v>
      </c>
      <c r="O58" s="13" t="s">
        <v>198</v>
      </c>
    </row>
    <row r="59" spans="1:15" x14ac:dyDescent="0.25">
      <c r="A59" s="10" t="s">
        <v>408</v>
      </c>
      <c r="B59" s="10" t="s">
        <v>409</v>
      </c>
      <c r="C59" s="13" t="s">
        <v>198</v>
      </c>
      <c r="D59" s="13" t="s">
        <v>198</v>
      </c>
      <c r="E59" s="13" t="s">
        <v>198</v>
      </c>
      <c r="F59" s="13">
        <v>18.832000000000001</v>
      </c>
      <c r="G59" s="13">
        <v>18.832000000000001</v>
      </c>
      <c r="H59" s="13">
        <v>64.948999999999998</v>
      </c>
      <c r="I59" s="13">
        <v>56.771999999999998</v>
      </c>
      <c r="J59" s="13">
        <v>50.137</v>
      </c>
      <c r="K59" s="13">
        <v>59.686</v>
      </c>
      <c r="L59" s="13">
        <v>55.994</v>
      </c>
      <c r="M59" s="13">
        <v>56.728999999999999</v>
      </c>
      <c r="N59" s="13">
        <v>30.195</v>
      </c>
      <c r="O59" s="13" t="s">
        <v>198</v>
      </c>
    </row>
    <row r="60" spans="1:15" x14ac:dyDescent="0.25">
      <c r="A60" s="10" t="s">
        <v>304</v>
      </c>
      <c r="B60" s="10" t="s">
        <v>410</v>
      </c>
      <c r="C60" s="13" t="s">
        <v>198</v>
      </c>
      <c r="D60" s="13" t="s">
        <v>198</v>
      </c>
      <c r="E60" s="13" t="s">
        <v>198</v>
      </c>
      <c r="F60" s="13">
        <v>416.18299999999999</v>
      </c>
      <c r="G60" s="13">
        <v>416.18299999999999</v>
      </c>
      <c r="H60" s="13">
        <v>465.73899999999998</v>
      </c>
      <c r="I60" s="13">
        <v>628.65300000000002</v>
      </c>
      <c r="J60" s="13">
        <v>665.28</v>
      </c>
      <c r="K60" s="13">
        <v>554.36400000000003</v>
      </c>
      <c r="L60" s="13">
        <v>722.14800000000002</v>
      </c>
      <c r="M60" s="13">
        <v>762.52599999999995</v>
      </c>
      <c r="N60" s="13">
        <v>1036.848</v>
      </c>
      <c r="O60" s="13" t="s">
        <v>198</v>
      </c>
    </row>
    <row r="61" spans="1:15" x14ac:dyDescent="0.25">
      <c r="A61" s="10" t="s">
        <v>411</v>
      </c>
      <c r="B61" s="10" t="s">
        <v>412</v>
      </c>
      <c r="C61" s="13" t="s">
        <v>198</v>
      </c>
      <c r="D61" s="13" t="s">
        <v>198</v>
      </c>
      <c r="E61" s="13">
        <v>244.12899999999999</v>
      </c>
      <c r="F61" s="13" t="s">
        <v>198</v>
      </c>
      <c r="G61" s="13" t="s">
        <v>198</v>
      </c>
      <c r="H61" s="13">
        <v>530.68799999999999</v>
      </c>
      <c r="I61" s="13">
        <v>685.42499999999995</v>
      </c>
      <c r="J61" s="13">
        <v>715.41700000000003</v>
      </c>
      <c r="K61" s="13">
        <v>614.04999999999995</v>
      </c>
      <c r="L61" s="13">
        <v>778.14200000000005</v>
      </c>
      <c r="M61" s="13">
        <v>6011.5460000000003</v>
      </c>
      <c r="N61" s="13">
        <v>1067.0429999999999</v>
      </c>
      <c r="O61" s="13">
        <v>1349.4760000000001</v>
      </c>
    </row>
    <row r="62" spans="1:15" x14ac:dyDescent="0.25">
      <c r="A62" s="10" t="s">
        <v>346</v>
      </c>
      <c r="B62" s="10" t="s">
        <v>413</v>
      </c>
      <c r="C62" s="13" t="s">
        <v>198</v>
      </c>
      <c r="D62" s="13" t="s">
        <v>198</v>
      </c>
      <c r="E62" s="13" t="s">
        <v>198</v>
      </c>
      <c r="F62" s="13" t="s">
        <v>198</v>
      </c>
      <c r="G62" s="13" t="s">
        <v>198</v>
      </c>
      <c r="H62" s="13" t="s">
        <v>198</v>
      </c>
      <c r="I62" s="13" t="s">
        <v>198</v>
      </c>
      <c r="J62" s="13">
        <v>-58.997</v>
      </c>
      <c r="K62" s="13">
        <v>-234.44</v>
      </c>
      <c r="L62" s="13">
        <v>-86.885000000000005</v>
      </c>
      <c r="M62" s="13">
        <v>-818.077</v>
      </c>
      <c r="N62" s="13">
        <v>1596.9860000000001</v>
      </c>
      <c r="O62" s="13" t="s">
        <v>198</v>
      </c>
    </row>
    <row r="63" spans="1:15" x14ac:dyDescent="0.25">
      <c r="A63" s="10" t="s">
        <v>414</v>
      </c>
      <c r="B63" s="10" t="s">
        <v>415</v>
      </c>
      <c r="C63" s="13">
        <v>-3.403</v>
      </c>
      <c r="D63" s="13">
        <v>-13.162000000000001</v>
      </c>
      <c r="E63" s="13">
        <v>10.564</v>
      </c>
      <c r="F63" s="13">
        <v>17.12</v>
      </c>
      <c r="G63" s="13">
        <v>11.811</v>
      </c>
      <c r="H63" s="13">
        <v>56.747</v>
      </c>
      <c r="I63" s="13">
        <v>94.625</v>
      </c>
      <c r="J63" s="13">
        <v>54.929000000000002</v>
      </c>
      <c r="K63" s="13">
        <v>7.65</v>
      </c>
      <c r="L63" s="13">
        <v>68.483999999999995</v>
      </c>
      <c r="M63" s="13" t="s">
        <v>198</v>
      </c>
      <c r="N63" s="13">
        <v>184.06200000000001</v>
      </c>
      <c r="O63" s="13">
        <v>68.438000000000002</v>
      </c>
    </row>
    <row r="64" spans="1:15" x14ac:dyDescent="0.25">
      <c r="A64" s="10" t="s">
        <v>416</v>
      </c>
      <c r="B64" s="10" t="s">
        <v>417</v>
      </c>
      <c r="C64" s="13" t="s">
        <v>198</v>
      </c>
      <c r="D64" s="13" t="s">
        <v>198</v>
      </c>
      <c r="E64" s="13" t="s">
        <v>198</v>
      </c>
      <c r="F64" s="13" t="s">
        <v>198</v>
      </c>
      <c r="G64" s="13" t="s">
        <v>198</v>
      </c>
      <c r="H64" s="13" t="s">
        <v>198</v>
      </c>
      <c r="I64" s="13" t="s">
        <v>198</v>
      </c>
      <c r="J64" s="13" t="s">
        <v>198</v>
      </c>
      <c r="K64" s="13">
        <v>0</v>
      </c>
      <c r="L64" s="13" t="s">
        <v>198</v>
      </c>
      <c r="M64" s="13" t="s">
        <v>198</v>
      </c>
      <c r="N64" s="13" t="s">
        <v>198</v>
      </c>
      <c r="O64" s="13" t="s">
        <v>198</v>
      </c>
    </row>
    <row r="65" spans="1:15" x14ac:dyDescent="0.25">
      <c r="A65" s="10" t="s">
        <v>350</v>
      </c>
      <c r="B65" s="10" t="s">
        <v>418</v>
      </c>
      <c r="C65" s="13">
        <v>995.346</v>
      </c>
      <c r="D65" s="13">
        <v>1153.33</v>
      </c>
      <c r="E65" s="13">
        <v>2310.2689999999998</v>
      </c>
      <c r="F65" s="13">
        <v>1540.4469999999999</v>
      </c>
      <c r="G65" s="13">
        <v>757.75199999999995</v>
      </c>
      <c r="H65" s="13">
        <v>1113.4739999999999</v>
      </c>
      <c r="I65" s="13">
        <v>1429.518</v>
      </c>
      <c r="J65" s="13">
        <v>1702.162</v>
      </c>
      <c r="K65" s="13">
        <v>1873.7429999999999</v>
      </c>
      <c r="L65" s="13">
        <v>2350.261</v>
      </c>
      <c r="M65" s="13">
        <v>1454.15</v>
      </c>
      <c r="N65" s="13">
        <v>1260.769</v>
      </c>
      <c r="O65" s="13">
        <v>3205.241</v>
      </c>
    </row>
    <row r="66" spans="1:15" x14ac:dyDescent="0.25">
      <c r="A66" s="10" t="s">
        <v>323</v>
      </c>
      <c r="B66" s="10" t="s">
        <v>419</v>
      </c>
      <c r="C66" s="13">
        <v>1047.5</v>
      </c>
      <c r="D66" s="13">
        <v>1002.751</v>
      </c>
      <c r="E66" s="13">
        <v>1083.8009999999999</v>
      </c>
      <c r="F66" s="13" t="s">
        <v>198</v>
      </c>
      <c r="G66" s="13" t="s">
        <v>198</v>
      </c>
      <c r="H66" s="13" t="s">
        <v>198</v>
      </c>
      <c r="I66" s="13" t="s">
        <v>198</v>
      </c>
      <c r="J66" s="13" t="s">
        <v>198</v>
      </c>
      <c r="K66" s="13" t="s">
        <v>198</v>
      </c>
      <c r="L66" s="13" t="s">
        <v>198</v>
      </c>
      <c r="M66" s="13" t="s">
        <v>198</v>
      </c>
      <c r="N66" s="13" t="s">
        <v>198</v>
      </c>
      <c r="O66" s="13" t="s">
        <v>198</v>
      </c>
    </row>
    <row r="67" spans="1:15" x14ac:dyDescent="0.25">
      <c r="A67" s="10" t="s">
        <v>420</v>
      </c>
      <c r="B67" s="10" t="s">
        <v>421</v>
      </c>
      <c r="C67" s="13">
        <v>739.97699999999998</v>
      </c>
      <c r="D67" s="13">
        <v>648.79300000000001</v>
      </c>
      <c r="E67" s="13">
        <v>1168.2329999999999</v>
      </c>
      <c r="F67" s="13">
        <v>1397.2380000000001</v>
      </c>
      <c r="G67" s="13">
        <v>1408.864</v>
      </c>
      <c r="H67" s="13">
        <v>1283.27</v>
      </c>
      <c r="I67" s="13">
        <v>1483.413</v>
      </c>
      <c r="J67" s="13">
        <v>1759.923</v>
      </c>
      <c r="K67" s="13">
        <v>1785.213</v>
      </c>
      <c r="L67" s="13">
        <v>1199.297</v>
      </c>
      <c r="M67" s="13">
        <v>1217.425</v>
      </c>
      <c r="N67" s="13">
        <v>1289.2550000000001</v>
      </c>
      <c r="O67" s="13" t="s">
        <v>198</v>
      </c>
    </row>
    <row r="68" spans="1:15" x14ac:dyDescent="0.25">
      <c r="A68" s="10" t="s">
        <v>422</v>
      </c>
      <c r="B68" s="10" t="s">
        <v>423</v>
      </c>
      <c r="C68" s="13">
        <v>750.38599999999997</v>
      </c>
      <c r="D68" s="13">
        <v>765.78399999999999</v>
      </c>
      <c r="E68" s="13">
        <v>1319.2329999999999</v>
      </c>
      <c r="F68" s="13">
        <v>1492.165</v>
      </c>
      <c r="G68" s="13">
        <v>1508.7739999999999</v>
      </c>
      <c r="H68" s="13">
        <v>1553.068</v>
      </c>
      <c r="I68" s="13">
        <v>1734.3520000000001</v>
      </c>
      <c r="J68" s="13">
        <v>1994.732</v>
      </c>
      <c r="K68" s="13">
        <v>2219.9029999999998</v>
      </c>
      <c r="L68" s="13">
        <v>1676.7049999999999</v>
      </c>
      <c r="M68" s="13">
        <v>1759.086</v>
      </c>
      <c r="N68" s="13">
        <v>1929.393</v>
      </c>
      <c r="O68" s="13" t="s">
        <v>198</v>
      </c>
    </row>
    <row r="69" spans="1:15" x14ac:dyDescent="0.25">
      <c r="A69" s="10" t="s">
        <v>375</v>
      </c>
      <c r="B69" s="10" t="s">
        <v>424</v>
      </c>
      <c r="C69" s="14" t="s">
        <v>198</v>
      </c>
      <c r="D69" s="14" t="s">
        <v>198</v>
      </c>
      <c r="E69" s="14" t="s">
        <v>198</v>
      </c>
      <c r="F69" s="14">
        <v>0.34</v>
      </c>
      <c r="G69" s="14">
        <v>1.48</v>
      </c>
      <c r="H69" s="14" t="s">
        <v>198</v>
      </c>
      <c r="I69" s="14" t="s">
        <v>198</v>
      </c>
      <c r="J69" s="14" t="s">
        <v>198</v>
      </c>
      <c r="K69" s="14" t="s">
        <v>198</v>
      </c>
      <c r="L69" s="14" t="s">
        <v>198</v>
      </c>
      <c r="M69" s="14" t="s">
        <v>198</v>
      </c>
      <c r="N69" s="14" t="s">
        <v>198</v>
      </c>
      <c r="O69" s="14" t="s">
        <v>198</v>
      </c>
    </row>
    <row r="70" spans="1:15" x14ac:dyDescent="0.25">
      <c r="A70" s="10" t="s">
        <v>377</v>
      </c>
      <c r="B70" s="10" t="s">
        <v>425</v>
      </c>
      <c r="C70" s="13" t="s">
        <v>198</v>
      </c>
      <c r="D70" s="13" t="s">
        <v>198</v>
      </c>
      <c r="E70" s="13" t="s">
        <v>198</v>
      </c>
      <c r="F70" s="13">
        <v>9390.3670000000002</v>
      </c>
      <c r="G70" s="13">
        <v>3515.1089999999999</v>
      </c>
      <c r="H70" s="13">
        <v>3582.9106999999999</v>
      </c>
      <c r="I70" s="13">
        <v>3588.1264000000001</v>
      </c>
      <c r="J70" s="13">
        <v>3591.1763000000001</v>
      </c>
      <c r="K70" s="13">
        <v>3591.1763000000001</v>
      </c>
      <c r="L70" s="13">
        <v>3591.1763000000001</v>
      </c>
      <c r="M70" s="13">
        <v>3591.1763000000001</v>
      </c>
      <c r="N70" s="13">
        <v>3591.1763000000001</v>
      </c>
      <c r="O70" s="13">
        <v>3591.1763000000001</v>
      </c>
    </row>
    <row r="71" spans="1:15" x14ac:dyDescent="0.25">
      <c r="A71" s="10" t="s">
        <v>381</v>
      </c>
      <c r="B71" s="10" t="s">
        <v>426</v>
      </c>
      <c r="C71" s="13" t="s">
        <v>198</v>
      </c>
      <c r="D71" s="13" t="s">
        <v>198</v>
      </c>
      <c r="E71" s="13" t="s">
        <v>198</v>
      </c>
      <c r="F71" s="13" t="s">
        <v>198</v>
      </c>
      <c r="G71" s="13" t="s">
        <v>198</v>
      </c>
      <c r="H71" s="13">
        <v>3582.9106999999999</v>
      </c>
      <c r="I71" s="13">
        <v>3588.1264000000001</v>
      </c>
      <c r="J71" s="13">
        <v>3591.1763000000001</v>
      </c>
      <c r="K71" s="13">
        <v>3591.1763000000001</v>
      </c>
      <c r="L71" s="13">
        <v>3591.1763000000001</v>
      </c>
      <c r="M71" s="13">
        <v>3591.1763000000001</v>
      </c>
      <c r="N71" s="13">
        <v>3591.1763000000001</v>
      </c>
      <c r="O71" s="13">
        <v>3591.1763000000001</v>
      </c>
    </row>
    <row r="72" spans="1:15" x14ac:dyDescent="0.25">
      <c r="A72" s="10" t="s">
        <v>427</v>
      </c>
      <c r="B72" s="10" t="s">
        <v>428</v>
      </c>
      <c r="C72" s="13" t="s">
        <v>198</v>
      </c>
      <c r="D72" s="13" t="s">
        <v>198</v>
      </c>
      <c r="E72" s="13">
        <v>-99.855999999999995</v>
      </c>
      <c r="F72" s="13">
        <v>44.843000000000004</v>
      </c>
      <c r="G72" s="13">
        <v>5.33</v>
      </c>
      <c r="H72" s="13" t="s">
        <v>198</v>
      </c>
      <c r="I72" s="13" t="s">
        <v>198</v>
      </c>
      <c r="J72" s="13" t="s">
        <v>198</v>
      </c>
      <c r="K72" s="13" t="s">
        <v>198</v>
      </c>
      <c r="L72" s="13" t="s">
        <v>198</v>
      </c>
      <c r="M72" s="13" t="s">
        <v>198</v>
      </c>
      <c r="N72" s="13" t="s">
        <v>198</v>
      </c>
      <c r="O72" s="13" t="s">
        <v>198</v>
      </c>
    </row>
    <row r="73" spans="1:15" x14ac:dyDescent="0.25">
      <c r="A73" s="10" t="s">
        <v>429</v>
      </c>
      <c r="B73" s="10" t="s">
        <v>430</v>
      </c>
      <c r="C73" s="13">
        <v>37.851999999999997</v>
      </c>
      <c r="D73" s="13">
        <v>29.225000000000001</v>
      </c>
      <c r="E73" s="13">
        <v>51.866999999999997</v>
      </c>
      <c r="F73" s="13">
        <v>47.128999999999998</v>
      </c>
      <c r="G73" s="13">
        <v>22.571000000000002</v>
      </c>
      <c r="H73" s="13">
        <v>44.819000000000003</v>
      </c>
      <c r="I73" s="13">
        <v>38.268000000000001</v>
      </c>
      <c r="J73" s="13">
        <v>52.655000000000001</v>
      </c>
      <c r="K73" s="13">
        <v>63.414999999999999</v>
      </c>
      <c r="L73" s="13">
        <v>53.685000000000002</v>
      </c>
      <c r="M73" s="13">
        <v>35.47</v>
      </c>
      <c r="N73" s="13">
        <v>59.152999999999999</v>
      </c>
      <c r="O73" s="13" t="s">
        <v>198</v>
      </c>
    </row>
    <row r="74" spans="1:15" x14ac:dyDescent="0.25">
      <c r="A74" s="10" t="s">
        <v>431</v>
      </c>
      <c r="B74" s="10" t="s">
        <v>432</v>
      </c>
      <c r="C74" s="14">
        <v>7.5</v>
      </c>
      <c r="D74" s="14">
        <v>7.5</v>
      </c>
      <c r="E74" s="14">
        <v>6.9</v>
      </c>
      <c r="F74" s="14">
        <v>7.56</v>
      </c>
      <c r="G74" s="14">
        <v>7.24</v>
      </c>
      <c r="H74" s="14">
        <v>9.92</v>
      </c>
      <c r="I74" s="14">
        <v>7.45</v>
      </c>
      <c r="J74" s="14">
        <v>6.96</v>
      </c>
      <c r="K74" s="14">
        <v>7.96</v>
      </c>
      <c r="L74" s="14">
        <v>9.35</v>
      </c>
      <c r="M74" s="14">
        <v>9.65</v>
      </c>
      <c r="N74" s="14">
        <v>10.18</v>
      </c>
      <c r="O74" s="14" t="s">
        <v>198</v>
      </c>
    </row>
    <row r="75" spans="1:15" x14ac:dyDescent="0.25">
      <c r="A75" s="10" t="s">
        <v>433</v>
      </c>
      <c r="B75" s="10" t="s">
        <v>434</v>
      </c>
      <c r="C75" s="14">
        <v>4.5</v>
      </c>
      <c r="D75" s="14">
        <v>4.5</v>
      </c>
      <c r="E75" s="14">
        <v>4.5</v>
      </c>
      <c r="F75" s="14">
        <v>4.5</v>
      </c>
      <c r="G75" s="14">
        <v>4.49</v>
      </c>
      <c r="H75" s="14">
        <v>4.63</v>
      </c>
      <c r="I75" s="14">
        <v>4.63</v>
      </c>
      <c r="J75" s="14">
        <v>4.5</v>
      </c>
      <c r="K75" s="14">
        <v>4.5</v>
      </c>
      <c r="L75" s="14">
        <v>4.5</v>
      </c>
      <c r="M75" s="14">
        <v>4.75</v>
      </c>
      <c r="N75" s="14">
        <v>4.7300000000000004</v>
      </c>
      <c r="O75" s="14" t="s">
        <v>198</v>
      </c>
    </row>
    <row r="76" spans="1:15" x14ac:dyDescent="0.25">
      <c r="A76" s="10" t="s">
        <v>435</v>
      </c>
      <c r="B76" s="10" t="s">
        <v>436</v>
      </c>
      <c r="C76" s="13">
        <v>52.087000000000003</v>
      </c>
      <c r="D76" s="13">
        <v>62.875</v>
      </c>
      <c r="E76" s="13">
        <v>93.55</v>
      </c>
      <c r="F76" s="13">
        <v>174.24299999999999</v>
      </c>
      <c r="G76" s="13">
        <v>83.775000000000006</v>
      </c>
      <c r="H76" s="13">
        <v>75.039000000000001</v>
      </c>
      <c r="I76" s="13">
        <v>90.051000000000002</v>
      </c>
      <c r="J76" s="13">
        <v>74.212999999999994</v>
      </c>
      <c r="K76" s="13">
        <v>67.22</v>
      </c>
      <c r="L76" s="13">
        <v>83.215999999999994</v>
      </c>
      <c r="M76" s="13">
        <v>189.24799999999999</v>
      </c>
      <c r="N76" s="13">
        <v>67.183000000000007</v>
      </c>
      <c r="O76" s="13" t="s">
        <v>198</v>
      </c>
    </row>
    <row r="77" spans="1:15" x14ac:dyDescent="0.25">
      <c r="A77" s="10" t="s">
        <v>302</v>
      </c>
      <c r="B77" s="10" t="s">
        <v>437</v>
      </c>
      <c r="C77" s="13">
        <v>8204.1790000000001</v>
      </c>
      <c r="D77" s="13">
        <v>10696.334000000001</v>
      </c>
      <c r="E77" s="13">
        <v>14059.852000000001</v>
      </c>
      <c r="F77" s="13" t="s">
        <v>198</v>
      </c>
      <c r="G77" s="13" t="s">
        <v>198</v>
      </c>
      <c r="H77" s="13" t="s">
        <v>198</v>
      </c>
      <c r="I77" s="13" t="s">
        <v>198</v>
      </c>
      <c r="J77" s="13">
        <v>28431.679</v>
      </c>
      <c r="K77" s="13">
        <v>31185.15</v>
      </c>
      <c r="L77" s="13">
        <v>34806.184000000001</v>
      </c>
      <c r="M77" s="13">
        <v>32541.234</v>
      </c>
      <c r="N77" s="13">
        <v>32891.334999999999</v>
      </c>
      <c r="O77" s="13">
        <v>32134.241000000002</v>
      </c>
    </row>
    <row r="78" spans="1:15" x14ac:dyDescent="0.25">
      <c r="A78" s="10" t="s">
        <v>1</v>
      </c>
      <c r="B78" s="10" t="s">
        <v>438</v>
      </c>
      <c r="C78" s="13">
        <v>12304.984</v>
      </c>
      <c r="D78" s="13">
        <v>15313.797</v>
      </c>
      <c r="E78" s="13">
        <v>18474.841</v>
      </c>
      <c r="F78" s="13" t="s">
        <v>198</v>
      </c>
      <c r="G78" s="13" t="s">
        <v>198</v>
      </c>
      <c r="H78" s="13">
        <v>28158.21</v>
      </c>
      <c r="I78" s="13">
        <v>29704.780999999999</v>
      </c>
      <c r="J78" s="13">
        <v>35036.139000000003</v>
      </c>
      <c r="K78" s="13">
        <v>39419.4</v>
      </c>
      <c r="L78" s="13">
        <v>45729.491999999998</v>
      </c>
      <c r="M78" s="13">
        <v>44354.593999999997</v>
      </c>
      <c r="N78" s="13">
        <v>43961.508000000002</v>
      </c>
      <c r="O78" s="13">
        <v>43087.368999999999</v>
      </c>
    </row>
    <row r="79" spans="1:15" x14ac:dyDescent="0.25">
      <c r="A79" s="10" t="s">
        <v>439</v>
      </c>
      <c r="B79" s="10" t="s">
        <v>440</v>
      </c>
      <c r="C79" s="13" t="s">
        <v>198</v>
      </c>
      <c r="D79" s="13" t="s">
        <v>198</v>
      </c>
      <c r="E79" s="13" t="s">
        <v>198</v>
      </c>
      <c r="F79" s="13" t="s">
        <v>198</v>
      </c>
      <c r="G79" s="13" t="s">
        <v>198</v>
      </c>
      <c r="H79" s="13">
        <v>28158.21</v>
      </c>
      <c r="I79" s="13">
        <v>29704.780999999999</v>
      </c>
      <c r="J79" s="13">
        <v>35036.139000000003</v>
      </c>
      <c r="K79" s="13">
        <v>39419.4</v>
      </c>
      <c r="L79" s="13">
        <v>45729.491999999998</v>
      </c>
      <c r="M79" s="13">
        <v>44354.593999999997</v>
      </c>
      <c r="N79" s="13">
        <v>43961.508000000002</v>
      </c>
      <c r="O79" s="13">
        <v>43087.368999999999</v>
      </c>
    </row>
    <row r="80" spans="1:15" x14ac:dyDescent="0.25">
      <c r="A80" s="10" t="s">
        <v>441</v>
      </c>
      <c r="B80" s="10" t="s">
        <v>442</v>
      </c>
      <c r="C80" s="13">
        <v>5151.5559999999996</v>
      </c>
      <c r="D80" s="13">
        <v>6000.808</v>
      </c>
      <c r="E80" s="13">
        <v>6807.53</v>
      </c>
      <c r="F80" s="13">
        <v>9017.2000000000007</v>
      </c>
      <c r="G80" s="13">
        <v>8927.4369999999999</v>
      </c>
      <c r="H80" s="13" t="s">
        <v>198</v>
      </c>
      <c r="I80" s="13" t="s">
        <v>198</v>
      </c>
      <c r="J80" s="13" t="s">
        <v>198</v>
      </c>
      <c r="K80" s="13" t="s">
        <v>198</v>
      </c>
      <c r="L80" s="13" t="s">
        <v>198</v>
      </c>
      <c r="M80" s="13" t="s">
        <v>198</v>
      </c>
      <c r="N80" s="13" t="s">
        <v>198</v>
      </c>
      <c r="O80" s="13" t="s">
        <v>198</v>
      </c>
    </row>
    <row r="81" spans="1:15" x14ac:dyDescent="0.25">
      <c r="A81" s="10" t="s">
        <v>354</v>
      </c>
      <c r="B81" s="10" t="s">
        <v>443</v>
      </c>
      <c r="C81" s="13" t="s">
        <v>198</v>
      </c>
      <c r="D81" s="13" t="s">
        <v>198</v>
      </c>
      <c r="E81" s="13">
        <v>1936.0219999999999</v>
      </c>
      <c r="F81" s="13">
        <v>1284.9880000000001</v>
      </c>
      <c r="G81" s="13">
        <v>1669.6289999999999</v>
      </c>
      <c r="H81" s="13">
        <v>782.18</v>
      </c>
      <c r="I81" s="13">
        <v>796.39</v>
      </c>
      <c r="J81" s="13">
        <v>1152.06</v>
      </c>
      <c r="K81" s="13">
        <v>3531.5079999999998</v>
      </c>
      <c r="L81" s="13">
        <v>2425.6930000000002</v>
      </c>
      <c r="M81" s="13">
        <v>2353.8420000000001</v>
      </c>
      <c r="N81" s="13">
        <v>1719.4580000000001</v>
      </c>
      <c r="O81" s="13">
        <v>2466.634</v>
      </c>
    </row>
    <row r="82" spans="1:15" x14ac:dyDescent="0.25">
      <c r="A82" s="10" t="s">
        <v>356</v>
      </c>
      <c r="B82" s="10" t="s">
        <v>444</v>
      </c>
      <c r="C82" s="13" t="s">
        <v>198</v>
      </c>
      <c r="D82" s="13" t="s">
        <v>198</v>
      </c>
      <c r="E82" s="13">
        <v>374.24700000000001</v>
      </c>
      <c r="F82" s="13">
        <v>255.459</v>
      </c>
      <c r="G82" s="13">
        <v>-911.87699999999995</v>
      </c>
      <c r="H82" s="13">
        <v>331.29399999999998</v>
      </c>
      <c r="I82" s="13">
        <v>633.12800000000004</v>
      </c>
      <c r="J82" s="13">
        <v>550.10199999999998</v>
      </c>
      <c r="K82" s="13">
        <v>-1657.7650000000001</v>
      </c>
      <c r="L82" s="13">
        <v>-75.432000000000002</v>
      </c>
      <c r="M82" s="13">
        <v>-899.69200000000001</v>
      </c>
      <c r="N82" s="13">
        <v>-458.68900000000002</v>
      </c>
      <c r="O82" s="13">
        <v>738.60699999999997</v>
      </c>
    </row>
    <row r="83" spans="1:15" x14ac:dyDescent="0.25">
      <c r="A83" s="10" t="s">
        <v>445</v>
      </c>
      <c r="B83" s="10" t="s">
        <v>446</v>
      </c>
      <c r="C83" s="13">
        <v>135.99799999999999</v>
      </c>
      <c r="D83" s="13">
        <v>207.26300000000001</v>
      </c>
      <c r="E83" s="13">
        <v>365.51799999999997</v>
      </c>
      <c r="F83" s="13">
        <v>688.06700000000001</v>
      </c>
      <c r="G83" s="13">
        <v>659.90300000000002</v>
      </c>
      <c r="H83" s="13" t="s">
        <v>198</v>
      </c>
      <c r="I83" s="13" t="s">
        <v>198</v>
      </c>
      <c r="J83" s="13" t="s">
        <v>198</v>
      </c>
      <c r="K83" s="13" t="s">
        <v>198</v>
      </c>
      <c r="L83" s="13" t="s">
        <v>198</v>
      </c>
      <c r="M83" s="13" t="s">
        <v>198</v>
      </c>
      <c r="N83" s="13" t="s">
        <v>198</v>
      </c>
      <c r="O83" s="13" t="s">
        <v>198</v>
      </c>
    </row>
    <row r="84" spans="1:15" x14ac:dyDescent="0.25">
      <c r="A84" s="10" t="s">
        <v>327</v>
      </c>
      <c r="B84" s="10" t="s">
        <v>447</v>
      </c>
      <c r="C84" s="13">
        <v>6.5410000000000004</v>
      </c>
      <c r="D84" s="13">
        <v>75.878</v>
      </c>
      <c r="E84" s="13">
        <v>104.279</v>
      </c>
      <c r="F84" s="13" t="s">
        <v>198</v>
      </c>
      <c r="G84" s="13" t="s">
        <v>198</v>
      </c>
      <c r="H84" s="13" t="s">
        <v>198</v>
      </c>
      <c r="I84" s="13" t="s">
        <v>198</v>
      </c>
      <c r="J84" s="13" t="s">
        <v>198</v>
      </c>
      <c r="K84" s="13" t="s">
        <v>198</v>
      </c>
      <c r="L84" s="13" t="s">
        <v>198</v>
      </c>
      <c r="M84" s="13">
        <v>78.034999999999997</v>
      </c>
      <c r="N84" s="13">
        <v>8.657</v>
      </c>
      <c r="O84" s="13" t="s">
        <v>198</v>
      </c>
    </row>
    <row r="85" spans="1:15" x14ac:dyDescent="0.25">
      <c r="A85" s="10" t="s">
        <v>448</v>
      </c>
      <c r="B85" s="10" t="s">
        <v>449</v>
      </c>
      <c r="C85" s="13">
        <v>-27.451000000000001</v>
      </c>
      <c r="D85" s="13">
        <v>-66.078999999999994</v>
      </c>
      <c r="E85" s="13">
        <v>8.8710000000000004</v>
      </c>
      <c r="F85" s="13">
        <v>143.07300000000001</v>
      </c>
      <c r="G85" s="13">
        <v>-18.382999999999999</v>
      </c>
      <c r="H85" s="13">
        <v>-228.52600000000001</v>
      </c>
      <c r="I85" s="13">
        <v>295.83699999999999</v>
      </c>
      <c r="J85" s="13">
        <v>237.953</v>
      </c>
      <c r="K85" s="13">
        <v>71.171999999999997</v>
      </c>
      <c r="L85" s="13">
        <v>-819.25599999999997</v>
      </c>
      <c r="M85" s="13">
        <v>24.129000000000001</v>
      </c>
      <c r="N85" s="13">
        <v>-197.995</v>
      </c>
      <c r="O85" s="13" t="s">
        <v>198</v>
      </c>
    </row>
    <row r="86" spans="1:15" x14ac:dyDescent="0.25">
      <c r="A86" s="10" t="s">
        <v>450</v>
      </c>
      <c r="B86" s="10" t="s">
        <v>451</v>
      </c>
      <c r="C86" s="13" t="s">
        <v>198</v>
      </c>
      <c r="D86" s="13">
        <v>-122.636</v>
      </c>
      <c r="E86" s="13">
        <v>0</v>
      </c>
      <c r="F86" s="13">
        <v>-2.286</v>
      </c>
      <c r="G86" s="13">
        <v>-5.0979999999999999</v>
      </c>
      <c r="H86" s="13">
        <v>0</v>
      </c>
      <c r="I86" s="13">
        <v>11.750999999999999</v>
      </c>
      <c r="J86" s="13">
        <v>-1.637</v>
      </c>
      <c r="K86" s="13">
        <v>0.30399999999999999</v>
      </c>
      <c r="L86" s="13">
        <v>9.1539999999999999</v>
      </c>
      <c r="M86" s="13">
        <v>-1.7949999999999999</v>
      </c>
      <c r="N86" s="13">
        <v>-12.02</v>
      </c>
      <c r="O86" s="13" t="s">
        <v>198</v>
      </c>
    </row>
    <row r="87" spans="1:15" x14ac:dyDescent="0.25">
      <c r="A87" s="10" t="s">
        <v>452</v>
      </c>
      <c r="B87" s="10" t="s">
        <v>453</v>
      </c>
      <c r="C87" s="14">
        <v>1</v>
      </c>
      <c r="D87" s="14">
        <v>1</v>
      </c>
      <c r="E87" s="14">
        <v>1</v>
      </c>
      <c r="F87" s="14">
        <v>1</v>
      </c>
      <c r="G87" s="14">
        <v>1</v>
      </c>
      <c r="H87" s="14" t="s">
        <v>198</v>
      </c>
      <c r="I87" s="14" t="s">
        <v>198</v>
      </c>
      <c r="J87" s="14" t="s">
        <v>198</v>
      </c>
      <c r="K87" s="14" t="s">
        <v>198</v>
      </c>
      <c r="L87" s="14" t="s">
        <v>198</v>
      </c>
      <c r="M87" s="14" t="s">
        <v>198</v>
      </c>
      <c r="N87" s="14" t="s">
        <v>198</v>
      </c>
      <c r="O87" s="14" t="s">
        <v>198</v>
      </c>
    </row>
    <row r="88" spans="1:15" x14ac:dyDescent="0.25">
      <c r="A88" s="10" t="s">
        <v>454</v>
      </c>
      <c r="B88" s="10" t="s">
        <v>455</v>
      </c>
      <c r="C88" s="14">
        <v>39</v>
      </c>
      <c r="D88" s="14">
        <v>30</v>
      </c>
      <c r="E88" s="14">
        <v>31</v>
      </c>
      <c r="F88" s="14">
        <v>33</v>
      </c>
      <c r="G88" s="14">
        <v>13</v>
      </c>
      <c r="H88" s="14">
        <v>22</v>
      </c>
      <c r="I88" s="14">
        <v>28</v>
      </c>
      <c r="J88" s="14">
        <v>25</v>
      </c>
      <c r="K88" s="14">
        <v>27</v>
      </c>
      <c r="L88" s="14">
        <v>29</v>
      </c>
      <c r="M88" s="14">
        <v>24</v>
      </c>
      <c r="N88" s="14">
        <v>24</v>
      </c>
      <c r="O88" s="14" t="s">
        <v>198</v>
      </c>
    </row>
    <row r="89" spans="1:15" x14ac:dyDescent="0.25">
      <c r="A89" s="10" t="s">
        <v>456</v>
      </c>
      <c r="B89" s="10" t="s">
        <v>457</v>
      </c>
      <c r="C89" s="13">
        <v>40.823999999999998</v>
      </c>
      <c r="D89" s="13" t="s">
        <v>198</v>
      </c>
      <c r="E89" s="13">
        <v>191.62799999999999</v>
      </c>
      <c r="F89" s="13">
        <v>86.111000000000004</v>
      </c>
      <c r="G89" s="13">
        <v>0</v>
      </c>
      <c r="H89" s="13">
        <v>34.249000000000002</v>
      </c>
      <c r="I89" s="13">
        <v>45.78</v>
      </c>
      <c r="J89" s="13">
        <v>37.462000000000003</v>
      </c>
      <c r="K89" s="13">
        <v>39.106000000000002</v>
      </c>
      <c r="L89" s="13">
        <v>31.914000000000001</v>
      </c>
      <c r="M89" s="13">
        <v>19.276</v>
      </c>
      <c r="N89" s="13">
        <v>3.1139999999999999</v>
      </c>
      <c r="O89" s="13" t="s">
        <v>198</v>
      </c>
    </row>
    <row r="90" spans="1:15" x14ac:dyDescent="0.25">
      <c r="A90" s="10" t="s">
        <v>458</v>
      </c>
      <c r="B90" s="10" t="s">
        <v>459</v>
      </c>
      <c r="C90" s="13">
        <v>-8.6859999999999999</v>
      </c>
      <c r="D90" s="13">
        <v>-11.42</v>
      </c>
      <c r="E90" s="13">
        <v>-42.7</v>
      </c>
      <c r="F90" s="13">
        <v>-61.49</v>
      </c>
      <c r="G90" s="13">
        <v>-67.165999999999997</v>
      </c>
      <c r="H90" s="13">
        <v>-36.137999999999998</v>
      </c>
      <c r="I90" s="13">
        <v>-49.384999999999998</v>
      </c>
      <c r="J90" s="13">
        <v>-47.295000000000002</v>
      </c>
      <c r="K90" s="13">
        <v>-49.35</v>
      </c>
      <c r="L90" s="13">
        <v>-59.887999999999998</v>
      </c>
      <c r="M90" s="13">
        <v>-49.606000000000002</v>
      </c>
      <c r="N90" s="13">
        <v>-72.756</v>
      </c>
      <c r="O90" s="13" t="s">
        <v>198</v>
      </c>
    </row>
    <row r="91" spans="1:15" x14ac:dyDescent="0.25">
      <c r="A91" s="10" t="s">
        <v>460</v>
      </c>
      <c r="B91" s="10" t="s">
        <v>461</v>
      </c>
      <c r="C91" s="13">
        <v>48.796999999999997</v>
      </c>
      <c r="D91" s="13">
        <v>43.668999999999997</v>
      </c>
      <c r="E91" s="13">
        <v>81.138999999999996</v>
      </c>
      <c r="F91" s="13">
        <v>76.977000000000004</v>
      </c>
      <c r="G91" s="13">
        <v>79.701999999999998</v>
      </c>
      <c r="H91" s="13">
        <v>59.662999999999997</v>
      </c>
      <c r="I91" s="13">
        <v>66.075000000000003</v>
      </c>
      <c r="J91" s="13">
        <v>60.883000000000003</v>
      </c>
      <c r="K91" s="13">
        <v>55.283999999999999</v>
      </c>
      <c r="L91" s="13">
        <v>65.745000000000005</v>
      </c>
      <c r="M91" s="13">
        <v>78.287999999999997</v>
      </c>
      <c r="N91" s="13">
        <v>87.837999999999994</v>
      </c>
      <c r="O91" s="13" t="s">
        <v>198</v>
      </c>
    </row>
    <row r="92" spans="1:15" x14ac:dyDescent="0.25">
      <c r="A92" s="10" t="s">
        <v>462</v>
      </c>
      <c r="B92" s="10" t="s">
        <v>463</v>
      </c>
      <c r="C92" s="13" t="s">
        <v>198</v>
      </c>
      <c r="D92" s="13" t="s">
        <v>198</v>
      </c>
      <c r="E92" s="13" t="s">
        <v>198</v>
      </c>
      <c r="F92" s="13" t="s">
        <v>198</v>
      </c>
      <c r="G92" s="13" t="s">
        <v>198</v>
      </c>
      <c r="H92" s="13">
        <v>12</v>
      </c>
      <c r="I92" s="13">
        <v>26.251000000000001</v>
      </c>
      <c r="J92" s="13">
        <v>36.629399999999997</v>
      </c>
      <c r="K92" s="13" t="s">
        <v>198</v>
      </c>
      <c r="L92" s="13" t="s">
        <v>198</v>
      </c>
      <c r="M92" s="13">
        <v>22.1797</v>
      </c>
      <c r="N92" s="13">
        <v>26.610499999999998</v>
      </c>
      <c r="O92" s="13" t="s">
        <v>198</v>
      </c>
    </row>
    <row r="93" spans="1:15" x14ac:dyDescent="0.25">
      <c r="A93" s="10" t="s">
        <v>329</v>
      </c>
      <c r="B93" s="10" t="s">
        <v>464</v>
      </c>
      <c r="C93" s="13">
        <v>411.185</v>
      </c>
      <c r="D93" s="13">
        <v>612.49900000000002</v>
      </c>
      <c r="E93" s="13">
        <v>726.77300000000002</v>
      </c>
      <c r="F93" s="13" t="s">
        <v>198</v>
      </c>
      <c r="G93" s="13" t="s">
        <v>198</v>
      </c>
      <c r="H93" s="13">
        <v>1242</v>
      </c>
      <c r="I93" s="13">
        <v>1041</v>
      </c>
      <c r="J93" s="13">
        <v>1379.692</v>
      </c>
      <c r="K93" s="13">
        <v>2028.0530000000001</v>
      </c>
      <c r="L93" s="13">
        <v>2192.6089999999999</v>
      </c>
      <c r="M93" s="13">
        <v>1925.6659999999999</v>
      </c>
      <c r="N93" s="13">
        <v>1808.768</v>
      </c>
      <c r="O93" s="13">
        <v>1921</v>
      </c>
    </row>
    <row r="94" spans="1:15" x14ac:dyDescent="0.25">
      <c r="A94" s="10" t="s">
        <v>465</v>
      </c>
      <c r="B94" s="10" t="s">
        <v>466</v>
      </c>
      <c r="C94" s="13" t="s">
        <v>198</v>
      </c>
      <c r="D94" s="13" t="s">
        <v>198</v>
      </c>
      <c r="E94" s="13" t="s">
        <v>198</v>
      </c>
      <c r="F94" s="13" t="s">
        <v>198</v>
      </c>
      <c r="G94" s="13" t="s">
        <v>198</v>
      </c>
      <c r="H94" s="13">
        <v>12</v>
      </c>
      <c r="I94" s="13">
        <v>26.251000000000001</v>
      </c>
      <c r="J94" s="13" t="s">
        <v>198</v>
      </c>
      <c r="K94" s="13" t="s">
        <v>198</v>
      </c>
      <c r="L94" s="13" t="s">
        <v>198</v>
      </c>
      <c r="M94" s="13" t="s">
        <v>198</v>
      </c>
      <c r="N94" s="13" t="s">
        <v>198</v>
      </c>
      <c r="O94" s="13" t="s">
        <v>198</v>
      </c>
    </row>
    <row r="95" spans="1:15" x14ac:dyDescent="0.25">
      <c r="A95" s="10" t="s">
        <v>467</v>
      </c>
      <c r="B95" s="10" t="s">
        <v>468</v>
      </c>
      <c r="C95" s="13">
        <v>4100.8050000000003</v>
      </c>
      <c r="D95" s="13">
        <v>4617.4629999999997</v>
      </c>
      <c r="E95" s="13">
        <v>4414.9889999999996</v>
      </c>
      <c r="F95" s="13" t="s">
        <v>198</v>
      </c>
      <c r="G95" s="13" t="s">
        <v>198</v>
      </c>
      <c r="H95" s="13" t="s">
        <v>198</v>
      </c>
      <c r="I95" s="13" t="s">
        <v>198</v>
      </c>
      <c r="J95" s="13">
        <v>6604.46</v>
      </c>
      <c r="K95" s="13">
        <v>8234.25</v>
      </c>
      <c r="L95" s="13">
        <v>10923.308000000001</v>
      </c>
      <c r="M95" s="13">
        <v>11813.36</v>
      </c>
      <c r="N95" s="13">
        <v>11070.173000000001</v>
      </c>
      <c r="O95" s="13">
        <v>10953.128000000001</v>
      </c>
    </row>
    <row r="96" spans="1:15" x14ac:dyDescent="0.25">
      <c r="A96" s="10" t="s">
        <v>469</v>
      </c>
      <c r="B96" s="10" t="s">
        <v>470</v>
      </c>
      <c r="C96" s="13" t="s">
        <v>198</v>
      </c>
      <c r="D96" s="13" t="s">
        <v>198</v>
      </c>
      <c r="E96" s="13" t="s">
        <v>198</v>
      </c>
      <c r="F96" s="13" t="s">
        <v>198</v>
      </c>
      <c r="G96" s="13" t="s">
        <v>198</v>
      </c>
      <c r="H96" s="13" t="s">
        <v>198</v>
      </c>
      <c r="I96" s="13" t="s">
        <v>198</v>
      </c>
      <c r="J96" s="13">
        <v>-303.73899999999998</v>
      </c>
      <c r="K96" s="13" t="s">
        <v>198</v>
      </c>
      <c r="L96" s="13" t="s">
        <v>198</v>
      </c>
      <c r="M96" s="13" t="s">
        <v>198</v>
      </c>
      <c r="N96" s="13" t="s">
        <v>198</v>
      </c>
      <c r="O96" s="13" t="s">
        <v>198</v>
      </c>
    </row>
    <row r="97" spans="1:15" x14ac:dyDescent="0.25">
      <c r="A97" s="10" t="s">
        <v>471</v>
      </c>
      <c r="B97" s="10" t="s">
        <v>472</v>
      </c>
      <c r="C97" s="13">
        <v>33.652000000000001</v>
      </c>
      <c r="D97" s="13">
        <v>-422.85599999999999</v>
      </c>
      <c r="E97" s="13">
        <v>319.20699999999999</v>
      </c>
      <c r="F97" s="13">
        <v>590.87300000000005</v>
      </c>
      <c r="G97" s="13">
        <v>397.06099999999998</v>
      </c>
      <c r="H97" s="13" t="s">
        <v>198</v>
      </c>
      <c r="I97" s="13">
        <v>0</v>
      </c>
      <c r="J97" s="13" t="s">
        <v>198</v>
      </c>
      <c r="K97" s="13" t="s">
        <v>198</v>
      </c>
      <c r="L97" s="13" t="s">
        <v>198</v>
      </c>
      <c r="M97" s="13" t="s">
        <v>198</v>
      </c>
      <c r="N97" s="13" t="s">
        <v>198</v>
      </c>
      <c r="O97" s="13">
        <v>-839.35400000000004</v>
      </c>
    </row>
    <row r="98" spans="1:15" x14ac:dyDescent="0.25">
      <c r="A98" s="10" t="s">
        <v>331</v>
      </c>
      <c r="B98" s="10" t="s">
        <v>473</v>
      </c>
      <c r="C98" s="13">
        <v>2761.3159999999998</v>
      </c>
      <c r="D98" s="13">
        <v>4082.3110000000001</v>
      </c>
      <c r="E98" s="13">
        <v>7991.442</v>
      </c>
      <c r="F98" s="13">
        <v>7161</v>
      </c>
      <c r="G98" s="13">
        <v>7161</v>
      </c>
      <c r="H98" s="13">
        <v>6074</v>
      </c>
      <c r="I98" s="13">
        <v>6096</v>
      </c>
      <c r="J98" s="13">
        <v>7607</v>
      </c>
      <c r="K98" s="13">
        <v>7938</v>
      </c>
      <c r="L98" s="13">
        <v>9843</v>
      </c>
      <c r="M98" s="13">
        <v>7312.1180000000004</v>
      </c>
      <c r="N98" s="13">
        <v>8901.7819999999992</v>
      </c>
      <c r="O98" s="13">
        <v>8654</v>
      </c>
    </row>
    <row r="99" spans="1:15" x14ac:dyDescent="0.25">
      <c r="A99" s="10" t="s">
        <v>333</v>
      </c>
      <c r="B99" s="10" t="s">
        <v>474</v>
      </c>
      <c r="C99" s="13">
        <v>449.58199999999999</v>
      </c>
      <c r="D99" s="13">
        <v>554.65200000000004</v>
      </c>
      <c r="E99" s="13">
        <v>592.81799999999998</v>
      </c>
      <c r="F99" s="13" t="s">
        <v>198</v>
      </c>
      <c r="G99" s="13" t="s">
        <v>198</v>
      </c>
      <c r="H99" s="13" t="s">
        <v>198</v>
      </c>
      <c r="I99" s="13" t="s">
        <v>198</v>
      </c>
      <c r="J99" s="13" t="s">
        <v>198</v>
      </c>
      <c r="K99" s="13" t="s">
        <v>198</v>
      </c>
      <c r="L99" s="13" t="s">
        <v>198</v>
      </c>
      <c r="M99" s="13" t="s">
        <v>198</v>
      </c>
      <c r="N99" s="13" t="s">
        <v>198</v>
      </c>
      <c r="O99" s="13" t="s">
        <v>198</v>
      </c>
    </row>
    <row r="100" spans="1:15" x14ac:dyDescent="0.25">
      <c r="A100" s="10" t="s">
        <v>475</v>
      </c>
      <c r="B100" s="10" t="s">
        <v>476</v>
      </c>
      <c r="C100" s="14">
        <v>30</v>
      </c>
      <c r="D100" s="14">
        <v>30</v>
      </c>
      <c r="E100" s="14">
        <v>30</v>
      </c>
      <c r="F100" s="14">
        <v>30</v>
      </c>
      <c r="G100" s="14">
        <v>30</v>
      </c>
      <c r="H100" s="14">
        <v>30</v>
      </c>
      <c r="I100" s="14">
        <v>30</v>
      </c>
      <c r="J100" s="14">
        <v>30</v>
      </c>
      <c r="K100" s="14">
        <v>30</v>
      </c>
      <c r="L100" s="14">
        <v>30</v>
      </c>
      <c r="M100" s="14">
        <v>30</v>
      </c>
      <c r="N100" s="14">
        <v>30</v>
      </c>
      <c r="O100" s="14" t="s">
        <v>198</v>
      </c>
    </row>
    <row r="101" spans="1:15" x14ac:dyDescent="0.25">
      <c r="A101" s="10" t="s">
        <v>335</v>
      </c>
      <c r="B101" s="10" t="s">
        <v>477</v>
      </c>
      <c r="C101" s="13">
        <v>2593.5569999999998</v>
      </c>
      <c r="D101" s="13">
        <v>3455.5239999999999</v>
      </c>
      <c r="E101" s="13">
        <v>4122.7089999999998</v>
      </c>
      <c r="F101" s="13">
        <v>6038.9089999999997</v>
      </c>
      <c r="G101" s="13" t="s">
        <v>198</v>
      </c>
      <c r="H101" s="13">
        <v>6580</v>
      </c>
      <c r="I101" s="13">
        <v>8425</v>
      </c>
      <c r="J101" s="13">
        <v>6688.049</v>
      </c>
      <c r="K101" s="13">
        <v>8688.9480000000003</v>
      </c>
      <c r="L101" s="13">
        <v>10162.475</v>
      </c>
      <c r="M101" s="13">
        <v>9986.1319999999996</v>
      </c>
      <c r="N101" s="13">
        <v>9121.8729999999996</v>
      </c>
      <c r="O101" s="13">
        <v>8916</v>
      </c>
    </row>
    <row r="102" spans="1:15" x14ac:dyDescent="0.25">
      <c r="A102" s="10" t="s">
        <v>478</v>
      </c>
      <c r="B102" s="10" t="s">
        <v>479</v>
      </c>
      <c r="C102" s="13" t="s">
        <v>198</v>
      </c>
      <c r="D102" s="13" t="s">
        <v>198</v>
      </c>
      <c r="E102" s="13" t="s">
        <v>198</v>
      </c>
      <c r="F102" s="13" t="s">
        <v>198</v>
      </c>
      <c r="G102" s="13" t="s">
        <v>198</v>
      </c>
      <c r="H102" s="13" t="s">
        <v>198</v>
      </c>
      <c r="I102" s="13" t="s">
        <v>198</v>
      </c>
      <c r="J102" s="13">
        <v>10.0579</v>
      </c>
      <c r="K102" s="13">
        <v>1.2633000000000001</v>
      </c>
      <c r="L102" s="13">
        <v>13.5548</v>
      </c>
      <c r="M102" s="13">
        <v>11.7614</v>
      </c>
      <c r="N102" s="13">
        <v>12.985200000000001</v>
      </c>
      <c r="O102" s="13" t="s">
        <v>198</v>
      </c>
    </row>
    <row r="103" spans="1:15" x14ac:dyDescent="0.25">
      <c r="A103" s="10" t="s">
        <v>480</v>
      </c>
      <c r="B103" s="10" t="s">
        <v>481</v>
      </c>
      <c r="C103" s="13" t="s">
        <v>198</v>
      </c>
      <c r="D103" s="13" t="s">
        <v>198</v>
      </c>
      <c r="E103" s="13">
        <v>-138.91200000000001</v>
      </c>
      <c r="F103" s="13">
        <v>-0.33</v>
      </c>
      <c r="G103" s="13">
        <v>0</v>
      </c>
      <c r="H103" s="13" t="s">
        <v>198</v>
      </c>
      <c r="I103" s="13" t="s">
        <v>198</v>
      </c>
      <c r="J103" s="13" t="s">
        <v>198</v>
      </c>
      <c r="K103" s="13" t="s">
        <v>198</v>
      </c>
      <c r="L103" s="13" t="s">
        <v>198</v>
      </c>
      <c r="M103" s="13" t="s">
        <v>198</v>
      </c>
      <c r="N103" s="13" t="s">
        <v>198</v>
      </c>
      <c r="O103" s="13" t="s">
        <v>198</v>
      </c>
    </row>
    <row r="104" spans="1:15" x14ac:dyDescent="0.25">
      <c r="A104" s="10" t="s">
        <v>482</v>
      </c>
      <c r="B104" s="10" t="s">
        <v>483</v>
      </c>
      <c r="C104" s="13" t="s">
        <v>198</v>
      </c>
      <c r="D104" s="13" t="s">
        <v>198</v>
      </c>
      <c r="E104" s="13">
        <v>1677</v>
      </c>
      <c r="F104" s="13">
        <v>2208</v>
      </c>
      <c r="G104" s="13">
        <v>2623</v>
      </c>
      <c r="H104" s="13">
        <v>2759</v>
      </c>
      <c r="I104" s="13">
        <v>2950</v>
      </c>
      <c r="J104" s="13">
        <v>3377</v>
      </c>
      <c r="K104" s="13">
        <v>3491</v>
      </c>
      <c r="L104" s="13">
        <v>3877</v>
      </c>
      <c r="M104" s="13">
        <v>95.153000000000006</v>
      </c>
      <c r="N104" s="13">
        <v>1785.367</v>
      </c>
      <c r="O104" s="13">
        <v>4896</v>
      </c>
    </row>
    <row r="105" spans="1:15" x14ac:dyDescent="0.25">
      <c r="A105" s="10" t="s">
        <v>484</v>
      </c>
      <c r="B105" s="10" t="s">
        <v>485</v>
      </c>
      <c r="C105" s="13">
        <v>2492.0520000000001</v>
      </c>
      <c r="D105" s="13">
        <v>3375.5430000000001</v>
      </c>
      <c r="E105" s="13">
        <v>4620.2079999999996</v>
      </c>
      <c r="F105" s="13" t="s">
        <v>198</v>
      </c>
      <c r="G105" s="13" t="s">
        <v>198</v>
      </c>
      <c r="H105" s="13" t="s">
        <v>198</v>
      </c>
      <c r="I105" s="13" t="s">
        <v>198</v>
      </c>
      <c r="J105" s="13" t="s">
        <v>198</v>
      </c>
      <c r="K105" s="13" t="s">
        <v>198</v>
      </c>
      <c r="L105" s="13" t="s">
        <v>198</v>
      </c>
      <c r="M105" s="13" t="s">
        <v>198</v>
      </c>
      <c r="N105" s="13" t="s">
        <v>198</v>
      </c>
      <c r="O105" s="13" t="s">
        <v>198</v>
      </c>
    </row>
    <row r="106" spans="1:15" x14ac:dyDescent="0.25">
      <c r="A106" s="10" t="s">
        <v>486</v>
      </c>
      <c r="B106" s="10" t="s">
        <v>487</v>
      </c>
      <c r="C106" s="14">
        <v>22.4</v>
      </c>
      <c r="D106" s="14">
        <v>26.7</v>
      </c>
      <c r="E106" s="14">
        <v>43.3</v>
      </c>
      <c r="F106" s="14">
        <v>27.6</v>
      </c>
      <c r="G106" s="14">
        <v>27.6</v>
      </c>
      <c r="H106" s="14">
        <v>21.6</v>
      </c>
      <c r="I106" s="14">
        <v>20.5</v>
      </c>
      <c r="J106" s="14">
        <v>21.7</v>
      </c>
      <c r="K106" s="14">
        <v>20.100000000000001</v>
      </c>
      <c r="L106" s="14" t="s">
        <v>198</v>
      </c>
      <c r="M106" s="14" t="s">
        <v>198</v>
      </c>
      <c r="N106" s="14" t="s">
        <v>198</v>
      </c>
      <c r="O106" s="14">
        <v>20.100000000000001</v>
      </c>
    </row>
    <row r="107" spans="1:15" x14ac:dyDescent="0.25">
      <c r="A107" s="10" t="s">
        <v>488</v>
      </c>
      <c r="B107" s="10" t="s">
        <v>489</v>
      </c>
      <c r="C107" s="14">
        <v>21.8</v>
      </c>
      <c r="D107" s="14">
        <v>23.9</v>
      </c>
      <c r="E107" s="14" t="s">
        <v>198</v>
      </c>
      <c r="F107" s="14">
        <v>25</v>
      </c>
      <c r="G107" s="14">
        <v>17.899999999999999</v>
      </c>
      <c r="H107" s="14">
        <v>21.6</v>
      </c>
      <c r="I107" s="14">
        <v>20.5</v>
      </c>
      <c r="J107" s="14">
        <v>21.7</v>
      </c>
      <c r="K107" s="14">
        <v>20.100000000000001</v>
      </c>
      <c r="L107" s="14">
        <v>21.5</v>
      </c>
      <c r="M107" s="14">
        <v>16.5</v>
      </c>
      <c r="N107" s="14">
        <v>20</v>
      </c>
      <c r="O107" s="14">
        <v>25.6</v>
      </c>
    </row>
    <row r="108" spans="1:15" x14ac:dyDescent="0.25">
      <c r="A108" s="10" t="s">
        <v>490</v>
      </c>
      <c r="B108" s="10" t="s">
        <v>491</v>
      </c>
      <c r="C108" s="14">
        <v>20.3</v>
      </c>
      <c r="D108" s="14">
        <v>22</v>
      </c>
      <c r="E108" s="14">
        <v>25</v>
      </c>
      <c r="F108" s="14">
        <v>21</v>
      </c>
      <c r="G108" s="14" t="s">
        <v>198</v>
      </c>
      <c r="H108" s="14" t="s">
        <v>198</v>
      </c>
      <c r="I108" s="14" t="s">
        <v>198</v>
      </c>
      <c r="J108" s="14" t="s">
        <v>198</v>
      </c>
      <c r="K108" s="14" t="s">
        <v>198</v>
      </c>
      <c r="L108" s="14" t="s">
        <v>198</v>
      </c>
      <c r="M108" s="14" t="s">
        <v>198</v>
      </c>
      <c r="N108" s="14" t="s">
        <v>198</v>
      </c>
      <c r="O108" s="14" t="s">
        <v>198</v>
      </c>
    </row>
    <row r="109" spans="1:15" x14ac:dyDescent="0.25">
      <c r="A109" s="10" t="s">
        <v>492</v>
      </c>
      <c r="B109" s="10" t="s">
        <v>493</v>
      </c>
      <c r="C109" s="13">
        <v>2678.9110000000001</v>
      </c>
      <c r="D109" s="13">
        <v>3659.4549999999999</v>
      </c>
      <c r="E109" s="13">
        <v>4864.3370000000004</v>
      </c>
      <c r="F109" s="13">
        <v>7171</v>
      </c>
      <c r="G109" s="13" t="s">
        <v>198</v>
      </c>
      <c r="H109" s="13">
        <v>6074</v>
      </c>
      <c r="I109" s="13">
        <v>6096</v>
      </c>
      <c r="J109" s="13">
        <v>7607</v>
      </c>
      <c r="K109" s="13">
        <v>7938</v>
      </c>
      <c r="L109" s="13">
        <v>9843</v>
      </c>
      <c r="M109" s="13">
        <v>7312.1180000000004</v>
      </c>
      <c r="N109" s="13">
        <v>8901.7819999999992</v>
      </c>
      <c r="O109" s="13">
        <v>11014</v>
      </c>
    </row>
    <row r="110" spans="1:15" x14ac:dyDescent="0.25">
      <c r="A110" s="7" t="s">
        <v>65</v>
      </c>
      <c r="B110" s="7"/>
      <c r="C110" s="7" t="s">
        <v>4</v>
      </c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49"/>
  <sheetViews>
    <sheetView workbookViewId="0">
      <selection activeCell="G16" sqref="G16"/>
    </sheetView>
  </sheetViews>
  <sheetFormatPr baseColWidth="10" defaultRowHeight="15" x14ac:dyDescent="0.25"/>
  <cols>
    <col min="1" max="1" width="35.140625" customWidth="1"/>
    <col min="2" max="2" width="0" hidden="1" customWidth="1"/>
    <col min="3" max="16" width="11.855468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0.25" x14ac:dyDescent="0.25">
      <c r="A2" s="8" t="s">
        <v>494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25">
      <c r="A4" s="3" t="s">
        <v>67</v>
      </c>
      <c r="B4" s="3"/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196</v>
      </c>
    </row>
    <row r="5" spans="1:16" x14ac:dyDescent="0.25">
      <c r="A5" s="9" t="s">
        <v>21</v>
      </c>
      <c r="B5" s="9"/>
      <c r="C5" s="5" t="s">
        <v>22</v>
      </c>
      <c r="D5" s="5" t="s">
        <v>23</v>
      </c>
      <c r="E5" s="5" t="s">
        <v>24</v>
      </c>
      <c r="F5" s="5" t="s">
        <v>25</v>
      </c>
      <c r="G5" s="5" t="s">
        <v>26</v>
      </c>
      <c r="H5" s="5" t="s">
        <v>27</v>
      </c>
      <c r="I5" s="5" t="s">
        <v>28</v>
      </c>
      <c r="J5" s="5" t="s">
        <v>29</v>
      </c>
      <c r="K5" s="5" t="s">
        <v>30</v>
      </c>
      <c r="L5" s="5" t="s">
        <v>31</v>
      </c>
      <c r="M5" s="5" t="s">
        <v>32</v>
      </c>
      <c r="N5" s="5" t="s">
        <v>33</v>
      </c>
      <c r="O5" s="5" t="s">
        <v>34</v>
      </c>
      <c r="P5" s="5" t="s">
        <v>34</v>
      </c>
    </row>
    <row r="6" spans="1:16" x14ac:dyDescent="0.25">
      <c r="A6" s="6" t="s">
        <v>495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21"/>
    </row>
    <row r="7" spans="1:16" x14ac:dyDescent="0.25">
      <c r="A7" s="6" t="s">
        <v>496</v>
      </c>
      <c r="B7" s="6" t="s">
        <v>70</v>
      </c>
      <c r="C7" s="19">
        <v>2492.0520000000001</v>
      </c>
      <c r="D7" s="19">
        <v>3375.5430000000001</v>
      </c>
      <c r="E7" s="19">
        <v>4620.2079999999996</v>
      </c>
      <c r="F7" s="19">
        <v>5623.9070000000002</v>
      </c>
      <c r="G7" s="19">
        <v>6735.5559999999996</v>
      </c>
      <c r="H7" s="19">
        <v>5542.9409999999998</v>
      </c>
      <c r="I7" s="19">
        <v>5410.14</v>
      </c>
      <c r="J7" s="19">
        <v>6892.6130000000003</v>
      </c>
      <c r="K7" s="19">
        <v>7121.2020000000002</v>
      </c>
      <c r="L7" s="19">
        <v>8889.8359999999993</v>
      </c>
      <c r="M7" s="19">
        <v>6238.3249999999998</v>
      </c>
      <c r="N7" s="19">
        <v>7764.6710000000003</v>
      </c>
      <c r="O7" s="19">
        <v>9664.1630000000005</v>
      </c>
      <c r="P7" s="22">
        <v>9664.1630000000005</v>
      </c>
    </row>
    <row r="8" spans="1:16" x14ac:dyDescent="0.25">
      <c r="A8" s="10" t="s">
        <v>497</v>
      </c>
      <c r="B8" s="10" t="s">
        <v>498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6">
        <v>0</v>
      </c>
    </row>
    <row r="9" spans="1:16" x14ac:dyDescent="0.25">
      <c r="A9" s="10" t="s">
        <v>499</v>
      </c>
      <c r="B9" s="10" t="s">
        <v>500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6">
        <v>0</v>
      </c>
    </row>
    <row r="10" spans="1:16" x14ac:dyDescent="0.25">
      <c r="A10" s="10" t="s">
        <v>501</v>
      </c>
      <c r="B10" s="10" t="s">
        <v>502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6">
        <v>0</v>
      </c>
    </row>
    <row r="11" spans="1:16" x14ac:dyDescent="0.25">
      <c r="A11" s="10" t="s">
        <v>503</v>
      </c>
      <c r="B11" s="10" t="s">
        <v>504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6">
        <v>0</v>
      </c>
    </row>
    <row r="12" spans="1:16" x14ac:dyDescent="0.25">
      <c r="A12" s="10" t="s">
        <v>505</v>
      </c>
      <c r="B12" s="10" t="s">
        <v>506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6">
        <v>0</v>
      </c>
    </row>
    <row r="13" spans="1:16" x14ac:dyDescent="0.25">
      <c r="A13" s="10" t="s">
        <v>507</v>
      </c>
      <c r="B13" s="10" t="s">
        <v>508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6">
        <v>0</v>
      </c>
    </row>
    <row r="14" spans="1:16" x14ac:dyDescent="0.25">
      <c r="A14" s="10" t="s">
        <v>509</v>
      </c>
      <c r="B14" s="10" t="s">
        <v>510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6">
        <v>0</v>
      </c>
    </row>
    <row r="15" spans="1:16" x14ac:dyDescent="0.25">
      <c r="A15" s="10" t="s">
        <v>511</v>
      </c>
      <c r="B15" s="10" t="s">
        <v>512</v>
      </c>
      <c r="C15" s="13">
        <v>-3.403</v>
      </c>
      <c r="D15" s="13">
        <v>-13.162000000000001</v>
      </c>
      <c r="E15" s="13">
        <v>10.564</v>
      </c>
      <c r="F15" s="13">
        <v>17.12</v>
      </c>
      <c r="G15" s="13">
        <v>11.811</v>
      </c>
      <c r="H15" s="13">
        <v>56.747</v>
      </c>
      <c r="I15" s="13">
        <v>94.625</v>
      </c>
      <c r="J15" s="13">
        <v>54.929000000000002</v>
      </c>
      <c r="K15" s="13">
        <v>7.65</v>
      </c>
      <c r="L15" s="13">
        <v>68.483999999999995</v>
      </c>
      <c r="M15" s="13">
        <v>0</v>
      </c>
      <c r="N15" s="13">
        <v>184.06200000000001</v>
      </c>
      <c r="O15" s="13">
        <v>68.438000000000002</v>
      </c>
      <c r="P15" s="16">
        <v>68.438000000000002</v>
      </c>
    </row>
    <row r="16" spans="1:16" x14ac:dyDescent="0.25">
      <c r="A16" s="6" t="s">
        <v>513</v>
      </c>
      <c r="B16" s="6" t="s">
        <v>70</v>
      </c>
      <c r="C16" s="19">
        <v>2488.6489999999999</v>
      </c>
      <c r="D16" s="19">
        <v>3362.3809999999999</v>
      </c>
      <c r="E16" s="19">
        <v>4630.7719999999999</v>
      </c>
      <c r="F16" s="19">
        <v>5641.027</v>
      </c>
      <c r="G16" s="19">
        <v>6747.3670000000002</v>
      </c>
      <c r="H16" s="19">
        <v>5599.6880000000001</v>
      </c>
      <c r="I16" s="19">
        <v>5504.7650000000003</v>
      </c>
      <c r="J16" s="19">
        <v>6947.5420000000004</v>
      </c>
      <c r="K16" s="19">
        <v>7128.8519999999999</v>
      </c>
      <c r="L16" s="19">
        <v>8958.32</v>
      </c>
      <c r="M16" s="19">
        <v>6238.3249999999998</v>
      </c>
      <c r="N16" s="19">
        <v>7948.7330000000002</v>
      </c>
      <c r="O16" s="19">
        <v>9732.6010000000006</v>
      </c>
      <c r="P16" s="22">
        <v>9732.6010000000006</v>
      </c>
    </row>
    <row r="17" spans="1:16" x14ac:dyDescent="0.25">
      <c r="A17" s="10" t="s">
        <v>514</v>
      </c>
      <c r="B17" s="10" t="s">
        <v>515</v>
      </c>
      <c r="C17" s="13">
        <v>186.85900000000001</v>
      </c>
      <c r="D17" s="13">
        <v>283.91199999999998</v>
      </c>
      <c r="E17" s="13">
        <v>249.28800000000001</v>
      </c>
      <c r="F17" s="13">
        <v>451.47</v>
      </c>
      <c r="G17" s="13">
        <v>435.01499999999999</v>
      </c>
      <c r="H17" s="13">
        <v>530.68799999999999</v>
      </c>
      <c r="I17" s="13">
        <v>685.42499999999995</v>
      </c>
      <c r="J17" s="13">
        <v>714.45899999999995</v>
      </c>
      <c r="K17" s="13">
        <v>816.96900000000005</v>
      </c>
      <c r="L17" s="13">
        <v>953.39300000000003</v>
      </c>
      <c r="M17" s="13">
        <v>1073.7929999999999</v>
      </c>
      <c r="N17" s="13">
        <v>1137.1110000000001</v>
      </c>
      <c r="O17" s="13">
        <v>1349.4760000000001</v>
      </c>
      <c r="P17" s="16">
        <v>1349.4760000000001</v>
      </c>
    </row>
    <row r="18" spans="1:16" x14ac:dyDescent="0.25">
      <c r="A18" s="10" t="s">
        <v>516</v>
      </c>
      <c r="B18" s="10" t="s">
        <v>517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 t="s">
        <v>198</v>
      </c>
      <c r="P18" s="16"/>
    </row>
    <row r="19" spans="1:16" x14ac:dyDescent="0.25">
      <c r="A19" s="6" t="s">
        <v>518</v>
      </c>
      <c r="B19" s="6" t="s">
        <v>53</v>
      </c>
      <c r="C19" s="19">
        <v>2675.5079999999998</v>
      </c>
      <c r="D19" s="19">
        <v>3646.2930000000001</v>
      </c>
      <c r="E19" s="19">
        <v>4880.0600000000004</v>
      </c>
      <c r="F19" s="19">
        <v>6092.4970000000003</v>
      </c>
      <c r="G19" s="19">
        <v>7182.3819999999996</v>
      </c>
      <c r="H19" s="19">
        <v>6130.3760000000002</v>
      </c>
      <c r="I19" s="19">
        <v>6190.19</v>
      </c>
      <c r="J19" s="19">
        <v>7662.0010000000002</v>
      </c>
      <c r="K19" s="19">
        <v>7945.8209999999999</v>
      </c>
      <c r="L19" s="19">
        <v>9911.7129999999997</v>
      </c>
      <c r="M19" s="19">
        <v>7312.1180000000004</v>
      </c>
      <c r="N19" s="19">
        <v>9085.8439999999991</v>
      </c>
      <c r="O19" s="19">
        <v>11082.076999999999</v>
      </c>
      <c r="P19" s="22">
        <v>11082.076999999999</v>
      </c>
    </row>
    <row r="20" spans="1:16" x14ac:dyDescent="0.25">
      <c r="A20" s="6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21"/>
    </row>
    <row r="21" spans="1:16" x14ac:dyDescent="0.25">
      <c r="A21" s="6" t="s">
        <v>519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21"/>
    </row>
    <row r="22" spans="1:16" x14ac:dyDescent="0.25">
      <c r="A22" s="6" t="s">
        <v>496</v>
      </c>
      <c r="B22" s="6" t="s">
        <v>70</v>
      </c>
      <c r="C22" s="19">
        <v>2492.0520000000001</v>
      </c>
      <c r="D22" s="19">
        <v>3375.5430000000001</v>
      </c>
      <c r="E22" s="19">
        <v>4620.2079999999996</v>
      </c>
      <c r="F22" s="19">
        <v>5623.9070000000002</v>
      </c>
      <c r="G22" s="19">
        <v>6735.5559999999996</v>
      </c>
      <c r="H22" s="19">
        <v>5542.9409999999998</v>
      </c>
      <c r="I22" s="19">
        <v>5410.14</v>
      </c>
      <c r="J22" s="19">
        <v>6892.6130000000003</v>
      </c>
      <c r="K22" s="19">
        <v>7121.2020000000002</v>
      </c>
      <c r="L22" s="19">
        <v>8889.8359999999993</v>
      </c>
      <c r="M22" s="19">
        <v>6238.3249999999998</v>
      </c>
      <c r="N22" s="19">
        <v>7764.6710000000003</v>
      </c>
      <c r="O22" s="19">
        <v>9664.1630000000005</v>
      </c>
      <c r="P22" s="22">
        <v>9664.1630000000005</v>
      </c>
    </row>
    <row r="23" spans="1:16" x14ac:dyDescent="0.25">
      <c r="A23" s="10" t="s">
        <v>520</v>
      </c>
      <c r="B23" s="10" t="s">
        <v>521</v>
      </c>
      <c r="C23" s="13">
        <v>-3.403</v>
      </c>
      <c r="D23" s="13">
        <v>-13.162000000000001</v>
      </c>
      <c r="E23" s="13">
        <v>10.564</v>
      </c>
      <c r="F23" s="13">
        <v>17.12</v>
      </c>
      <c r="G23" s="13">
        <v>11.811</v>
      </c>
      <c r="H23" s="13">
        <v>56.747</v>
      </c>
      <c r="I23" s="13">
        <v>94.625</v>
      </c>
      <c r="J23" s="13">
        <v>54.929000000000002</v>
      </c>
      <c r="K23" s="13">
        <v>7.65</v>
      </c>
      <c r="L23" s="13">
        <v>68.483999999999995</v>
      </c>
      <c r="M23" s="13" t="s">
        <v>198</v>
      </c>
      <c r="N23" s="13">
        <v>184.06200000000001</v>
      </c>
      <c r="O23" s="13">
        <v>68.438000000000002</v>
      </c>
      <c r="P23" s="16">
        <v>68.438000000000002</v>
      </c>
    </row>
    <row r="24" spans="1:16" x14ac:dyDescent="0.25">
      <c r="A24" s="6" t="s">
        <v>513</v>
      </c>
      <c r="B24" s="6" t="s">
        <v>70</v>
      </c>
      <c r="C24" s="19">
        <v>2488.6489999999999</v>
      </c>
      <c r="D24" s="19">
        <v>3362.3809999999999</v>
      </c>
      <c r="E24" s="19">
        <v>4630.7719999999999</v>
      </c>
      <c r="F24" s="19">
        <v>5641.027</v>
      </c>
      <c r="G24" s="19">
        <v>6747.3670000000002</v>
      </c>
      <c r="H24" s="19">
        <v>5599.6880000000001</v>
      </c>
      <c r="I24" s="19">
        <v>5504.7650000000003</v>
      </c>
      <c r="J24" s="19">
        <v>6947.5420000000004</v>
      </c>
      <c r="K24" s="19">
        <v>7128.8519999999999</v>
      </c>
      <c r="L24" s="19">
        <v>8958.32</v>
      </c>
      <c r="M24" s="19">
        <v>6238.3249999999998</v>
      </c>
      <c r="N24" s="19">
        <v>7948.7330000000002</v>
      </c>
      <c r="O24" s="19">
        <v>9732.6010000000006</v>
      </c>
      <c r="P24" s="22">
        <v>9732.6010000000006</v>
      </c>
    </row>
    <row r="25" spans="1:16" x14ac:dyDescent="0.25">
      <c r="A25" s="6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21"/>
    </row>
    <row r="26" spans="1:16" x14ac:dyDescent="0.25">
      <c r="A26" s="6" t="s">
        <v>522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21"/>
    </row>
    <row r="27" spans="1:16" x14ac:dyDescent="0.25">
      <c r="A27" s="6" t="s">
        <v>245</v>
      </c>
      <c r="B27" s="6" t="s">
        <v>238</v>
      </c>
      <c r="C27" s="19">
        <v>2552.5129999999999</v>
      </c>
      <c r="D27" s="19">
        <v>3791.6849999999999</v>
      </c>
      <c r="E27" s="19">
        <v>7618.7219999999998</v>
      </c>
      <c r="F27" s="19">
        <v>4688.1949999999997</v>
      </c>
      <c r="G27" s="19">
        <v>5955.241</v>
      </c>
      <c r="H27" s="19">
        <v>5146.4740000000002</v>
      </c>
      <c r="I27" s="19">
        <v>5147.3710000000001</v>
      </c>
      <c r="J27" s="19">
        <v>6854.2060000000001</v>
      </c>
      <c r="K27" s="19">
        <v>6907.6059999999998</v>
      </c>
      <c r="L27" s="19">
        <v>8231.223</v>
      </c>
      <c r="M27" s="19">
        <v>6187.8710000000001</v>
      </c>
      <c r="N27" s="19">
        <v>5223.1819999999998</v>
      </c>
      <c r="O27" s="19">
        <v>11859.197</v>
      </c>
      <c r="P27" s="22">
        <v>11859.197</v>
      </c>
    </row>
    <row r="28" spans="1:16" x14ac:dyDescent="0.25">
      <c r="A28" s="10" t="s">
        <v>520</v>
      </c>
      <c r="B28" s="10" t="s">
        <v>242</v>
      </c>
      <c r="C28" s="13">
        <v>-3.403</v>
      </c>
      <c r="D28" s="13">
        <v>-13.162000000000001</v>
      </c>
      <c r="E28" s="13">
        <v>10.564</v>
      </c>
      <c r="F28" s="13">
        <v>17.12</v>
      </c>
      <c r="G28" s="13">
        <v>11.811</v>
      </c>
      <c r="H28" s="13">
        <v>56.747</v>
      </c>
      <c r="I28" s="13">
        <v>94.625</v>
      </c>
      <c r="J28" s="13">
        <v>54.929000000000002</v>
      </c>
      <c r="K28" s="13">
        <v>7.65</v>
      </c>
      <c r="L28" s="13">
        <v>68.483999999999995</v>
      </c>
      <c r="M28" s="13" t="s">
        <v>198</v>
      </c>
      <c r="N28" s="13">
        <v>184.06200000000001</v>
      </c>
      <c r="O28" s="13">
        <v>68.438000000000002</v>
      </c>
      <c r="P28" s="16">
        <v>68.438000000000002</v>
      </c>
    </row>
    <row r="29" spans="1:16" x14ac:dyDescent="0.25">
      <c r="A29" s="10" t="s">
        <v>523</v>
      </c>
      <c r="B29" s="10" t="s">
        <v>244</v>
      </c>
      <c r="C29" s="13" t="s">
        <v>198</v>
      </c>
      <c r="D29" s="13" t="s">
        <v>198</v>
      </c>
      <c r="E29" s="13" t="s">
        <v>198</v>
      </c>
      <c r="F29" s="13" t="s">
        <v>198</v>
      </c>
      <c r="G29" s="13" t="s">
        <v>198</v>
      </c>
      <c r="H29" s="13" t="s">
        <v>198</v>
      </c>
      <c r="I29" s="13" t="s">
        <v>198</v>
      </c>
      <c r="J29" s="13">
        <v>-303.73899999999998</v>
      </c>
      <c r="K29" s="13" t="s">
        <v>198</v>
      </c>
      <c r="L29" s="13" t="s">
        <v>198</v>
      </c>
      <c r="M29" s="13" t="s">
        <v>198</v>
      </c>
      <c r="N29" s="13" t="s">
        <v>198</v>
      </c>
      <c r="O29" s="13" t="s">
        <v>198</v>
      </c>
      <c r="P29" s="16"/>
    </row>
    <row r="30" spans="1:16" x14ac:dyDescent="0.25">
      <c r="A30" s="6" t="s">
        <v>237</v>
      </c>
      <c r="B30" s="6" t="s">
        <v>238</v>
      </c>
      <c r="C30" s="19">
        <v>2549.11</v>
      </c>
      <c r="D30" s="19">
        <v>3778.5230000000001</v>
      </c>
      <c r="E30" s="19">
        <v>7629.2860000000001</v>
      </c>
      <c r="F30" s="19">
        <v>4705.3149999999996</v>
      </c>
      <c r="G30" s="19">
        <v>5967.0519999999997</v>
      </c>
      <c r="H30" s="19">
        <v>5203.2209999999995</v>
      </c>
      <c r="I30" s="19">
        <v>5241.9960000000001</v>
      </c>
      <c r="J30" s="19">
        <v>6605.3959999999997</v>
      </c>
      <c r="K30" s="19">
        <v>6915.2560000000003</v>
      </c>
      <c r="L30" s="19">
        <v>8299.7070000000003</v>
      </c>
      <c r="M30" s="19">
        <v>6187.8710000000001</v>
      </c>
      <c r="N30" s="19">
        <v>5407.2439999999997</v>
      </c>
      <c r="O30" s="19">
        <v>11927.635</v>
      </c>
      <c r="P30" s="22">
        <v>11927.635</v>
      </c>
    </row>
    <row r="31" spans="1:16" x14ac:dyDescent="0.25">
      <c r="A31" s="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21"/>
    </row>
    <row r="32" spans="1:16" x14ac:dyDescent="0.25">
      <c r="A32" s="6" t="s">
        <v>524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21"/>
    </row>
    <row r="33" spans="1:16" x14ac:dyDescent="0.25">
      <c r="A33" s="6" t="s">
        <v>525</v>
      </c>
      <c r="B33" s="6" t="s">
        <v>55</v>
      </c>
      <c r="C33" s="19">
        <v>1551.7629999999999</v>
      </c>
      <c r="D33" s="19">
        <v>2635.768</v>
      </c>
      <c r="E33" s="19">
        <v>5308.4530000000004</v>
      </c>
      <c r="F33" s="19">
        <v>3147.748</v>
      </c>
      <c r="G33" s="19">
        <v>5193.1850000000004</v>
      </c>
      <c r="H33" s="19">
        <v>4024.8789999999999</v>
      </c>
      <c r="I33" s="19">
        <v>3712.0219999999999</v>
      </c>
      <c r="J33" s="19">
        <v>5146.0200000000004</v>
      </c>
      <c r="K33" s="19">
        <v>5019.732</v>
      </c>
      <c r="L33" s="19">
        <v>5856.2950000000001</v>
      </c>
      <c r="M33" s="19">
        <v>4715.7370000000001</v>
      </c>
      <c r="N33" s="19">
        <v>3949.723</v>
      </c>
      <c r="O33" s="19">
        <v>8646.3970000000008</v>
      </c>
      <c r="P33" s="22">
        <v>8646.3970000000008</v>
      </c>
    </row>
    <row r="34" spans="1:16" x14ac:dyDescent="0.25">
      <c r="A34" s="10" t="s">
        <v>526</v>
      </c>
      <c r="B34" s="10" t="s">
        <v>257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6">
        <v>0</v>
      </c>
    </row>
    <row r="35" spans="1:16" x14ac:dyDescent="0.25">
      <c r="A35" s="10" t="s">
        <v>527</v>
      </c>
      <c r="B35" s="10" t="s">
        <v>259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6">
        <v>0</v>
      </c>
    </row>
    <row r="36" spans="1:16" x14ac:dyDescent="0.25">
      <c r="A36" s="6" t="s">
        <v>528</v>
      </c>
      <c r="B36" s="6" t="s">
        <v>529</v>
      </c>
      <c r="C36" s="19">
        <v>1551.7629999999999</v>
      </c>
      <c r="D36" s="19">
        <v>2635.768</v>
      </c>
      <c r="E36" s="19">
        <v>5308.4530000000004</v>
      </c>
      <c r="F36" s="19">
        <v>3147.748</v>
      </c>
      <c r="G36" s="19">
        <v>5193.1850000000004</v>
      </c>
      <c r="H36" s="19">
        <v>4024.8789999999999</v>
      </c>
      <c r="I36" s="19">
        <v>3712.0219999999999</v>
      </c>
      <c r="J36" s="19">
        <v>5146.0200000000004</v>
      </c>
      <c r="K36" s="19">
        <v>5019.732</v>
      </c>
      <c r="L36" s="19">
        <v>5856.2950000000001</v>
      </c>
      <c r="M36" s="19">
        <v>4715.7370000000001</v>
      </c>
      <c r="N36" s="19">
        <v>3949.723</v>
      </c>
      <c r="O36" s="19">
        <v>8646.3970000000008</v>
      </c>
      <c r="P36" s="22">
        <v>8646.3970000000008</v>
      </c>
    </row>
    <row r="37" spans="1:16" x14ac:dyDescent="0.25">
      <c r="A37" s="10" t="s">
        <v>520</v>
      </c>
      <c r="B37" s="10" t="s">
        <v>530</v>
      </c>
      <c r="C37" s="13">
        <v>-2.3820999999999999</v>
      </c>
      <c r="D37" s="13">
        <v>-9.2134</v>
      </c>
      <c r="E37" s="13">
        <v>7.3948</v>
      </c>
      <c r="F37" s="13">
        <v>11.984</v>
      </c>
      <c r="G37" s="13">
        <v>8.2676999999999996</v>
      </c>
      <c r="H37" s="13">
        <v>39.722900000000003</v>
      </c>
      <c r="I37" s="13">
        <v>66.237499999999997</v>
      </c>
      <c r="J37" s="13">
        <v>38.450299999999999</v>
      </c>
      <c r="K37" s="13">
        <v>5.3550000000000004</v>
      </c>
      <c r="L37" s="13">
        <v>47.938800000000001</v>
      </c>
      <c r="M37" s="13" t="s">
        <v>198</v>
      </c>
      <c r="N37" s="13">
        <v>128.8434</v>
      </c>
      <c r="O37" s="13">
        <v>47.906599999999997</v>
      </c>
      <c r="P37" s="16">
        <v>47.906599999999997</v>
      </c>
    </row>
    <row r="38" spans="1:16" x14ac:dyDescent="0.25">
      <c r="A38" s="10" t="s">
        <v>523</v>
      </c>
      <c r="B38" s="10" t="s">
        <v>531</v>
      </c>
      <c r="C38" s="13" t="s">
        <v>198</v>
      </c>
      <c r="D38" s="13" t="s">
        <v>198</v>
      </c>
      <c r="E38" s="13" t="s">
        <v>198</v>
      </c>
      <c r="F38" s="13" t="s">
        <v>198</v>
      </c>
      <c r="G38" s="13" t="s">
        <v>198</v>
      </c>
      <c r="H38" s="13" t="s">
        <v>198</v>
      </c>
      <c r="I38" s="13" t="s">
        <v>198</v>
      </c>
      <c r="J38" s="13">
        <v>-212.6173</v>
      </c>
      <c r="K38" s="13" t="s">
        <v>198</v>
      </c>
      <c r="L38" s="13" t="s">
        <v>198</v>
      </c>
      <c r="M38" s="13" t="s">
        <v>198</v>
      </c>
      <c r="N38" s="13" t="s">
        <v>198</v>
      </c>
      <c r="O38" s="13" t="s">
        <v>198</v>
      </c>
      <c r="P38" s="16"/>
    </row>
    <row r="39" spans="1:16" x14ac:dyDescent="0.25">
      <c r="A39" s="6" t="s">
        <v>271</v>
      </c>
      <c r="B39" s="6" t="s">
        <v>55</v>
      </c>
      <c r="C39" s="19">
        <v>1549.3809000000001</v>
      </c>
      <c r="D39" s="19">
        <v>2626.5545999999999</v>
      </c>
      <c r="E39" s="19">
        <v>5315.8477999999996</v>
      </c>
      <c r="F39" s="19">
        <v>3159.732</v>
      </c>
      <c r="G39" s="19">
        <v>5201.4526999999998</v>
      </c>
      <c r="H39" s="19">
        <v>4064.6019000000001</v>
      </c>
      <c r="I39" s="19">
        <v>3778.2595000000001</v>
      </c>
      <c r="J39" s="19">
        <v>4971.8530000000001</v>
      </c>
      <c r="K39" s="19">
        <v>5025.0870000000004</v>
      </c>
      <c r="L39" s="19">
        <v>5904.2338</v>
      </c>
      <c r="M39" s="19">
        <v>4715.7370000000001</v>
      </c>
      <c r="N39" s="19">
        <v>4078.5664000000002</v>
      </c>
      <c r="O39" s="19">
        <v>8694.3035999999993</v>
      </c>
      <c r="P39" s="22">
        <v>8694.3035999999993</v>
      </c>
    </row>
    <row r="40" spans="1:16" x14ac:dyDescent="0.25">
      <c r="A40" s="6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21"/>
    </row>
    <row r="41" spans="1:16" x14ac:dyDescent="0.25">
      <c r="A41" s="6" t="s">
        <v>532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21"/>
    </row>
    <row r="42" spans="1:16" x14ac:dyDescent="0.25">
      <c r="A42" s="6" t="s">
        <v>74</v>
      </c>
      <c r="B42" s="6" t="s">
        <v>75</v>
      </c>
      <c r="C42" s="20">
        <v>0.43</v>
      </c>
      <c r="D42" s="20">
        <v>0.74</v>
      </c>
      <c r="E42" s="20">
        <v>1.4818</v>
      </c>
      <c r="F42" s="20">
        <v>0.34</v>
      </c>
      <c r="G42" s="20">
        <v>1.48</v>
      </c>
      <c r="H42" s="20">
        <v>1.1200000000000001</v>
      </c>
      <c r="I42" s="20">
        <v>1.0345</v>
      </c>
      <c r="J42" s="20">
        <v>1.43</v>
      </c>
      <c r="K42" s="20">
        <v>1.3977999999999999</v>
      </c>
      <c r="L42" s="20">
        <v>1.64</v>
      </c>
      <c r="M42" s="20">
        <v>1.31</v>
      </c>
      <c r="N42" s="20">
        <v>1.1000000000000001</v>
      </c>
      <c r="O42" s="20">
        <v>2.41</v>
      </c>
      <c r="P42" s="23">
        <v>2.41</v>
      </c>
    </row>
    <row r="43" spans="1:16" x14ac:dyDescent="0.25">
      <c r="A43" s="10" t="s">
        <v>526</v>
      </c>
      <c r="B43" s="10" t="s">
        <v>533</v>
      </c>
      <c r="C43" s="14" t="s">
        <v>198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7">
        <v>0</v>
      </c>
    </row>
    <row r="44" spans="1:16" x14ac:dyDescent="0.25">
      <c r="A44" s="10" t="s">
        <v>527</v>
      </c>
      <c r="B44" s="10" t="s">
        <v>534</v>
      </c>
      <c r="C44" s="14" t="s">
        <v>198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7">
        <v>0</v>
      </c>
    </row>
    <row r="45" spans="1:16" x14ac:dyDescent="0.25">
      <c r="A45" s="6" t="s">
        <v>281</v>
      </c>
      <c r="B45" s="6" t="s">
        <v>282</v>
      </c>
      <c r="C45" s="20">
        <v>0.43</v>
      </c>
      <c r="D45" s="20">
        <v>0.74</v>
      </c>
      <c r="E45" s="20">
        <v>1.4818</v>
      </c>
      <c r="F45" s="20">
        <v>0.34</v>
      </c>
      <c r="G45" s="20">
        <v>1.48</v>
      </c>
      <c r="H45" s="20">
        <v>1.1200000000000001</v>
      </c>
      <c r="I45" s="20">
        <v>1.0345</v>
      </c>
      <c r="J45" s="20">
        <v>1.43</v>
      </c>
      <c r="K45" s="20">
        <v>1.3977999999999999</v>
      </c>
      <c r="L45" s="20">
        <v>1.64</v>
      </c>
      <c r="M45" s="20">
        <v>1.31</v>
      </c>
      <c r="N45" s="20">
        <v>1.1000000000000001</v>
      </c>
      <c r="O45" s="20">
        <v>2.41</v>
      </c>
      <c r="P45" s="23">
        <v>2.41</v>
      </c>
    </row>
    <row r="46" spans="1:16" x14ac:dyDescent="0.25">
      <c r="A46" s="10" t="s">
        <v>520</v>
      </c>
      <c r="B46" s="10" t="s">
        <v>535</v>
      </c>
      <c r="C46" s="14" t="s">
        <v>198</v>
      </c>
      <c r="D46" s="14">
        <v>-2.5000000000000001E-3</v>
      </c>
      <c r="E46" s="14">
        <v>2.0999999999999999E-3</v>
      </c>
      <c r="F46" s="14">
        <v>1.2999999999999999E-3</v>
      </c>
      <c r="G46" s="14">
        <v>2.3999999999999998E-3</v>
      </c>
      <c r="H46" s="14">
        <v>1.11E-2</v>
      </c>
      <c r="I46" s="14">
        <v>1.8499999999999999E-2</v>
      </c>
      <c r="J46" s="14">
        <v>1.0699999999999999E-2</v>
      </c>
      <c r="K46" s="14">
        <v>1.5E-3</v>
      </c>
      <c r="L46" s="14">
        <v>1.3299999999999999E-2</v>
      </c>
      <c r="M46" s="14" t="s">
        <v>198</v>
      </c>
      <c r="N46" s="14">
        <v>3.5900000000000001E-2</v>
      </c>
      <c r="O46" s="14">
        <v>1.3299999999999999E-2</v>
      </c>
      <c r="P46" s="17">
        <v>1.3339999999999999E-2</v>
      </c>
    </row>
    <row r="47" spans="1:16" x14ac:dyDescent="0.25">
      <c r="A47" s="10" t="s">
        <v>523</v>
      </c>
      <c r="B47" s="10" t="s">
        <v>536</v>
      </c>
      <c r="C47" s="14" t="s">
        <v>198</v>
      </c>
      <c r="D47" s="14" t="s">
        <v>198</v>
      </c>
      <c r="E47" s="14" t="s">
        <v>198</v>
      </c>
      <c r="F47" s="14" t="s">
        <v>198</v>
      </c>
      <c r="G47" s="14" t="s">
        <v>198</v>
      </c>
      <c r="H47" s="14" t="s">
        <v>198</v>
      </c>
      <c r="I47" s="14" t="s">
        <v>198</v>
      </c>
      <c r="J47" s="14">
        <v>-5.9200000000000003E-2</v>
      </c>
      <c r="K47" s="14" t="s">
        <v>198</v>
      </c>
      <c r="L47" s="14" t="s">
        <v>198</v>
      </c>
      <c r="M47" s="14" t="s">
        <v>198</v>
      </c>
      <c r="N47" s="14" t="s">
        <v>198</v>
      </c>
      <c r="O47" s="14" t="s">
        <v>198</v>
      </c>
      <c r="P47" s="17"/>
    </row>
    <row r="48" spans="1:16" x14ac:dyDescent="0.25">
      <c r="A48" s="6" t="s">
        <v>537</v>
      </c>
      <c r="B48" s="6" t="s">
        <v>57</v>
      </c>
      <c r="C48" s="20" t="s">
        <v>198</v>
      </c>
      <c r="D48" s="20">
        <v>0.71879999999999999</v>
      </c>
      <c r="E48" s="20">
        <v>1.4838</v>
      </c>
      <c r="F48" s="20">
        <v>0.33650000000000002</v>
      </c>
      <c r="G48" s="20">
        <v>1.4797</v>
      </c>
      <c r="H48" s="20">
        <v>1.1344000000000001</v>
      </c>
      <c r="I48" s="20">
        <v>1.0529999999999999</v>
      </c>
      <c r="J48" s="20">
        <v>1.3845000000000001</v>
      </c>
      <c r="K48" s="20">
        <v>1.3993</v>
      </c>
      <c r="L48" s="20">
        <v>1.6440999999999999</v>
      </c>
      <c r="M48" s="20">
        <v>1.31</v>
      </c>
      <c r="N48" s="20">
        <v>1.1356999999999999</v>
      </c>
      <c r="O48" s="20">
        <v>2.4209999999999998</v>
      </c>
      <c r="P48" s="23">
        <v>2.4210180000000001</v>
      </c>
    </row>
    <row r="49" spans="1:16" x14ac:dyDescent="0.25">
      <c r="A49" s="7" t="s">
        <v>65</v>
      </c>
      <c r="B49" s="7"/>
      <c r="C49" s="7" t="s">
        <v>4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9"/>
  <sheetViews>
    <sheetView workbookViewId="0">
      <selection activeCell="H7" sqref="H7"/>
    </sheetView>
  </sheetViews>
  <sheetFormatPr baseColWidth="10" defaultRowHeight="15" x14ac:dyDescent="0.25"/>
  <cols>
    <col min="1" max="1" width="35.140625" customWidth="1"/>
    <col min="2" max="2" width="0" hidden="1" customWidth="1"/>
    <col min="3" max="14" width="11.85546875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.25" x14ac:dyDescent="0.25">
      <c r="A2" s="8" t="s">
        <v>538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25">
      <c r="A4" s="3" t="s">
        <v>67</v>
      </c>
      <c r="B4" s="3"/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</row>
    <row r="5" spans="1:14" x14ac:dyDescent="0.25">
      <c r="A5" s="9" t="s">
        <v>21</v>
      </c>
      <c r="B5" s="9"/>
      <c r="C5" s="5" t="s">
        <v>22</v>
      </c>
      <c r="D5" s="5" t="s">
        <v>23</v>
      </c>
      <c r="E5" s="5" t="s">
        <v>24</v>
      </c>
      <c r="F5" s="5" t="s">
        <v>25</v>
      </c>
      <c r="G5" s="5" t="s">
        <v>26</v>
      </c>
      <c r="H5" s="5" t="s">
        <v>27</v>
      </c>
      <c r="I5" s="5" t="s">
        <v>28</v>
      </c>
      <c r="J5" s="5" t="s">
        <v>29</v>
      </c>
      <c r="K5" s="5" t="s">
        <v>30</v>
      </c>
      <c r="L5" s="5" t="s">
        <v>31</v>
      </c>
      <c r="M5" s="5" t="s">
        <v>32</v>
      </c>
      <c r="N5" s="5" t="s">
        <v>33</v>
      </c>
    </row>
    <row r="6" spans="1:14" x14ac:dyDescent="0.25">
      <c r="A6" s="10" t="s">
        <v>532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</row>
    <row r="7" spans="1:14" x14ac:dyDescent="0.25">
      <c r="A7" s="10" t="s">
        <v>539</v>
      </c>
      <c r="B7" s="10" t="s">
        <v>540</v>
      </c>
      <c r="C7" s="14" t="s">
        <v>198</v>
      </c>
      <c r="D7" s="14">
        <v>0.71879999999999999</v>
      </c>
      <c r="E7" s="14">
        <v>1.4838</v>
      </c>
      <c r="F7" s="14">
        <v>0.33650000000000002</v>
      </c>
      <c r="G7" s="14">
        <v>1.4797</v>
      </c>
      <c r="H7" s="14">
        <v>1.1344000000000001</v>
      </c>
      <c r="I7" s="14">
        <v>1.0529999999999999</v>
      </c>
      <c r="J7" s="14">
        <v>1.3845000000000001</v>
      </c>
      <c r="K7" s="14">
        <v>1.3993</v>
      </c>
      <c r="L7" s="14">
        <v>1.6440999999999999</v>
      </c>
      <c r="M7" s="14">
        <v>1.31</v>
      </c>
      <c r="N7" s="14">
        <v>1.1356999999999999</v>
      </c>
    </row>
    <row r="8" spans="1:14" x14ac:dyDescent="0.25">
      <c r="A8" s="10" t="s">
        <v>541</v>
      </c>
      <c r="B8" s="10" t="s">
        <v>542</v>
      </c>
      <c r="C8" s="14" t="s">
        <v>198</v>
      </c>
      <c r="D8" s="14">
        <v>0.71879999999999999</v>
      </c>
      <c r="E8" s="14">
        <v>1.4838</v>
      </c>
      <c r="F8" s="14">
        <v>0.33650000000000002</v>
      </c>
      <c r="G8" s="14">
        <v>1.4797</v>
      </c>
      <c r="H8" s="14">
        <v>1.1344000000000001</v>
      </c>
      <c r="I8" s="14">
        <v>1.0529999999999999</v>
      </c>
      <c r="J8" s="14">
        <v>1.3845000000000001</v>
      </c>
      <c r="K8" s="14">
        <v>1.3993</v>
      </c>
      <c r="L8" s="14">
        <v>1.6440999999999999</v>
      </c>
      <c r="M8" s="14">
        <v>1.31</v>
      </c>
      <c r="N8" s="14">
        <v>1.1356999999999999</v>
      </c>
    </row>
    <row r="9" spans="1:14" x14ac:dyDescent="0.25">
      <c r="A9" s="10" t="s">
        <v>543</v>
      </c>
      <c r="B9" s="10" t="s">
        <v>544</v>
      </c>
      <c r="C9" s="14" t="s">
        <v>198</v>
      </c>
      <c r="D9" s="14" t="s">
        <v>198</v>
      </c>
      <c r="E9" s="14" t="s">
        <v>198</v>
      </c>
      <c r="F9" s="14">
        <v>0.33789999999999998</v>
      </c>
      <c r="G9" s="14">
        <v>1.4835</v>
      </c>
      <c r="H9" s="14">
        <v>1.1471</v>
      </c>
      <c r="I9" s="14">
        <v>1.0641</v>
      </c>
      <c r="J9" s="14">
        <v>1.3942000000000001</v>
      </c>
      <c r="K9" s="14">
        <v>1.4109</v>
      </c>
      <c r="L9" s="14">
        <v>1.655</v>
      </c>
      <c r="M9" s="14">
        <v>1.3210999999999999</v>
      </c>
      <c r="N9" s="14">
        <v>1.1415999999999999</v>
      </c>
    </row>
    <row r="10" spans="1:14" x14ac:dyDescent="0.25">
      <c r="A10" s="10" t="s">
        <v>545</v>
      </c>
      <c r="B10" s="10" t="s">
        <v>546</v>
      </c>
      <c r="C10" s="14" t="s">
        <v>198</v>
      </c>
      <c r="D10" s="14" t="s">
        <v>198</v>
      </c>
      <c r="E10" s="14" t="s">
        <v>198</v>
      </c>
      <c r="F10" s="14">
        <v>0.33789999999999998</v>
      </c>
      <c r="G10" s="14">
        <v>1.4835</v>
      </c>
      <c r="H10" s="14">
        <v>1.1471</v>
      </c>
      <c r="I10" s="14">
        <v>1.0641</v>
      </c>
      <c r="J10" s="14">
        <v>1.3942000000000001</v>
      </c>
      <c r="K10" s="14">
        <v>1.4109</v>
      </c>
      <c r="L10" s="14">
        <v>1.655</v>
      </c>
      <c r="M10" s="14">
        <v>1.3210999999999999</v>
      </c>
      <c r="N10" s="14">
        <v>1.1415999999999999</v>
      </c>
    </row>
    <row r="11" spans="1:14" x14ac:dyDescent="0.25">
      <c r="A11" s="10" t="s">
        <v>547</v>
      </c>
      <c r="B11" s="10" t="s">
        <v>548</v>
      </c>
      <c r="C11" s="14" t="s">
        <v>198</v>
      </c>
      <c r="D11" s="14" t="s">
        <v>198</v>
      </c>
      <c r="E11" s="14" t="s">
        <v>198</v>
      </c>
      <c r="F11" s="14">
        <v>0.33789999999999998</v>
      </c>
      <c r="G11" s="14">
        <v>1.4835</v>
      </c>
      <c r="H11" s="14">
        <v>1.1471</v>
      </c>
      <c r="I11" s="14">
        <v>1.0641</v>
      </c>
      <c r="J11" s="14">
        <v>1.3942000000000001</v>
      </c>
      <c r="K11" s="14">
        <v>1.4109</v>
      </c>
      <c r="L11" s="14">
        <v>1.655</v>
      </c>
      <c r="M11" s="14">
        <v>1.3210999999999999</v>
      </c>
      <c r="N11" s="14">
        <v>1.1415999999999999</v>
      </c>
    </row>
    <row r="12" spans="1:14" x14ac:dyDescent="0.25">
      <c r="A12" s="10" t="s">
        <v>549</v>
      </c>
      <c r="B12" s="10" t="s">
        <v>550</v>
      </c>
      <c r="C12" s="14" t="s">
        <v>198</v>
      </c>
      <c r="D12" s="14" t="s">
        <v>198</v>
      </c>
      <c r="E12" s="14" t="s">
        <v>198</v>
      </c>
      <c r="F12" s="14">
        <v>0.33789999999999998</v>
      </c>
      <c r="G12" s="14">
        <v>1.4835</v>
      </c>
      <c r="H12" s="14">
        <v>1.1471</v>
      </c>
      <c r="I12" s="14">
        <v>1.0641</v>
      </c>
      <c r="J12" s="14">
        <v>1.3942000000000001</v>
      </c>
      <c r="K12" s="14">
        <v>1.4109</v>
      </c>
      <c r="L12" s="14">
        <v>1.655</v>
      </c>
      <c r="M12" s="14">
        <v>1.3210999999999999</v>
      </c>
      <c r="N12" s="14">
        <v>1.1415999999999999</v>
      </c>
    </row>
    <row r="13" spans="1:14" x14ac:dyDescent="0.25">
      <c r="A13" s="10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spans="1:14" x14ac:dyDescent="0.25">
      <c r="A14" s="10" t="s">
        <v>551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</row>
    <row r="15" spans="1:14" x14ac:dyDescent="0.25">
      <c r="A15" s="10" t="s">
        <v>552</v>
      </c>
      <c r="B15" s="10" t="s">
        <v>553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</row>
    <row r="16" spans="1:14" x14ac:dyDescent="0.25">
      <c r="A16" s="10" t="s">
        <v>554</v>
      </c>
      <c r="B16" s="10" t="s">
        <v>555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</row>
    <row r="17" spans="1:14" x14ac:dyDescent="0.25">
      <c r="A17" s="10" t="s">
        <v>556</v>
      </c>
      <c r="B17" s="10" t="s">
        <v>557</v>
      </c>
      <c r="C17" s="14" t="s">
        <v>198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</row>
    <row r="18" spans="1:14" x14ac:dyDescent="0.25">
      <c r="A18" s="10" t="s">
        <v>558</v>
      </c>
      <c r="B18" s="10" t="s">
        <v>559</v>
      </c>
      <c r="C18" s="14" t="s">
        <v>198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</row>
    <row r="19" spans="1:14" x14ac:dyDescent="0.25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25">
      <c r="A20" s="10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21" spans="1:14" x14ac:dyDescent="0.25">
      <c r="A21" s="10" t="s">
        <v>560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spans="1:14" x14ac:dyDescent="0.25">
      <c r="A22" s="10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 spans="1:14" x14ac:dyDescent="0.25">
      <c r="A23" s="10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</row>
    <row r="24" spans="1:14" x14ac:dyDescent="0.25">
      <c r="A24" s="10" t="s">
        <v>561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5" spans="1:14" x14ac:dyDescent="0.25">
      <c r="A25" s="10" t="s">
        <v>552</v>
      </c>
      <c r="B25" s="10" t="s">
        <v>562</v>
      </c>
      <c r="C25" s="13" t="s">
        <v>198</v>
      </c>
      <c r="D25" s="13" t="s">
        <v>198</v>
      </c>
      <c r="E25" s="13" t="s">
        <v>198</v>
      </c>
      <c r="F25" s="13">
        <v>18.832000000000001</v>
      </c>
      <c r="G25" s="13">
        <v>18.832000000000001</v>
      </c>
      <c r="H25" s="13">
        <v>64.948999999999998</v>
      </c>
      <c r="I25" s="13">
        <v>56.771999999999998</v>
      </c>
      <c r="J25" s="13">
        <v>50.137</v>
      </c>
      <c r="K25" s="13">
        <v>59.686</v>
      </c>
      <c r="L25" s="13">
        <v>55.994</v>
      </c>
      <c r="M25" s="13">
        <v>56.728999999999999</v>
      </c>
      <c r="N25" s="13">
        <v>30.195</v>
      </c>
    </row>
    <row r="26" spans="1:14" x14ac:dyDescent="0.25">
      <c r="A26" s="10" t="s">
        <v>554</v>
      </c>
      <c r="B26" s="10" t="s">
        <v>563</v>
      </c>
      <c r="C26" s="13" t="s">
        <v>198</v>
      </c>
      <c r="D26" s="13" t="s">
        <v>198</v>
      </c>
      <c r="E26" s="13" t="s">
        <v>198</v>
      </c>
      <c r="F26" s="13">
        <v>13.182399999999999</v>
      </c>
      <c r="G26" s="13">
        <v>13.182399999999999</v>
      </c>
      <c r="H26" s="13">
        <v>45.464300000000001</v>
      </c>
      <c r="I26" s="13">
        <v>39.740400000000001</v>
      </c>
      <c r="J26" s="13">
        <v>35.0959</v>
      </c>
      <c r="K26" s="13">
        <v>41.780200000000001</v>
      </c>
      <c r="L26" s="13">
        <v>39.195799999999998</v>
      </c>
      <c r="M26" s="13">
        <v>39.710299999999997</v>
      </c>
      <c r="N26" s="13">
        <v>21.136500000000002</v>
      </c>
    </row>
    <row r="27" spans="1:14" x14ac:dyDescent="0.25">
      <c r="A27" s="10" t="s">
        <v>556</v>
      </c>
      <c r="B27" s="10" t="s">
        <v>564</v>
      </c>
      <c r="C27" s="14" t="s">
        <v>198</v>
      </c>
      <c r="D27" s="14" t="s">
        <v>198</v>
      </c>
      <c r="E27" s="14" t="s">
        <v>198</v>
      </c>
      <c r="F27" s="14">
        <v>1.4E-3</v>
      </c>
      <c r="G27" s="14">
        <v>3.8E-3</v>
      </c>
      <c r="H27" s="14">
        <v>1.2699999999999999E-2</v>
      </c>
      <c r="I27" s="14">
        <v>1.11E-2</v>
      </c>
      <c r="J27" s="14">
        <v>9.7999999999999997E-3</v>
      </c>
      <c r="K27" s="14">
        <v>1.1599999999999999E-2</v>
      </c>
      <c r="L27" s="14">
        <v>1.09E-2</v>
      </c>
      <c r="M27" s="14">
        <v>1.11E-2</v>
      </c>
      <c r="N27" s="14">
        <v>5.8999999999999999E-3</v>
      </c>
    </row>
    <row r="28" spans="1:14" x14ac:dyDescent="0.25">
      <c r="A28" s="10" t="s">
        <v>558</v>
      </c>
      <c r="B28" s="10" t="s">
        <v>565</v>
      </c>
      <c r="C28" s="14" t="s">
        <v>198</v>
      </c>
      <c r="D28" s="14" t="s">
        <v>198</v>
      </c>
      <c r="E28" s="14" t="s">
        <v>198</v>
      </c>
      <c r="F28" s="14">
        <v>1.4E-3</v>
      </c>
      <c r="G28" s="14">
        <v>3.8E-3</v>
      </c>
      <c r="H28" s="14">
        <v>1.2699999999999999E-2</v>
      </c>
      <c r="I28" s="14">
        <v>1.11E-2</v>
      </c>
      <c r="J28" s="14">
        <v>9.7999999999999997E-3</v>
      </c>
      <c r="K28" s="14">
        <v>1.1599999999999999E-2</v>
      </c>
      <c r="L28" s="14">
        <v>1.09E-2</v>
      </c>
      <c r="M28" s="14">
        <v>1.11E-2</v>
      </c>
      <c r="N28" s="14">
        <v>5.8999999999999999E-3</v>
      </c>
    </row>
    <row r="29" spans="1:14" x14ac:dyDescent="0.25">
      <c r="A29" s="7" t="s">
        <v>65</v>
      </c>
      <c r="B29" s="7"/>
      <c r="C29" s="7" t="s">
        <v>4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98"/>
  <sheetViews>
    <sheetView workbookViewId="0">
      <selection activeCell="D7" sqref="D7"/>
    </sheetView>
  </sheetViews>
  <sheetFormatPr baseColWidth="10" defaultRowHeight="15" x14ac:dyDescent="0.25"/>
  <cols>
    <col min="1" max="1" width="35.140625" customWidth="1"/>
    <col min="2" max="2" width="0" hidden="1" customWidth="1"/>
    <col min="3" max="15" width="11.85546875" customWidth="1"/>
  </cols>
  <sheetData>
    <row r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.25" x14ac:dyDescent="0.25">
      <c r="A2" s="8" t="s">
        <v>566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3" t="s">
        <v>67</v>
      </c>
      <c r="B4" s="3"/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</row>
    <row r="5" spans="1:15" x14ac:dyDescent="0.25">
      <c r="A5" s="9" t="s">
        <v>21</v>
      </c>
      <c r="B5" s="9"/>
      <c r="C5" s="5" t="s">
        <v>22</v>
      </c>
      <c r="D5" s="5" t="s">
        <v>23</v>
      </c>
      <c r="E5" s="5" t="s">
        <v>24</v>
      </c>
      <c r="F5" s="5" t="s">
        <v>25</v>
      </c>
      <c r="G5" s="5" t="s">
        <v>26</v>
      </c>
      <c r="H5" s="5" t="s">
        <v>27</v>
      </c>
      <c r="I5" s="5" t="s">
        <v>28</v>
      </c>
      <c r="J5" s="5" t="s">
        <v>29</v>
      </c>
      <c r="K5" s="5" t="s">
        <v>30</v>
      </c>
      <c r="L5" s="5" t="s">
        <v>31</v>
      </c>
      <c r="M5" s="5" t="s">
        <v>32</v>
      </c>
      <c r="N5" s="5" t="s">
        <v>33</v>
      </c>
      <c r="O5" s="5" t="s">
        <v>34</v>
      </c>
    </row>
    <row r="6" spans="1:15" x14ac:dyDescent="0.25">
      <c r="A6" s="6" t="s">
        <v>83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</row>
    <row r="7" spans="1:15" x14ac:dyDescent="0.25">
      <c r="A7" s="10" t="s">
        <v>567</v>
      </c>
      <c r="B7" s="10" t="s">
        <v>568</v>
      </c>
      <c r="C7" s="13">
        <v>2371.5880000000002</v>
      </c>
      <c r="D7" s="13">
        <v>4157.8609999999999</v>
      </c>
      <c r="E7" s="13">
        <v>4139.3819999999996</v>
      </c>
      <c r="F7" s="13">
        <v>5128.1369999999997</v>
      </c>
      <c r="G7" s="13">
        <v>19995.891</v>
      </c>
      <c r="H7" s="13">
        <v>12027.931</v>
      </c>
      <c r="I7" s="13">
        <v>9628.1689999999999</v>
      </c>
      <c r="J7" s="13">
        <v>7950.0569999999998</v>
      </c>
      <c r="K7" s="13">
        <v>12791.282999999999</v>
      </c>
      <c r="L7" s="13">
        <v>4520.8389999999999</v>
      </c>
      <c r="M7" s="13">
        <v>6366.67</v>
      </c>
      <c r="N7" s="13">
        <v>10684.509</v>
      </c>
      <c r="O7" s="13">
        <v>11112.87</v>
      </c>
    </row>
    <row r="8" spans="1:15" x14ac:dyDescent="0.25">
      <c r="A8" s="10" t="s">
        <v>569</v>
      </c>
      <c r="B8" s="10" t="s">
        <v>570</v>
      </c>
      <c r="C8" s="13">
        <v>2371.5880000000002</v>
      </c>
      <c r="D8" s="13">
        <v>4157.8609999999999</v>
      </c>
      <c r="E8" s="13">
        <v>4139.3819999999996</v>
      </c>
      <c r="F8" s="13">
        <v>5128.1369999999997</v>
      </c>
      <c r="G8" s="13">
        <v>19995.891</v>
      </c>
      <c r="H8" s="13">
        <v>12027.931</v>
      </c>
      <c r="I8" s="13">
        <v>9628.1689999999999</v>
      </c>
      <c r="J8" s="13">
        <v>7646.3180000000002</v>
      </c>
      <c r="K8" s="13">
        <v>12791.282999999999</v>
      </c>
      <c r="L8" s="13">
        <v>4520.8389999999999</v>
      </c>
      <c r="M8" s="13">
        <v>6366.67</v>
      </c>
      <c r="N8" s="13">
        <v>10684.509</v>
      </c>
      <c r="O8" s="13">
        <v>11112.87</v>
      </c>
    </row>
    <row r="9" spans="1:15" x14ac:dyDescent="0.25">
      <c r="A9" s="10" t="s">
        <v>571</v>
      </c>
      <c r="B9" s="10" t="s">
        <v>572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303.73899999999998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</row>
    <row r="10" spans="1:15" x14ac:dyDescent="0.25">
      <c r="A10" s="10" t="s">
        <v>573</v>
      </c>
      <c r="B10" s="10" t="s">
        <v>574</v>
      </c>
      <c r="C10" s="13">
        <v>3395.1869999999999</v>
      </c>
      <c r="D10" s="13">
        <v>4423.9260000000004</v>
      </c>
      <c r="E10" s="13">
        <v>5385.2950000000001</v>
      </c>
      <c r="F10" s="13">
        <v>6593.9669999999996</v>
      </c>
      <c r="G10" s="13">
        <v>7480.942</v>
      </c>
      <c r="H10" s="13">
        <v>8633.2909999999993</v>
      </c>
      <c r="I10" s="13">
        <v>9398.2330000000002</v>
      </c>
      <c r="J10" s="13">
        <v>9213.7150000000001</v>
      </c>
      <c r="K10" s="13">
        <v>10284.156000000001</v>
      </c>
      <c r="L10" s="13">
        <v>11811.647999999999</v>
      </c>
      <c r="M10" s="13">
        <v>11229.045</v>
      </c>
      <c r="N10" s="13">
        <v>12037.674000000001</v>
      </c>
      <c r="O10" s="13">
        <v>11676.826999999999</v>
      </c>
    </row>
    <row r="11" spans="1:15" x14ac:dyDescent="0.25">
      <c r="A11" s="10" t="s">
        <v>575</v>
      </c>
      <c r="B11" s="10" t="s">
        <v>576</v>
      </c>
      <c r="C11" s="13">
        <v>3395.1869999999999</v>
      </c>
      <c r="D11" s="13">
        <v>4423.9260000000004</v>
      </c>
      <c r="E11" s="13">
        <v>5385.2950000000001</v>
      </c>
      <c r="F11" s="13">
        <v>6593.9669999999996</v>
      </c>
      <c r="G11" s="13">
        <v>7480.942</v>
      </c>
      <c r="H11" s="13">
        <v>8633.2909999999993</v>
      </c>
      <c r="I11" s="13">
        <v>9398.2330000000002</v>
      </c>
      <c r="J11" s="13">
        <v>9213.7150000000001</v>
      </c>
      <c r="K11" s="13">
        <v>10284.156000000001</v>
      </c>
      <c r="L11" s="13">
        <v>11811.647999999999</v>
      </c>
      <c r="M11" s="13">
        <v>11229.045</v>
      </c>
      <c r="N11" s="13">
        <v>12037.674000000001</v>
      </c>
      <c r="O11" s="13">
        <v>11676.826999999999</v>
      </c>
    </row>
    <row r="12" spans="1:15" x14ac:dyDescent="0.25">
      <c r="A12" s="10" t="s">
        <v>577</v>
      </c>
      <c r="B12" s="10" t="s">
        <v>578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 spans="1:15" x14ac:dyDescent="0.25">
      <c r="A13" s="10" t="s">
        <v>579</v>
      </c>
      <c r="B13" s="10" t="s">
        <v>580</v>
      </c>
      <c r="C13" s="13">
        <v>3237.3519999999999</v>
      </c>
      <c r="D13" s="13">
        <v>3866.7469999999998</v>
      </c>
      <c r="E13" s="13">
        <v>4352.1189999999997</v>
      </c>
      <c r="F13" s="13">
        <v>5942.6390000000001</v>
      </c>
      <c r="G13" s="13">
        <v>7418.9939999999997</v>
      </c>
      <c r="H13" s="13">
        <v>8162.3490000000002</v>
      </c>
      <c r="I13" s="13">
        <v>10353.485000000001</v>
      </c>
      <c r="J13" s="13">
        <v>11485.704</v>
      </c>
      <c r="K13" s="13">
        <v>13027.025</v>
      </c>
      <c r="L13" s="13">
        <v>19548.899000000001</v>
      </c>
      <c r="M13" s="13">
        <v>16935.137999999999</v>
      </c>
      <c r="N13" s="13">
        <v>15902.513000000001</v>
      </c>
      <c r="O13" s="13">
        <v>13700.18</v>
      </c>
    </row>
    <row r="14" spans="1:15" x14ac:dyDescent="0.25">
      <c r="A14" s="10" t="s">
        <v>581</v>
      </c>
      <c r="B14" s="10" t="s">
        <v>582</v>
      </c>
      <c r="C14" s="13">
        <v>547.31799999999998</v>
      </c>
      <c r="D14" s="13">
        <v>171.935</v>
      </c>
      <c r="E14" s="13">
        <v>194.80799999999999</v>
      </c>
      <c r="F14" s="13">
        <v>252.292</v>
      </c>
      <c r="G14" s="13">
        <v>224.77</v>
      </c>
      <c r="H14" s="13">
        <v>187.84200000000001</v>
      </c>
      <c r="I14" s="13">
        <v>173.33199999999999</v>
      </c>
      <c r="J14" s="13">
        <v>1257.521</v>
      </c>
      <c r="K14" s="13">
        <v>1360.104</v>
      </c>
      <c r="L14" s="13">
        <v>179.12899999999999</v>
      </c>
      <c r="M14" s="13">
        <v>1864.0229999999999</v>
      </c>
      <c r="N14" s="13">
        <v>1396.5840000000001</v>
      </c>
      <c r="O14" s="13">
        <v>109.02</v>
      </c>
    </row>
    <row r="15" spans="1:15" x14ac:dyDescent="0.25">
      <c r="A15" s="10" t="s">
        <v>583</v>
      </c>
      <c r="B15" s="10" t="s">
        <v>584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 t="s">
        <v>198</v>
      </c>
      <c r="O15" s="13">
        <v>0</v>
      </c>
    </row>
    <row r="16" spans="1:15" x14ac:dyDescent="0.25">
      <c r="A16" s="10" t="s">
        <v>585</v>
      </c>
      <c r="B16" s="10" t="s">
        <v>586</v>
      </c>
      <c r="C16" s="13">
        <v>1973.548</v>
      </c>
      <c r="D16" s="13">
        <v>2877.6930000000002</v>
      </c>
      <c r="E16" s="13">
        <v>3376.172</v>
      </c>
      <c r="F16" s="13">
        <v>1890.5250000000001</v>
      </c>
      <c r="G16" s="13">
        <v>3446.0349999999999</v>
      </c>
      <c r="H16" s="13">
        <v>3186.6750000000002</v>
      </c>
      <c r="I16" s="13">
        <v>4181.9920000000002</v>
      </c>
      <c r="J16" s="13">
        <v>4468.0190000000002</v>
      </c>
      <c r="K16" s="13">
        <v>4834.4120000000003</v>
      </c>
      <c r="L16" s="13">
        <v>6209.5230000000001</v>
      </c>
      <c r="M16" s="13">
        <v>6209.2150000000001</v>
      </c>
      <c r="N16" s="13">
        <v>5795.8490000000002</v>
      </c>
      <c r="O16" s="13">
        <v>5375.0749999999998</v>
      </c>
    </row>
    <row r="17" spans="1:15" x14ac:dyDescent="0.25">
      <c r="A17" s="10" t="s">
        <v>587</v>
      </c>
      <c r="B17" s="10" t="s">
        <v>588</v>
      </c>
      <c r="C17" s="13">
        <v>716.48599999999999</v>
      </c>
      <c r="D17" s="13">
        <v>817.11900000000003</v>
      </c>
      <c r="E17" s="13">
        <v>781.13900000000001</v>
      </c>
      <c r="F17" s="13">
        <v>3799.8220000000001</v>
      </c>
      <c r="G17" s="13">
        <v>3748.1889999999999</v>
      </c>
      <c r="H17" s="13">
        <v>4787.8320000000003</v>
      </c>
      <c r="I17" s="13">
        <v>5998.1610000000001</v>
      </c>
      <c r="J17" s="13">
        <v>5760.1639999999998</v>
      </c>
      <c r="K17" s="13">
        <v>6832.509</v>
      </c>
      <c r="L17" s="13">
        <v>13160.246999999999</v>
      </c>
      <c r="M17" s="13">
        <v>8861.9</v>
      </c>
      <c r="N17" s="13">
        <v>8710.08</v>
      </c>
      <c r="O17" s="13">
        <v>8216.0849999999991</v>
      </c>
    </row>
    <row r="18" spans="1:15" x14ac:dyDescent="0.25">
      <c r="A18" s="10" t="s">
        <v>589</v>
      </c>
      <c r="B18" s="10" t="s">
        <v>590</v>
      </c>
      <c r="C18" s="13">
        <v>2549.232</v>
      </c>
      <c r="D18" s="13">
        <v>2159.5940000000001</v>
      </c>
      <c r="E18" s="13">
        <v>1189.1479999999999</v>
      </c>
      <c r="F18" s="13">
        <v>2060.4169999999999</v>
      </c>
      <c r="G18" s="13">
        <v>1701.7159999999999</v>
      </c>
      <c r="H18" s="13">
        <v>2404.9259999999999</v>
      </c>
      <c r="I18" s="13">
        <v>2270.2249999999999</v>
      </c>
      <c r="J18" s="13">
        <v>2977.4839999999999</v>
      </c>
      <c r="K18" s="13">
        <v>2056.7809999999999</v>
      </c>
      <c r="L18" s="13">
        <v>3601.8919999999998</v>
      </c>
      <c r="M18" s="13">
        <v>3563.107</v>
      </c>
      <c r="N18" s="13">
        <v>3182.8339999999998</v>
      </c>
      <c r="O18" s="13">
        <v>3745.5839999999998</v>
      </c>
    </row>
    <row r="19" spans="1:15" x14ac:dyDescent="0.25">
      <c r="A19" s="10" t="s">
        <v>591</v>
      </c>
      <c r="B19" s="10" t="s">
        <v>592</v>
      </c>
      <c r="C19" s="13">
        <v>293.93599999999998</v>
      </c>
      <c r="D19" s="13">
        <v>341.00099999999998</v>
      </c>
      <c r="E19" s="13">
        <v>440.41699999999997</v>
      </c>
      <c r="F19" s="13">
        <v>0</v>
      </c>
      <c r="G19" s="13">
        <v>679.09799999999996</v>
      </c>
      <c r="H19" s="13">
        <v>804.56200000000001</v>
      </c>
      <c r="I19" s="13">
        <v>850.90200000000004</v>
      </c>
      <c r="J19" s="13">
        <v>1004.644</v>
      </c>
      <c r="K19" s="13">
        <v>1076.837</v>
      </c>
      <c r="L19" s="13">
        <v>3191.5749999999998</v>
      </c>
      <c r="M19" s="13">
        <v>944.447</v>
      </c>
      <c r="N19" s="13">
        <v>1106.472</v>
      </c>
      <c r="O19" s="13">
        <v>1976.999</v>
      </c>
    </row>
    <row r="20" spans="1:15" x14ac:dyDescent="0.25">
      <c r="A20" s="10" t="s">
        <v>593</v>
      </c>
      <c r="B20" s="10" t="s">
        <v>594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 t="s">
        <v>198</v>
      </c>
      <c r="I20" s="13" t="s">
        <v>198</v>
      </c>
      <c r="J20" s="13" t="s">
        <v>198</v>
      </c>
      <c r="K20" s="13" t="s">
        <v>198</v>
      </c>
      <c r="L20" s="13" t="s">
        <v>198</v>
      </c>
      <c r="M20" s="13" t="s">
        <v>198</v>
      </c>
      <c r="N20" s="13">
        <v>0</v>
      </c>
      <c r="O20" s="13" t="s">
        <v>198</v>
      </c>
    </row>
    <row r="21" spans="1:15" x14ac:dyDescent="0.25">
      <c r="A21" s="10" t="s">
        <v>595</v>
      </c>
      <c r="B21" s="10" t="s">
        <v>596</v>
      </c>
      <c r="C21" s="13">
        <v>0</v>
      </c>
      <c r="D21" s="13">
        <v>1209.94</v>
      </c>
      <c r="E21" s="13">
        <v>0</v>
      </c>
      <c r="F21" s="13">
        <v>0</v>
      </c>
      <c r="G21" s="13" t="s">
        <v>198</v>
      </c>
      <c r="H21" s="13" t="s">
        <v>198</v>
      </c>
      <c r="I21" s="13" t="s">
        <v>198</v>
      </c>
      <c r="J21" s="13">
        <v>0</v>
      </c>
      <c r="K21" s="13">
        <v>0</v>
      </c>
      <c r="L21" s="13" t="s">
        <v>198</v>
      </c>
      <c r="M21" s="13" t="s">
        <v>198</v>
      </c>
      <c r="N21" s="13" t="s">
        <v>198</v>
      </c>
      <c r="O21" s="13" t="s">
        <v>198</v>
      </c>
    </row>
    <row r="22" spans="1:15" x14ac:dyDescent="0.25">
      <c r="A22" s="10" t="s">
        <v>597</v>
      </c>
      <c r="B22" s="10" t="s">
        <v>598</v>
      </c>
      <c r="C22" s="13" t="s">
        <v>198</v>
      </c>
      <c r="D22" s="13" t="s">
        <v>198</v>
      </c>
      <c r="E22" s="13" t="s">
        <v>198</v>
      </c>
      <c r="F22" s="13">
        <v>1070.99</v>
      </c>
      <c r="G22" s="13" t="s">
        <v>198</v>
      </c>
      <c r="H22" s="13">
        <v>0</v>
      </c>
      <c r="I22" s="13">
        <v>0</v>
      </c>
      <c r="J22" s="13">
        <v>624.40499999999997</v>
      </c>
      <c r="K22" s="13">
        <v>0</v>
      </c>
      <c r="L22" s="13">
        <v>0</v>
      </c>
      <c r="M22" s="13" t="s">
        <v>198</v>
      </c>
      <c r="N22" s="13" t="s">
        <v>198</v>
      </c>
      <c r="O22" s="13" t="s">
        <v>198</v>
      </c>
    </row>
    <row r="23" spans="1:15" x14ac:dyDescent="0.25">
      <c r="A23" s="10" t="s">
        <v>599</v>
      </c>
      <c r="B23" s="10" t="s">
        <v>600</v>
      </c>
      <c r="C23" s="13">
        <v>2255.2959999999998</v>
      </c>
      <c r="D23" s="13">
        <v>608.65300000000002</v>
      </c>
      <c r="E23" s="13">
        <v>748.73099999999999</v>
      </c>
      <c r="F23" s="13">
        <v>989.42700000000002</v>
      </c>
      <c r="G23" s="13">
        <v>1022.6180000000001</v>
      </c>
      <c r="H23" s="13">
        <v>1600.364</v>
      </c>
      <c r="I23" s="13">
        <v>1419.3230000000001</v>
      </c>
      <c r="J23" s="13">
        <v>1348.4349999999999</v>
      </c>
      <c r="K23" s="13">
        <v>979.94399999999996</v>
      </c>
      <c r="L23" s="13">
        <v>410.31700000000001</v>
      </c>
      <c r="M23" s="13">
        <v>2618.66</v>
      </c>
      <c r="N23" s="13">
        <v>2076.3620000000001</v>
      </c>
      <c r="O23" s="13">
        <v>1768.585</v>
      </c>
    </row>
    <row r="24" spans="1:15" x14ac:dyDescent="0.25">
      <c r="A24" s="6" t="s">
        <v>81</v>
      </c>
      <c r="B24" s="6" t="s">
        <v>82</v>
      </c>
      <c r="C24" s="19">
        <v>11553.359</v>
      </c>
      <c r="D24" s="19">
        <v>14608.128000000001</v>
      </c>
      <c r="E24" s="19">
        <v>15065.944</v>
      </c>
      <c r="F24" s="19">
        <v>19725.16</v>
      </c>
      <c r="G24" s="19">
        <v>36597.542999999998</v>
      </c>
      <c r="H24" s="19">
        <v>31228.496999999999</v>
      </c>
      <c r="I24" s="19">
        <v>31650.112000000001</v>
      </c>
      <c r="J24" s="19">
        <v>31626.959999999999</v>
      </c>
      <c r="K24" s="19">
        <v>38159.245000000003</v>
      </c>
      <c r="L24" s="19">
        <v>39483.277999999998</v>
      </c>
      <c r="M24" s="19">
        <v>38093.96</v>
      </c>
      <c r="N24" s="19">
        <v>41807.53</v>
      </c>
      <c r="O24" s="19">
        <v>40235.461000000003</v>
      </c>
    </row>
    <row r="25" spans="1:15" x14ac:dyDescent="0.25">
      <c r="A25" s="10" t="s">
        <v>601</v>
      </c>
      <c r="B25" s="10" t="s">
        <v>602</v>
      </c>
      <c r="C25" s="13">
        <v>1729.454</v>
      </c>
      <c r="D25" s="13">
        <v>2342.4769999999999</v>
      </c>
      <c r="E25" s="13">
        <v>3996.7579999999998</v>
      </c>
      <c r="F25" s="13">
        <v>4640.6009999999997</v>
      </c>
      <c r="G25" s="13">
        <v>5280.4790000000003</v>
      </c>
      <c r="H25" s="13">
        <v>5506.3050000000003</v>
      </c>
      <c r="I25" s="13">
        <v>8990.8459999999995</v>
      </c>
      <c r="J25" s="13">
        <v>12521.258</v>
      </c>
      <c r="K25" s="13">
        <v>14226.172</v>
      </c>
      <c r="L25" s="13">
        <v>16752.504000000001</v>
      </c>
      <c r="M25" s="13">
        <v>18556.382000000001</v>
      </c>
      <c r="N25" s="13">
        <v>20099.27</v>
      </c>
      <c r="O25" s="13">
        <v>19272.437999999998</v>
      </c>
    </row>
    <row r="26" spans="1:15" x14ac:dyDescent="0.25">
      <c r="A26" s="10" t="s">
        <v>603</v>
      </c>
      <c r="B26" s="10" t="s">
        <v>604</v>
      </c>
      <c r="C26" s="13">
        <v>3023.7440000000001</v>
      </c>
      <c r="D26" s="13">
        <v>3886.3589999999999</v>
      </c>
      <c r="E26" s="13">
        <v>5757.9219999999996</v>
      </c>
      <c r="F26" s="13">
        <v>6845.9009999999998</v>
      </c>
      <c r="G26" s="13">
        <v>7854.3469999999998</v>
      </c>
      <c r="H26" s="13">
        <v>8388.3539999999994</v>
      </c>
      <c r="I26" s="13">
        <v>12241.656999999999</v>
      </c>
      <c r="J26" s="13">
        <v>16256.23</v>
      </c>
      <c r="K26" s="13">
        <v>18494.333999999999</v>
      </c>
      <c r="L26" s="13" t="s">
        <v>198</v>
      </c>
      <c r="M26" s="13">
        <v>23748.672999999999</v>
      </c>
      <c r="N26" s="13">
        <v>26464.621999999999</v>
      </c>
      <c r="O26" s="13" t="s">
        <v>198</v>
      </c>
    </row>
    <row r="27" spans="1:15" x14ac:dyDescent="0.25">
      <c r="A27" s="10" t="s">
        <v>605</v>
      </c>
      <c r="B27" s="10" t="s">
        <v>606</v>
      </c>
      <c r="C27" s="13">
        <v>1294.29</v>
      </c>
      <c r="D27" s="13">
        <v>1543.8820000000001</v>
      </c>
      <c r="E27" s="13">
        <v>1761.164</v>
      </c>
      <c r="F27" s="13">
        <v>2205.3000000000002</v>
      </c>
      <c r="G27" s="13">
        <v>2573.8679999999999</v>
      </c>
      <c r="H27" s="13">
        <v>2882.049</v>
      </c>
      <c r="I27" s="13">
        <v>3250.8110000000001</v>
      </c>
      <c r="J27" s="13">
        <v>3734.9720000000002</v>
      </c>
      <c r="K27" s="13">
        <v>4268.1620000000003</v>
      </c>
      <c r="L27" s="13" t="s">
        <v>198</v>
      </c>
      <c r="M27" s="13">
        <v>5192.2910000000002</v>
      </c>
      <c r="N27" s="13">
        <v>6365.3519999999999</v>
      </c>
      <c r="O27" s="13" t="s">
        <v>198</v>
      </c>
    </row>
    <row r="28" spans="1:15" x14ac:dyDescent="0.25">
      <c r="A28" s="10" t="s">
        <v>607</v>
      </c>
      <c r="B28" s="10" t="s">
        <v>608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11.968999999999999</v>
      </c>
      <c r="K28" s="13">
        <v>0</v>
      </c>
      <c r="L28" s="13">
        <v>0</v>
      </c>
      <c r="M28" s="13">
        <v>0</v>
      </c>
      <c r="N28" s="13">
        <v>0</v>
      </c>
      <c r="O28" s="13">
        <v>291.73899999999998</v>
      </c>
    </row>
    <row r="29" spans="1:15" x14ac:dyDescent="0.25">
      <c r="A29" s="10" t="s">
        <v>609</v>
      </c>
      <c r="B29" s="10" t="s">
        <v>610</v>
      </c>
      <c r="C29" s="13" t="s">
        <v>198</v>
      </c>
      <c r="D29" s="13" t="s">
        <v>198</v>
      </c>
      <c r="E29" s="13" t="s">
        <v>198</v>
      </c>
      <c r="F29" s="13" t="s">
        <v>198</v>
      </c>
      <c r="G29" s="13" t="s">
        <v>198</v>
      </c>
      <c r="H29" s="13" t="s">
        <v>198</v>
      </c>
      <c r="I29" s="13" t="s">
        <v>198</v>
      </c>
      <c r="J29" s="13">
        <v>11.968999999999999</v>
      </c>
      <c r="K29" s="13" t="s">
        <v>198</v>
      </c>
      <c r="L29" s="13" t="s">
        <v>198</v>
      </c>
      <c r="M29" s="13" t="s">
        <v>198</v>
      </c>
      <c r="N29" s="13" t="s">
        <v>198</v>
      </c>
      <c r="O29" s="13" t="s">
        <v>198</v>
      </c>
    </row>
    <row r="30" spans="1:15" x14ac:dyDescent="0.25">
      <c r="A30" s="10" t="s">
        <v>611</v>
      </c>
      <c r="B30" s="10" t="s">
        <v>612</v>
      </c>
      <c r="C30" s="13" t="s">
        <v>198</v>
      </c>
      <c r="D30" s="13" t="s">
        <v>198</v>
      </c>
      <c r="E30" s="13" t="s">
        <v>198</v>
      </c>
      <c r="F30" s="13" t="s">
        <v>198</v>
      </c>
      <c r="G30" s="13" t="s">
        <v>198</v>
      </c>
      <c r="H30" s="13" t="s">
        <v>198</v>
      </c>
      <c r="I30" s="13" t="s">
        <v>198</v>
      </c>
      <c r="J30" s="13" t="s">
        <v>198</v>
      </c>
      <c r="K30" s="13" t="s">
        <v>198</v>
      </c>
      <c r="L30" s="13" t="s">
        <v>198</v>
      </c>
      <c r="M30" s="13" t="s">
        <v>198</v>
      </c>
      <c r="N30" s="13" t="s">
        <v>198</v>
      </c>
      <c r="O30" s="13">
        <v>291.73899999999998</v>
      </c>
    </row>
    <row r="31" spans="1:15" x14ac:dyDescent="0.25">
      <c r="A31" s="10" t="s">
        <v>613</v>
      </c>
      <c r="B31" s="10" t="s">
        <v>614</v>
      </c>
      <c r="C31" s="13">
        <v>7922.5789999999997</v>
      </c>
      <c r="D31" s="13">
        <v>7773.1710000000003</v>
      </c>
      <c r="E31" s="13">
        <v>19573.796999999999</v>
      </c>
      <c r="F31" s="13">
        <v>21322.186000000002</v>
      </c>
      <c r="G31" s="13">
        <v>23054.633999999998</v>
      </c>
      <c r="H31" s="13">
        <v>29976.587</v>
      </c>
      <c r="I31" s="13">
        <v>30083.975999999999</v>
      </c>
      <c r="J31" s="13">
        <v>37421.481</v>
      </c>
      <c r="K31" s="13">
        <v>43154.150999999998</v>
      </c>
      <c r="L31" s="13">
        <v>41630.362999999998</v>
      </c>
      <c r="M31" s="13">
        <v>42574.601000000002</v>
      </c>
      <c r="N31" s="13">
        <v>50463.79</v>
      </c>
      <c r="O31" s="13">
        <v>46304.086000000003</v>
      </c>
    </row>
    <row r="32" spans="1:15" x14ac:dyDescent="0.25">
      <c r="A32" s="10" t="s">
        <v>615</v>
      </c>
      <c r="B32" s="10" t="s">
        <v>616</v>
      </c>
      <c r="C32" s="13">
        <v>6213.9939999999997</v>
      </c>
      <c r="D32" s="13">
        <v>6328.5190000000002</v>
      </c>
      <c r="E32" s="13">
        <v>15910.625</v>
      </c>
      <c r="F32" s="13">
        <v>17763.555</v>
      </c>
      <c r="G32" s="13">
        <v>17639.074000000001</v>
      </c>
      <c r="H32" s="13">
        <v>21017.411</v>
      </c>
      <c r="I32" s="13">
        <v>20483.039000000001</v>
      </c>
      <c r="J32" s="13">
        <v>22338.368999999999</v>
      </c>
      <c r="K32" s="13">
        <v>27619.456999999999</v>
      </c>
      <c r="L32" s="13">
        <v>24870.726999999999</v>
      </c>
      <c r="M32" s="13">
        <v>22454.634999999998</v>
      </c>
      <c r="N32" s="13">
        <v>26631.583999999999</v>
      </c>
      <c r="O32" s="13">
        <v>24989.850999999999</v>
      </c>
    </row>
    <row r="33" spans="1:15" x14ac:dyDescent="0.25">
      <c r="A33" s="11" t="s">
        <v>617</v>
      </c>
      <c r="B33" s="11" t="s">
        <v>618</v>
      </c>
      <c r="C33" s="25">
        <v>340.00200000000001</v>
      </c>
      <c r="D33" s="25">
        <v>382.68299999999999</v>
      </c>
      <c r="E33" s="25">
        <v>5505.6279999999997</v>
      </c>
      <c r="F33" s="25">
        <v>5992.3469999999998</v>
      </c>
      <c r="G33" s="25">
        <v>6274.1890000000003</v>
      </c>
      <c r="H33" s="25">
        <v>6353.7380000000003</v>
      </c>
      <c r="I33" s="25">
        <v>6253.0879999999997</v>
      </c>
      <c r="J33" s="25">
        <v>6891.07</v>
      </c>
      <c r="K33" s="25">
        <v>6991.77</v>
      </c>
      <c r="L33" s="25">
        <v>6022.2129999999997</v>
      </c>
      <c r="M33" s="25">
        <v>5535.5749999999998</v>
      </c>
      <c r="N33" s="25">
        <v>6627.2169999999996</v>
      </c>
      <c r="O33" s="25">
        <v>6161.7449999999999</v>
      </c>
    </row>
    <row r="34" spans="1:15" x14ac:dyDescent="0.25">
      <c r="A34" s="11" t="s">
        <v>619</v>
      </c>
      <c r="B34" s="11" t="s">
        <v>620</v>
      </c>
      <c r="C34" s="25">
        <v>5873.9920000000002</v>
      </c>
      <c r="D34" s="25">
        <v>5945.8360000000002</v>
      </c>
      <c r="E34" s="25">
        <v>10404.996999999999</v>
      </c>
      <c r="F34" s="25">
        <v>11771.208000000001</v>
      </c>
      <c r="G34" s="25">
        <v>11364.885</v>
      </c>
      <c r="H34" s="25">
        <v>14663.673000000001</v>
      </c>
      <c r="I34" s="25">
        <v>14229.950999999999</v>
      </c>
      <c r="J34" s="25">
        <v>15447.299000000001</v>
      </c>
      <c r="K34" s="25">
        <v>20627.687000000002</v>
      </c>
      <c r="L34" s="25">
        <v>18848.513999999999</v>
      </c>
      <c r="M34" s="25">
        <v>16919.060000000001</v>
      </c>
      <c r="N34" s="25">
        <v>20004.366999999998</v>
      </c>
      <c r="O34" s="25">
        <v>18828.106</v>
      </c>
    </row>
    <row r="35" spans="1:15" x14ac:dyDescent="0.25">
      <c r="A35" s="10" t="s">
        <v>621</v>
      </c>
      <c r="B35" s="10" t="s">
        <v>622</v>
      </c>
      <c r="C35" s="13" t="s">
        <v>198</v>
      </c>
      <c r="D35" s="13" t="s">
        <v>198</v>
      </c>
      <c r="E35" s="13" t="s">
        <v>198</v>
      </c>
      <c r="F35" s="13">
        <v>0</v>
      </c>
      <c r="G35" s="13">
        <v>944.38</v>
      </c>
      <c r="H35" s="13">
        <v>1454.0550000000001</v>
      </c>
      <c r="I35" s="13">
        <v>1313.9780000000001</v>
      </c>
      <c r="J35" s="13">
        <v>2357.279</v>
      </c>
      <c r="K35" s="13">
        <v>1934.567</v>
      </c>
      <c r="L35" s="13">
        <v>2086.1060000000002</v>
      </c>
      <c r="M35" s="13">
        <v>2432.252</v>
      </c>
      <c r="N35" s="13">
        <v>3986.6979999999999</v>
      </c>
      <c r="O35" s="13">
        <v>1349.5530000000001</v>
      </c>
    </row>
    <row r="36" spans="1:15" x14ac:dyDescent="0.25">
      <c r="A36" s="10" t="s">
        <v>593</v>
      </c>
      <c r="B36" s="10" t="s">
        <v>623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198</v>
      </c>
      <c r="L36" s="13" t="s">
        <v>198</v>
      </c>
      <c r="M36" s="13" t="s">
        <v>198</v>
      </c>
      <c r="N36" s="13">
        <v>0</v>
      </c>
      <c r="O36" s="13" t="s">
        <v>198</v>
      </c>
    </row>
    <row r="37" spans="1:15" x14ac:dyDescent="0.25">
      <c r="A37" s="10" t="s">
        <v>624</v>
      </c>
      <c r="B37" s="10" t="s">
        <v>625</v>
      </c>
      <c r="C37" s="13">
        <v>10.409000000000001</v>
      </c>
      <c r="D37" s="13">
        <v>116.991</v>
      </c>
      <c r="E37" s="13">
        <v>151</v>
      </c>
      <c r="F37" s="13">
        <v>9.4899999999999998E-2</v>
      </c>
      <c r="G37" s="13">
        <v>99.91</v>
      </c>
      <c r="H37" s="13" t="s">
        <v>198</v>
      </c>
      <c r="I37" s="13" t="s">
        <v>198</v>
      </c>
      <c r="J37" s="13">
        <v>234.809</v>
      </c>
      <c r="K37" s="13">
        <v>434.69</v>
      </c>
      <c r="L37" s="13" t="s">
        <v>198</v>
      </c>
      <c r="M37" s="13">
        <v>541.66099999999994</v>
      </c>
      <c r="N37" s="13">
        <v>640.13800000000003</v>
      </c>
      <c r="O37" s="13" t="s">
        <v>198</v>
      </c>
    </row>
    <row r="38" spans="1:15" x14ac:dyDescent="0.25">
      <c r="A38" s="10" t="s">
        <v>626</v>
      </c>
      <c r="B38" s="10" t="s">
        <v>627</v>
      </c>
      <c r="C38" s="13">
        <v>786.846</v>
      </c>
      <c r="D38" s="13">
        <v>154.779</v>
      </c>
      <c r="E38" s="13">
        <v>0</v>
      </c>
      <c r="F38" s="13">
        <v>66.364000000000004</v>
      </c>
      <c r="G38" s="13">
        <v>90.007999999999996</v>
      </c>
      <c r="H38" s="13">
        <v>311.39699999999999</v>
      </c>
      <c r="I38" s="13">
        <v>267.13099999999997</v>
      </c>
      <c r="J38" s="13">
        <v>1567.796</v>
      </c>
      <c r="K38" s="13">
        <v>648.351</v>
      </c>
      <c r="L38" s="13">
        <v>577.92999999999995</v>
      </c>
      <c r="M38" s="13">
        <v>972.58699999999999</v>
      </c>
      <c r="N38" s="13">
        <v>1469.5119999999999</v>
      </c>
      <c r="O38" s="13">
        <v>1149.191</v>
      </c>
    </row>
    <row r="39" spans="1:15" x14ac:dyDescent="0.25">
      <c r="A39" s="10" t="s">
        <v>628</v>
      </c>
      <c r="B39" s="10" t="s">
        <v>629</v>
      </c>
      <c r="C39" s="13">
        <v>911.33</v>
      </c>
      <c r="D39" s="13">
        <v>1172.8820000000001</v>
      </c>
      <c r="E39" s="13">
        <v>3512.172</v>
      </c>
      <c r="F39" s="13">
        <v>3492.1720999999998</v>
      </c>
      <c r="G39" s="13">
        <v>4281.2619999999997</v>
      </c>
      <c r="H39" s="13">
        <v>7193.7240000000002</v>
      </c>
      <c r="I39" s="13">
        <v>8019.8280000000004</v>
      </c>
      <c r="J39" s="13">
        <v>10923.227999999999</v>
      </c>
      <c r="K39" s="13">
        <v>12517.085999999999</v>
      </c>
      <c r="L39" s="13">
        <v>14095.6</v>
      </c>
      <c r="M39" s="13">
        <v>16173.466</v>
      </c>
      <c r="N39" s="13">
        <v>17735.858</v>
      </c>
      <c r="O39" s="13">
        <v>18815.491000000002</v>
      </c>
    </row>
    <row r="40" spans="1:15" x14ac:dyDescent="0.25">
      <c r="A40" s="6" t="s">
        <v>630</v>
      </c>
      <c r="B40" s="6" t="s">
        <v>631</v>
      </c>
      <c r="C40" s="19">
        <v>9652.0329999999994</v>
      </c>
      <c r="D40" s="19">
        <v>10115.647999999999</v>
      </c>
      <c r="E40" s="19">
        <v>23570.555</v>
      </c>
      <c r="F40" s="19">
        <v>25962.787</v>
      </c>
      <c r="G40" s="19">
        <v>28335.113000000001</v>
      </c>
      <c r="H40" s="19">
        <v>35482.892</v>
      </c>
      <c r="I40" s="19">
        <v>39074.822</v>
      </c>
      <c r="J40" s="19">
        <v>49954.707999999999</v>
      </c>
      <c r="K40" s="19">
        <v>57380.322999999997</v>
      </c>
      <c r="L40" s="19">
        <v>58382.866999999998</v>
      </c>
      <c r="M40" s="19">
        <v>61130.983</v>
      </c>
      <c r="N40" s="19">
        <v>70563.06</v>
      </c>
      <c r="O40" s="19">
        <v>65868.263000000006</v>
      </c>
    </row>
    <row r="41" spans="1:15" x14ac:dyDescent="0.25">
      <c r="A41" s="6" t="s">
        <v>83</v>
      </c>
      <c r="B41" s="6" t="s">
        <v>84</v>
      </c>
      <c r="C41" s="19">
        <v>21205.392</v>
      </c>
      <c r="D41" s="19">
        <v>24723.776000000002</v>
      </c>
      <c r="E41" s="19">
        <v>38636.499000000003</v>
      </c>
      <c r="F41" s="19">
        <v>45687.947</v>
      </c>
      <c r="G41" s="19">
        <v>64932.656000000003</v>
      </c>
      <c r="H41" s="19">
        <v>66711.388999999996</v>
      </c>
      <c r="I41" s="19">
        <v>70724.933999999994</v>
      </c>
      <c r="J41" s="19">
        <v>81581.668000000005</v>
      </c>
      <c r="K41" s="19">
        <v>95539.567999999999</v>
      </c>
      <c r="L41" s="19">
        <v>97866.145000000004</v>
      </c>
      <c r="M41" s="19">
        <v>99224.942999999999</v>
      </c>
      <c r="N41" s="19">
        <v>112370.59</v>
      </c>
      <c r="O41" s="19">
        <v>106103.724</v>
      </c>
    </row>
    <row r="42" spans="1:15" x14ac:dyDescent="0.25">
      <c r="A42" s="6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</row>
    <row r="43" spans="1:15" x14ac:dyDescent="0.25">
      <c r="A43" s="6" t="s">
        <v>632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</row>
    <row r="44" spans="1:15" x14ac:dyDescent="0.25">
      <c r="A44" s="10" t="s">
        <v>633</v>
      </c>
      <c r="B44" s="10" t="s">
        <v>634</v>
      </c>
      <c r="C44" s="13">
        <v>1839.49</v>
      </c>
      <c r="D44" s="13">
        <v>2002.105</v>
      </c>
      <c r="E44" s="13">
        <v>1786.932</v>
      </c>
      <c r="F44" s="13">
        <v>2422.0859999999998</v>
      </c>
      <c r="G44" s="13">
        <v>2164.317</v>
      </c>
      <c r="H44" s="13">
        <v>2652.1260000000002</v>
      </c>
      <c r="I44" s="13">
        <v>2251.098</v>
      </c>
      <c r="J44" s="13">
        <v>3231.9870000000001</v>
      </c>
      <c r="K44" s="13">
        <v>4664.7359999999999</v>
      </c>
      <c r="L44" s="13">
        <v>8514.4490000000005</v>
      </c>
      <c r="M44" s="13">
        <v>4499.134</v>
      </c>
      <c r="N44" s="13">
        <v>5485.4960000000001</v>
      </c>
      <c r="O44" s="13">
        <v>5255.6109999999999</v>
      </c>
    </row>
    <row r="45" spans="1:15" x14ac:dyDescent="0.25">
      <c r="A45" s="10" t="s">
        <v>635</v>
      </c>
      <c r="B45" s="10" t="s">
        <v>636</v>
      </c>
      <c r="C45" s="13">
        <v>946.32799999999997</v>
      </c>
      <c r="D45" s="13">
        <v>958.029</v>
      </c>
      <c r="E45" s="13">
        <v>1775.3150000000001</v>
      </c>
      <c r="F45" s="13">
        <v>2422.0859999999998</v>
      </c>
      <c r="G45" s="13">
        <v>2149.973</v>
      </c>
      <c r="H45" s="13">
        <v>2642.7809999999999</v>
      </c>
      <c r="I45" s="13">
        <v>2251.098</v>
      </c>
      <c r="J45" s="13">
        <v>3231.9870000000001</v>
      </c>
      <c r="K45" s="13">
        <v>4664.7359999999999</v>
      </c>
      <c r="L45" s="13">
        <v>8514.4490000000005</v>
      </c>
      <c r="M45" s="13">
        <v>4499.134</v>
      </c>
      <c r="N45" s="13">
        <v>5485.4960000000001</v>
      </c>
      <c r="O45" s="13">
        <v>5255.6109999999999</v>
      </c>
    </row>
    <row r="46" spans="1:15" x14ac:dyDescent="0.25">
      <c r="A46" s="10" t="s">
        <v>637</v>
      </c>
      <c r="B46" s="10" t="s">
        <v>638</v>
      </c>
      <c r="C46" s="13">
        <v>885.09</v>
      </c>
      <c r="D46" s="13">
        <v>1032.0630000000001</v>
      </c>
      <c r="E46" s="13">
        <v>0</v>
      </c>
      <c r="F46" s="13">
        <v>0</v>
      </c>
      <c r="G46" s="13" t="s">
        <v>198</v>
      </c>
      <c r="H46" s="13" t="s">
        <v>198</v>
      </c>
      <c r="I46" s="13" t="s">
        <v>198</v>
      </c>
      <c r="J46" s="13" t="s">
        <v>198</v>
      </c>
      <c r="K46" s="13" t="s">
        <v>198</v>
      </c>
      <c r="L46" s="13" t="s">
        <v>198</v>
      </c>
      <c r="M46" s="13" t="s">
        <v>198</v>
      </c>
      <c r="N46" s="13" t="s">
        <v>198</v>
      </c>
      <c r="O46" s="13" t="s">
        <v>198</v>
      </c>
    </row>
    <row r="47" spans="1:15" x14ac:dyDescent="0.25">
      <c r="A47" s="10" t="s">
        <v>639</v>
      </c>
      <c r="B47" s="10" t="s">
        <v>640</v>
      </c>
      <c r="C47" s="13">
        <v>8.0719999999999992</v>
      </c>
      <c r="D47" s="13">
        <v>12.013</v>
      </c>
      <c r="E47" s="13">
        <v>11.617000000000001</v>
      </c>
      <c r="F47" s="13">
        <v>0</v>
      </c>
      <c r="G47" s="13">
        <v>14.343999999999999</v>
      </c>
      <c r="H47" s="13">
        <v>9.3450000000000006</v>
      </c>
      <c r="I47" s="13">
        <v>0</v>
      </c>
      <c r="J47" s="13" t="s">
        <v>198</v>
      </c>
      <c r="K47" s="13">
        <v>0</v>
      </c>
      <c r="L47" s="13" t="s">
        <v>198</v>
      </c>
      <c r="M47" s="13" t="s">
        <v>198</v>
      </c>
      <c r="N47" s="13" t="s">
        <v>198</v>
      </c>
      <c r="O47" s="13" t="s">
        <v>198</v>
      </c>
    </row>
    <row r="48" spans="1:15" x14ac:dyDescent="0.25">
      <c r="A48" s="10" t="s">
        <v>641</v>
      </c>
      <c r="B48" s="10" t="s">
        <v>642</v>
      </c>
      <c r="C48" s="13">
        <v>955.38099999999997</v>
      </c>
      <c r="D48" s="13">
        <v>1036.8889999999999</v>
      </c>
      <c r="E48" s="13">
        <v>45.713999999999999</v>
      </c>
      <c r="F48" s="13">
        <v>53.142000000000003</v>
      </c>
      <c r="G48" s="13">
        <v>48.311</v>
      </c>
      <c r="H48" s="13">
        <v>48.182000000000002</v>
      </c>
      <c r="I48" s="13">
        <v>491.71300000000002</v>
      </c>
      <c r="J48" s="13">
        <v>666.101</v>
      </c>
      <c r="K48" s="13">
        <v>890.21600000000001</v>
      </c>
      <c r="L48" s="13">
        <v>719.62199999999996</v>
      </c>
      <c r="M48" s="13">
        <v>748.26900000000001</v>
      </c>
      <c r="N48" s="13">
        <v>3762.797</v>
      </c>
      <c r="O48" s="13">
        <v>538.72</v>
      </c>
    </row>
    <row r="49" spans="1:15" x14ac:dyDescent="0.25">
      <c r="A49" s="10" t="s">
        <v>643</v>
      </c>
      <c r="B49" s="10" t="s">
        <v>644</v>
      </c>
      <c r="C49" s="13">
        <v>955.38099999999997</v>
      </c>
      <c r="D49" s="13">
        <v>1036.8889999999999</v>
      </c>
      <c r="E49" s="13">
        <v>45.713999999999999</v>
      </c>
      <c r="F49" s="13">
        <v>53.142000000000003</v>
      </c>
      <c r="G49" s="13">
        <v>48.311</v>
      </c>
      <c r="H49" s="13">
        <v>48.182000000000002</v>
      </c>
      <c r="I49" s="13">
        <v>46.131</v>
      </c>
      <c r="J49" s="13">
        <v>48.832999999999998</v>
      </c>
      <c r="K49" s="13">
        <v>102.363</v>
      </c>
      <c r="L49" s="13">
        <v>96.286000000000001</v>
      </c>
      <c r="M49" s="13">
        <v>84.012</v>
      </c>
      <c r="N49" s="13">
        <v>3250.18</v>
      </c>
      <c r="O49" s="13">
        <v>99.224000000000004</v>
      </c>
    </row>
    <row r="50" spans="1:15" x14ac:dyDescent="0.25">
      <c r="A50" s="10" t="s">
        <v>645</v>
      </c>
      <c r="B50" s="10" t="s">
        <v>646</v>
      </c>
      <c r="C50" s="13" t="s">
        <v>198</v>
      </c>
      <c r="D50" s="13" t="s">
        <v>198</v>
      </c>
      <c r="E50" s="13">
        <v>0</v>
      </c>
      <c r="F50" s="13">
        <v>0</v>
      </c>
      <c r="G50" s="13">
        <v>0</v>
      </c>
      <c r="H50" s="13">
        <v>0</v>
      </c>
      <c r="I50" s="13">
        <v>445.58199999999999</v>
      </c>
      <c r="J50" s="13">
        <v>617.26800000000003</v>
      </c>
      <c r="K50" s="13">
        <v>787.85299999999995</v>
      </c>
      <c r="L50" s="13">
        <v>623.33600000000001</v>
      </c>
      <c r="M50" s="13">
        <v>664.25699999999995</v>
      </c>
      <c r="N50" s="13">
        <v>512.61699999999996</v>
      </c>
      <c r="O50" s="13">
        <v>439.49599999999998</v>
      </c>
    </row>
    <row r="51" spans="1:15" x14ac:dyDescent="0.25">
      <c r="A51" s="11" t="s">
        <v>647</v>
      </c>
      <c r="B51" s="11" t="s">
        <v>648</v>
      </c>
      <c r="C51" s="25" t="s">
        <v>198</v>
      </c>
      <c r="D51" s="25" t="s">
        <v>198</v>
      </c>
      <c r="E51" s="25">
        <v>0</v>
      </c>
      <c r="F51" s="25">
        <v>0</v>
      </c>
      <c r="G51" s="25">
        <v>0</v>
      </c>
      <c r="H51" s="25" t="s">
        <v>198</v>
      </c>
      <c r="I51" s="25" t="s">
        <v>198</v>
      </c>
      <c r="J51" s="25" t="s">
        <v>198</v>
      </c>
      <c r="K51" s="25" t="s">
        <v>198</v>
      </c>
      <c r="L51" s="25" t="s">
        <v>198</v>
      </c>
      <c r="M51" s="25" t="s">
        <v>198</v>
      </c>
      <c r="N51" s="25" t="s">
        <v>198</v>
      </c>
      <c r="O51" s="25" t="s">
        <v>198</v>
      </c>
    </row>
    <row r="52" spans="1:15" x14ac:dyDescent="0.25">
      <c r="A52" s="10" t="s">
        <v>649</v>
      </c>
      <c r="B52" s="10" t="s">
        <v>650</v>
      </c>
      <c r="C52" s="13">
        <v>2251.4270000000001</v>
      </c>
      <c r="D52" s="13">
        <v>2290.1370000000002</v>
      </c>
      <c r="E52" s="13">
        <v>2213.0450000000001</v>
      </c>
      <c r="F52" s="13">
        <v>1981.3879999999999</v>
      </c>
      <c r="G52" s="13">
        <v>2890.39</v>
      </c>
      <c r="H52" s="13">
        <v>2391.3449999999998</v>
      </c>
      <c r="I52" s="13">
        <v>3944.6039999999998</v>
      </c>
      <c r="J52" s="13">
        <v>4809.5600000000004</v>
      </c>
      <c r="K52" s="13">
        <v>6602.5720000000001</v>
      </c>
      <c r="L52" s="13">
        <v>6267.6139999999996</v>
      </c>
      <c r="M52" s="13">
        <v>6558.1850000000004</v>
      </c>
      <c r="N52" s="13">
        <v>6590.0309999999999</v>
      </c>
      <c r="O52" s="13">
        <v>6661.1710000000003</v>
      </c>
    </row>
    <row r="53" spans="1:15" x14ac:dyDescent="0.25">
      <c r="A53" s="10" t="s">
        <v>651</v>
      </c>
      <c r="B53" s="10" t="s">
        <v>652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 t="s">
        <v>198</v>
      </c>
    </row>
    <row r="54" spans="1:15" x14ac:dyDescent="0.25">
      <c r="A54" s="10" t="s">
        <v>653</v>
      </c>
      <c r="B54" s="10" t="s">
        <v>654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 t="s">
        <v>198</v>
      </c>
    </row>
    <row r="55" spans="1:15" x14ac:dyDescent="0.25">
      <c r="A55" s="10" t="s">
        <v>655</v>
      </c>
      <c r="B55" s="10" t="s">
        <v>656</v>
      </c>
      <c r="C55" s="13">
        <v>2251.4270000000001</v>
      </c>
      <c r="D55" s="13">
        <v>2290.1370000000002</v>
      </c>
      <c r="E55" s="13">
        <v>2213.0450000000001</v>
      </c>
      <c r="F55" s="13">
        <v>1981.3879999999999</v>
      </c>
      <c r="G55" s="13">
        <v>2890.39</v>
      </c>
      <c r="H55" s="13">
        <v>2391.3449999999998</v>
      </c>
      <c r="I55" s="13">
        <v>3944.6039999999998</v>
      </c>
      <c r="J55" s="13">
        <v>4809.5600000000004</v>
      </c>
      <c r="K55" s="13">
        <v>6602.5720000000001</v>
      </c>
      <c r="L55" s="13">
        <v>6267.6139999999996</v>
      </c>
      <c r="M55" s="13">
        <v>6558.1850000000004</v>
      </c>
      <c r="N55" s="13">
        <v>6590.0309999999999</v>
      </c>
      <c r="O55" s="13">
        <v>6661.1710000000003</v>
      </c>
    </row>
    <row r="56" spans="1:15" x14ac:dyDescent="0.25">
      <c r="A56" s="6" t="s">
        <v>85</v>
      </c>
      <c r="B56" s="6" t="s">
        <v>86</v>
      </c>
      <c r="C56" s="19">
        <v>5046.2979999999998</v>
      </c>
      <c r="D56" s="19">
        <v>5329.1310000000003</v>
      </c>
      <c r="E56" s="19">
        <v>4045.6909999999998</v>
      </c>
      <c r="F56" s="19">
        <v>4456.616</v>
      </c>
      <c r="G56" s="19">
        <v>5103.018</v>
      </c>
      <c r="H56" s="19">
        <v>5091.6530000000002</v>
      </c>
      <c r="I56" s="19">
        <v>6687.415</v>
      </c>
      <c r="J56" s="19">
        <v>8707.6479999999992</v>
      </c>
      <c r="K56" s="19">
        <v>12157.523999999999</v>
      </c>
      <c r="L56" s="19">
        <v>15501.684999999999</v>
      </c>
      <c r="M56" s="19">
        <v>11805.588</v>
      </c>
      <c r="N56" s="19">
        <v>15838.324000000001</v>
      </c>
      <c r="O56" s="19">
        <v>12455.502</v>
      </c>
    </row>
    <row r="57" spans="1:15" x14ac:dyDescent="0.25">
      <c r="A57" s="10" t="s">
        <v>657</v>
      </c>
      <c r="B57" s="10" t="s">
        <v>658</v>
      </c>
      <c r="C57" s="13">
        <v>40.494</v>
      </c>
      <c r="D57" s="13">
        <v>2.282</v>
      </c>
      <c r="E57" s="13">
        <v>8490.2060000000001</v>
      </c>
      <c r="F57" s="13">
        <v>10206.842000000001</v>
      </c>
      <c r="G57" s="13">
        <v>9780.5229999999992</v>
      </c>
      <c r="H57" s="13">
        <v>9745.0139999999992</v>
      </c>
      <c r="I57" s="13">
        <v>11047.478999999999</v>
      </c>
      <c r="J57" s="13">
        <v>11750.948</v>
      </c>
      <c r="K57" s="13">
        <v>20335.473999999998</v>
      </c>
      <c r="L57" s="13">
        <v>19918.54</v>
      </c>
      <c r="M57" s="13">
        <v>17859.126</v>
      </c>
      <c r="N57" s="13">
        <v>25254.76</v>
      </c>
      <c r="O57" s="13">
        <v>20291.593000000001</v>
      </c>
    </row>
    <row r="58" spans="1:15" x14ac:dyDescent="0.25">
      <c r="A58" s="10" t="s">
        <v>659</v>
      </c>
      <c r="B58" s="10" t="s">
        <v>660</v>
      </c>
      <c r="C58" s="13">
        <v>40.494</v>
      </c>
      <c r="D58" s="13">
        <v>2.282</v>
      </c>
      <c r="E58" s="13">
        <v>8490.2060000000001</v>
      </c>
      <c r="F58" s="13">
        <v>10206.842000000001</v>
      </c>
      <c r="G58" s="13">
        <v>9780.5229999999992</v>
      </c>
      <c r="H58" s="13">
        <v>9745.0139999999992</v>
      </c>
      <c r="I58" s="13">
        <v>9344.6569999999992</v>
      </c>
      <c r="J58" s="13">
        <v>9907.0750000000007</v>
      </c>
      <c r="K58" s="13">
        <v>18495.296999999999</v>
      </c>
      <c r="L58" s="13">
        <v>17508.150000000001</v>
      </c>
      <c r="M58" s="13">
        <v>15373.142</v>
      </c>
      <c r="N58" s="13">
        <v>23205.584999999999</v>
      </c>
      <c r="O58" s="13">
        <v>18884.133000000002</v>
      </c>
    </row>
    <row r="59" spans="1:15" x14ac:dyDescent="0.25">
      <c r="A59" s="10" t="s">
        <v>661</v>
      </c>
      <c r="B59" s="10" t="s">
        <v>662</v>
      </c>
      <c r="C59" s="13" t="s">
        <v>198</v>
      </c>
      <c r="D59" s="13" t="s">
        <v>198</v>
      </c>
      <c r="E59" s="13">
        <v>0</v>
      </c>
      <c r="F59" s="13">
        <v>0</v>
      </c>
      <c r="G59" s="13">
        <v>0</v>
      </c>
      <c r="H59" s="13">
        <v>0</v>
      </c>
      <c r="I59" s="13">
        <v>1702.8219999999999</v>
      </c>
      <c r="J59" s="13">
        <v>1843.873</v>
      </c>
      <c r="K59" s="13">
        <v>1840.1769999999999</v>
      </c>
      <c r="L59" s="13">
        <v>2410.39</v>
      </c>
      <c r="M59" s="13">
        <v>2485.9839999999999</v>
      </c>
      <c r="N59" s="13">
        <v>2049.1750000000002</v>
      </c>
      <c r="O59" s="13">
        <v>1407.46</v>
      </c>
    </row>
    <row r="60" spans="1:15" x14ac:dyDescent="0.25">
      <c r="A60" s="11" t="s">
        <v>663</v>
      </c>
      <c r="B60" s="11" t="s">
        <v>664</v>
      </c>
      <c r="C60" s="25" t="s">
        <v>198</v>
      </c>
      <c r="D60" s="25" t="s">
        <v>198</v>
      </c>
      <c r="E60" s="25">
        <v>0</v>
      </c>
      <c r="F60" s="25">
        <v>0</v>
      </c>
      <c r="G60" s="25">
        <v>0</v>
      </c>
      <c r="H60" s="25" t="s">
        <v>198</v>
      </c>
      <c r="I60" s="25" t="s">
        <v>198</v>
      </c>
      <c r="J60" s="25" t="s">
        <v>198</v>
      </c>
      <c r="K60" s="25" t="s">
        <v>198</v>
      </c>
      <c r="L60" s="25" t="s">
        <v>198</v>
      </c>
      <c r="M60" s="25" t="s">
        <v>198</v>
      </c>
      <c r="N60" s="25" t="s">
        <v>198</v>
      </c>
      <c r="O60" s="25" t="s">
        <v>198</v>
      </c>
    </row>
    <row r="61" spans="1:15" x14ac:dyDescent="0.25">
      <c r="A61" s="10" t="s">
        <v>665</v>
      </c>
      <c r="B61" s="10" t="s">
        <v>666</v>
      </c>
      <c r="C61" s="13">
        <v>1274.011</v>
      </c>
      <c r="D61" s="13">
        <v>1401.06</v>
      </c>
      <c r="E61" s="13">
        <v>2453.741</v>
      </c>
      <c r="F61" s="13">
        <v>2972.058</v>
      </c>
      <c r="G61" s="13">
        <v>3063.8049999999998</v>
      </c>
      <c r="H61" s="13">
        <v>4002.9110000000001</v>
      </c>
      <c r="I61" s="13">
        <v>4397.8370000000004</v>
      </c>
      <c r="J61" s="13">
        <v>6378.0020000000004</v>
      </c>
      <c r="K61" s="13">
        <v>4603.2479999999996</v>
      </c>
      <c r="L61" s="13">
        <v>4022.7109999999998</v>
      </c>
      <c r="M61" s="13">
        <v>11920.915999999999</v>
      </c>
      <c r="N61" s="13">
        <v>4482.5389999999998</v>
      </c>
      <c r="O61" s="13">
        <v>3063.2559999999999</v>
      </c>
    </row>
    <row r="62" spans="1:15" x14ac:dyDescent="0.25">
      <c r="A62" s="10" t="s">
        <v>667</v>
      </c>
      <c r="B62" s="10" t="s">
        <v>668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 t="s">
        <v>198</v>
      </c>
    </row>
    <row r="63" spans="1:15" x14ac:dyDescent="0.25">
      <c r="A63" s="10" t="s">
        <v>669</v>
      </c>
      <c r="B63" s="10" t="s">
        <v>670</v>
      </c>
      <c r="C63" s="13" t="s">
        <v>198</v>
      </c>
      <c r="D63" s="13" t="s">
        <v>198</v>
      </c>
      <c r="E63" s="13" t="s">
        <v>198</v>
      </c>
      <c r="F63" s="13" t="s">
        <v>198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 t="s">
        <v>198</v>
      </c>
      <c r="N63" s="13" t="s">
        <v>198</v>
      </c>
      <c r="O63" s="13" t="s">
        <v>198</v>
      </c>
    </row>
    <row r="64" spans="1:15" x14ac:dyDescent="0.25">
      <c r="A64" s="11" t="s">
        <v>671</v>
      </c>
      <c r="B64" s="11" t="s">
        <v>672</v>
      </c>
      <c r="C64" s="25" t="s">
        <v>198</v>
      </c>
      <c r="D64" s="25" t="s">
        <v>198</v>
      </c>
      <c r="E64" s="25" t="s">
        <v>198</v>
      </c>
      <c r="F64" s="25" t="s">
        <v>198</v>
      </c>
      <c r="G64" s="25">
        <v>0</v>
      </c>
      <c r="H64" s="25">
        <v>0</v>
      </c>
      <c r="I64" s="25">
        <v>0</v>
      </c>
      <c r="J64" s="25">
        <v>0</v>
      </c>
      <c r="K64" s="25">
        <v>0</v>
      </c>
      <c r="L64" s="25">
        <v>0</v>
      </c>
      <c r="M64" s="25" t="s">
        <v>198</v>
      </c>
      <c r="N64" s="25" t="s">
        <v>198</v>
      </c>
      <c r="O64" s="25" t="s">
        <v>198</v>
      </c>
    </row>
    <row r="65" spans="1:15" x14ac:dyDescent="0.25">
      <c r="A65" s="11" t="s">
        <v>673</v>
      </c>
      <c r="B65" s="11" t="s">
        <v>674</v>
      </c>
      <c r="C65" s="25" t="s">
        <v>198</v>
      </c>
      <c r="D65" s="25" t="s">
        <v>198</v>
      </c>
      <c r="E65" s="25" t="s">
        <v>198</v>
      </c>
      <c r="F65" s="25" t="s">
        <v>198</v>
      </c>
      <c r="G65" s="25">
        <v>0</v>
      </c>
      <c r="H65" s="25">
        <v>0</v>
      </c>
      <c r="I65" s="25">
        <v>0</v>
      </c>
      <c r="J65" s="25">
        <v>0</v>
      </c>
      <c r="K65" s="25">
        <v>0</v>
      </c>
      <c r="L65" s="25">
        <v>0</v>
      </c>
      <c r="M65" s="25" t="s">
        <v>198</v>
      </c>
      <c r="N65" s="25" t="s">
        <v>198</v>
      </c>
      <c r="O65" s="25" t="s">
        <v>198</v>
      </c>
    </row>
    <row r="66" spans="1:15" x14ac:dyDescent="0.25">
      <c r="A66" s="10" t="s">
        <v>651</v>
      </c>
      <c r="B66" s="10" t="s">
        <v>675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 t="s">
        <v>198</v>
      </c>
    </row>
    <row r="67" spans="1:15" x14ac:dyDescent="0.25">
      <c r="A67" s="10" t="s">
        <v>676</v>
      </c>
      <c r="B67" s="10" t="s">
        <v>677</v>
      </c>
      <c r="C67" s="13">
        <v>1200.2760000000001</v>
      </c>
      <c r="D67" s="13">
        <v>1318.069</v>
      </c>
      <c r="E67" s="13">
        <v>2356.7170000000001</v>
      </c>
      <c r="F67" s="13">
        <v>2759.2359999999999</v>
      </c>
      <c r="G67" s="13">
        <v>2820.41</v>
      </c>
      <c r="H67" s="13">
        <v>3567.75</v>
      </c>
      <c r="I67" s="13">
        <v>4089.09</v>
      </c>
      <c r="J67" s="13">
        <v>5743.1869999999999</v>
      </c>
      <c r="K67" s="13">
        <v>3770.0819999999999</v>
      </c>
      <c r="L67" s="13">
        <v>3576.0259999999998</v>
      </c>
      <c r="M67" s="13">
        <v>3169.8629999999998</v>
      </c>
      <c r="N67" s="13">
        <v>4067.9340000000002</v>
      </c>
      <c r="O67" s="13">
        <v>2400.5419999999999</v>
      </c>
    </row>
    <row r="68" spans="1:15" x14ac:dyDescent="0.25">
      <c r="A68" s="10" t="s">
        <v>653</v>
      </c>
      <c r="B68" s="10" t="s">
        <v>678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 t="s">
        <v>198</v>
      </c>
    </row>
    <row r="69" spans="1:15" x14ac:dyDescent="0.25">
      <c r="A69" s="10" t="s">
        <v>679</v>
      </c>
      <c r="B69" s="10" t="s">
        <v>680</v>
      </c>
      <c r="C69" s="13">
        <v>73.734999999999999</v>
      </c>
      <c r="D69" s="13">
        <v>82.991</v>
      </c>
      <c r="E69" s="13">
        <v>97.024000000000001</v>
      </c>
      <c r="F69" s="13">
        <v>212.822</v>
      </c>
      <c r="G69" s="13">
        <v>243.39500000000001</v>
      </c>
      <c r="H69" s="13">
        <v>435.161</v>
      </c>
      <c r="I69" s="13">
        <v>308.74700000000001</v>
      </c>
      <c r="J69" s="13">
        <v>634.81500000000005</v>
      </c>
      <c r="K69" s="13">
        <v>833.16600000000005</v>
      </c>
      <c r="L69" s="13">
        <v>446.685</v>
      </c>
      <c r="M69" s="13">
        <v>8751.0529999999999</v>
      </c>
      <c r="N69" s="13">
        <v>414.60500000000002</v>
      </c>
      <c r="O69" s="13">
        <v>662.71400000000006</v>
      </c>
    </row>
    <row r="70" spans="1:15" x14ac:dyDescent="0.25">
      <c r="A70" s="6" t="s">
        <v>681</v>
      </c>
      <c r="B70" s="6" t="s">
        <v>682</v>
      </c>
      <c r="C70" s="19">
        <v>1314.5050000000001</v>
      </c>
      <c r="D70" s="19">
        <v>1403.3420000000001</v>
      </c>
      <c r="E70" s="19">
        <v>10943.947</v>
      </c>
      <c r="F70" s="19">
        <v>13178.9</v>
      </c>
      <c r="G70" s="19">
        <v>12844.328</v>
      </c>
      <c r="H70" s="19">
        <v>13747.924999999999</v>
      </c>
      <c r="I70" s="19">
        <v>15445.316000000001</v>
      </c>
      <c r="J70" s="19">
        <v>18128.95</v>
      </c>
      <c r="K70" s="19">
        <v>24938.722000000002</v>
      </c>
      <c r="L70" s="19">
        <v>23941.251</v>
      </c>
      <c r="M70" s="19">
        <v>29780.042000000001</v>
      </c>
      <c r="N70" s="19">
        <v>29737.298999999999</v>
      </c>
      <c r="O70" s="19">
        <v>23354.848999999998</v>
      </c>
    </row>
    <row r="71" spans="1:15" x14ac:dyDescent="0.25">
      <c r="A71" s="6" t="s">
        <v>87</v>
      </c>
      <c r="B71" s="6" t="s">
        <v>88</v>
      </c>
      <c r="C71" s="19">
        <v>6360.8029999999999</v>
      </c>
      <c r="D71" s="19">
        <v>6732.473</v>
      </c>
      <c r="E71" s="19">
        <v>14989.638000000001</v>
      </c>
      <c r="F71" s="19">
        <v>17635.516</v>
      </c>
      <c r="G71" s="19">
        <v>17947.346000000001</v>
      </c>
      <c r="H71" s="19">
        <v>18839.578000000001</v>
      </c>
      <c r="I71" s="19">
        <v>22132.731</v>
      </c>
      <c r="J71" s="19">
        <v>26836.598000000002</v>
      </c>
      <c r="K71" s="19">
        <v>37096.245999999999</v>
      </c>
      <c r="L71" s="19">
        <v>39442.936000000002</v>
      </c>
      <c r="M71" s="19">
        <v>41585.629999999997</v>
      </c>
      <c r="N71" s="19">
        <v>45575.623</v>
      </c>
      <c r="O71" s="19">
        <v>35810.351000000002</v>
      </c>
    </row>
    <row r="72" spans="1:15" x14ac:dyDescent="0.25">
      <c r="A72" s="10" t="s">
        <v>683</v>
      </c>
      <c r="B72" s="10" t="s">
        <v>103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 spans="1:15" x14ac:dyDescent="0.25">
      <c r="A73" s="10" t="s">
        <v>684</v>
      </c>
      <c r="B73" s="10" t="s">
        <v>685</v>
      </c>
      <c r="C73" s="13" t="s">
        <v>198</v>
      </c>
      <c r="D73" s="13" t="s">
        <v>198</v>
      </c>
      <c r="E73" s="13" t="s">
        <v>198</v>
      </c>
      <c r="F73" s="13">
        <v>10051.665999999999</v>
      </c>
      <c r="G73" s="13">
        <v>28048.958999999999</v>
      </c>
      <c r="H73" s="13">
        <v>28048.958999999999</v>
      </c>
      <c r="I73" s="13">
        <v>26879.359</v>
      </c>
      <c r="J73" s="13">
        <v>25770.212</v>
      </c>
      <c r="K73" s="13">
        <v>25770.212</v>
      </c>
      <c r="L73" s="13">
        <v>25770.210999999999</v>
      </c>
      <c r="M73" s="13">
        <v>25770.212</v>
      </c>
      <c r="N73" s="13">
        <v>25770.212</v>
      </c>
      <c r="O73" s="13">
        <v>25770.210999999999</v>
      </c>
    </row>
    <row r="74" spans="1:15" x14ac:dyDescent="0.25">
      <c r="A74" s="10" t="s">
        <v>686</v>
      </c>
      <c r="B74" s="10" t="s">
        <v>687</v>
      </c>
      <c r="C74" s="13" t="s">
        <v>198</v>
      </c>
      <c r="D74" s="13" t="s">
        <v>198</v>
      </c>
      <c r="E74" s="13" t="s">
        <v>198</v>
      </c>
      <c r="F74" s="13">
        <v>6353.26</v>
      </c>
      <c r="G74" s="13">
        <v>11622.553</v>
      </c>
      <c r="H74" s="13">
        <v>11622.553</v>
      </c>
      <c r="I74" s="13">
        <v>11514.467000000001</v>
      </c>
      <c r="J74" s="13">
        <v>11283.642</v>
      </c>
      <c r="K74" s="13">
        <v>11283.642</v>
      </c>
      <c r="L74" s="13">
        <v>11283.642</v>
      </c>
      <c r="M74" s="13">
        <v>11283.642</v>
      </c>
      <c r="N74" s="13">
        <v>11283.642</v>
      </c>
      <c r="O74" s="13">
        <v>11283.642</v>
      </c>
    </row>
    <row r="75" spans="1:15" x14ac:dyDescent="0.25">
      <c r="A75" s="10" t="s">
        <v>688</v>
      </c>
      <c r="B75" s="10" t="s">
        <v>689</v>
      </c>
      <c r="C75" s="13">
        <v>10939.187</v>
      </c>
      <c r="D75" s="13">
        <v>10939.187</v>
      </c>
      <c r="E75" s="13">
        <v>11047.08</v>
      </c>
      <c r="F75" s="13">
        <v>3698.4059999999999</v>
      </c>
      <c r="G75" s="13">
        <v>16426.405999999999</v>
      </c>
      <c r="H75" s="13">
        <v>16426.405999999999</v>
      </c>
      <c r="I75" s="13">
        <v>15364.892</v>
      </c>
      <c r="J75" s="13">
        <v>14486.57</v>
      </c>
      <c r="K75" s="13">
        <v>14486.57</v>
      </c>
      <c r="L75" s="13">
        <v>14486.569</v>
      </c>
      <c r="M75" s="13">
        <v>14486.57</v>
      </c>
      <c r="N75" s="13">
        <v>14486.57</v>
      </c>
      <c r="O75" s="13">
        <v>14486.569</v>
      </c>
    </row>
    <row r="76" spans="1:15" x14ac:dyDescent="0.25">
      <c r="A76" s="10" t="s">
        <v>690</v>
      </c>
      <c r="B76" s="10" t="s">
        <v>691</v>
      </c>
      <c r="C76" s="13">
        <v>0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 spans="1:15" x14ac:dyDescent="0.25">
      <c r="A77" s="10" t="s">
        <v>692</v>
      </c>
      <c r="B77" s="10" t="s">
        <v>693</v>
      </c>
      <c r="C77" s="13">
        <v>2903.6590000000001</v>
      </c>
      <c r="D77" s="13">
        <v>5178.3320000000003</v>
      </c>
      <c r="E77" s="13">
        <v>9045.7780000000002</v>
      </c>
      <c r="F77" s="13">
        <v>12118.200999999999</v>
      </c>
      <c r="G77" s="13">
        <v>12745.476000000001</v>
      </c>
      <c r="H77" s="13">
        <v>14587.615</v>
      </c>
      <c r="I77" s="13">
        <v>17638.507000000001</v>
      </c>
      <c r="J77" s="13">
        <v>18615.652999999998</v>
      </c>
      <c r="K77" s="13">
        <v>22089.777999999998</v>
      </c>
      <c r="L77" s="13">
        <v>30855.445</v>
      </c>
      <c r="M77" s="13">
        <v>29500.227999999999</v>
      </c>
      <c r="N77" s="13">
        <v>32029.856</v>
      </c>
      <c r="O77" s="13">
        <v>43086.894999999997</v>
      </c>
    </row>
    <row r="78" spans="1:15" x14ac:dyDescent="0.25">
      <c r="A78" s="10" t="s">
        <v>694</v>
      </c>
      <c r="B78" s="10" t="s">
        <v>695</v>
      </c>
      <c r="C78" s="13">
        <v>975.79600000000005</v>
      </c>
      <c r="D78" s="13">
        <v>1845.25</v>
      </c>
      <c r="E78" s="13">
        <v>3554.0030000000002</v>
      </c>
      <c r="F78" s="13">
        <v>5852.598</v>
      </c>
      <c r="G78" s="13">
        <v>6136.7969999999996</v>
      </c>
      <c r="H78" s="13">
        <v>5168.4480000000003</v>
      </c>
      <c r="I78" s="13">
        <v>4001.7170000000001</v>
      </c>
      <c r="J78" s="13">
        <v>10280.561</v>
      </c>
      <c r="K78" s="13">
        <v>10490.557000000001</v>
      </c>
      <c r="L78" s="13">
        <v>1680.1110000000001</v>
      </c>
      <c r="M78" s="13">
        <v>2233.4470000000001</v>
      </c>
      <c r="N78" s="13">
        <v>8922.8680000000004</v>
      </c>
      <c r="O78" s="13">
        <v>1366.827</v>
      </c>
    </row>
    <row r="79" spans="1:15" x14ac:dyDescent="0.25">
      <c r="A79" s="6" t="s">
        <v>696</v>
      </c>
      <c r="B79" s="6" t="s">
        <v>697</v>
      </c>
      <c r="C79" s="19">
        <v>14818.642</v>
      </c>
      <c r="D79" s="19">
        <v>17962.769</v>
      </c>
      <c r="E79" s="19">
        <v>23646.861000000001</v>
      </c>
      <c r="F79" s="19">
        <v>28022.465</v>
      </c>
      <c r="G79" s="19">
        <v>46931.232000000004</v>
      </c>
      <c r="H79" s="19">
        <v>47805.021999999997</v>
      </c>
      <c r="I79" s="19">
        <v>48519.582999999999</v>
      </c>
      <c r="J79" s="19">
        <v>54666.425999999999</v>
      </c>
      <c r="K79" s="19">
        <v>58350.546999999999</v>
      </c>
      <c r="L79" s="19">
        <v>58305.767</v>
      </c>
      <c r="M79" s="19">
        <v>57503.887000000002</v>
      </c>
      <c r="N79" s="19">
        <v>66722.936000000002</v>
      </c>
      <c r="O79" s="19">
        <v>70223.933000000005</v>
      </c>
    </row>
    <row r="80" spans="1:15" x14ac:dyDescent="0.25">
      <c r="A80" s="10" t="s">
        <v>698</v>
      </c>
      <c r="B80" s="10" t="s">
        <v>105</v>
      </c>
      <c r="C80" s="13">
        <v>25.946999999999999</v>
      </c>
      <c r="D80" s="13">
        <v>28.533999999999999</v>
      </c>
      <c r="E80" s="13">
        <v>0</v>
      </c>
      <c r="F80" s="13">
        <v>29.966000000000001</v>
      </c>
      <c r="G80" s="13">
        <v>54.078000000000003</v>
      </c>
      <c r="H80" s="13">
        <v>66.789000000000001</v>
      </c>
      <c r="I80" s="13">
        <v>72.62</v>
      </c>
      <c r="J80" s="13">
        <v>78.644000000000005</v>
      </c>
      <c r="K80" s="13">
        <v>92.775000000000006</v>
      </c>
      <c r="L80" s="13">
        <v>117.44199999999999</v>
      </c>
      <c r="M80" s="13">
        <v>135.42599999999999</v>
      </c>
      <c r="N80" s="13">
        <v>72.031000000000006</v>
      </c>
      <c r="O80" s="13">
        <v>69.44</v>
      </c>
    </row>
    <row r="81" spans="1:15" x14ac:dyDescent="0.25">
      <c r="A81" s="6" t="s">
        <v>89</v>
      </c>
      <c r="B81" s="6" t="s">
        <v>90</v>
      </c>
      <c r="C81" s="19">
        <v>3905.402</v>
      </c>
      <c r="D81" s="19">
        <v>7052.116</v>
      </c>
      <c r="E81" s="19">
        <v>12599.781000000001</v>
      </c>
      <c r="F81" s="19">
        <v>28052.431</v>
      </c>
      <c r="G81" s="19">
        <v>46985.31</v>
      </c>
      <c r="H81" s="19">
        <v>47871.811000000002</v>
      </c>
      <c r="I81" s="19">
        <v>48592.203000000001</v>
      </c>
      <c r="J81" s="19">
        <v>54745.07</v>
      </c>
      <c r="K81" s="19">
        <v>58443.322</v>
      </c>
      <c r="L81" s="19">
        <v>58423.209000000003</v>
      </c>
      <c r="M81" s="19">
        <v>57639.313000000002</v>
      </c>
      <c r="N81" s="19">
        <v>66794.967000000004</v>
      </c>
      <c r="O81" s="19">
        <v>70293.373000000007</v>
      </c>
    </row>
    <row r="82" spans="1:15" x14ac:dyDescent="0.25">
      <c r="A82" s="6" t="s">
        <v>699</v>
      </c>
      <c r="B82" s="6" t="s">
        <v>700</v>
      </c>
      <c r="C82" s="19">
        <v>10266.205</v>
      </c>
      <c r="D82" s="19">
        <v>13784.589</v>
      </c>
      <c r="E82" s="19">
        <v>27589.419000000002</v>
      </c>
      <c r="F82" s="19">
        <v>45687.947</v>
      </c>
      <c r="G82" s="19">
        <v>64932.656000000003</v>
      </c>
      <c r="H82" s="19">
        <v>66711.388999999996</v>
      </c>
      <c r="I82" s="19">
        <v>70724.933999999994</v>
      </c>
      <c r="J82" s="19">
        <v>81581.668000000005</v>
      </c>
      <c r="K82" s="19">
        <v>95539.567999999999</v>
      </c>
      <c r="L82" s="19">
        <v>97866.145000000004</v>
      </c>
      <c r="M82" s="19">
        <v>99224.942999999999</v>
      </c>
      <c r="N82" s="19">
        <v>112370.59</v>
      </c>
      <c r="O82" s="19">
        <v>106103.724</v>
      </c>
    </row>
    <row r="83" spans="1:15" x14ac:dyDescent="0.25">
      <c r="A83" s="6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</row>
    <row r="84" spans="1:15" x14ac:dyDescent="0.25">
      <c r="A84" s="6" t="s">
        <v>3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</row>
    <row r="85" spans="1:15" x14ac:dyDescent="0.25">
      <c r="A85" s="10" t="s">
        <v>284</v>
      </c>
      <c r="B85" s="10" t="s">
        <v>285</v>
      </c>
      <c r="C85" s="12" t="s">
        <v>286</v>
      </c>
      <c r="D85" s="12" t="s">
        <v>286</v>
      </c>
      <c r="E85" s="12" t="s">
        <v>286</v>
      </c>
      <c r="F85" s="12" t="s">
        <v>286</v>
      </c>
      <c r="G85" s="12" t="s">
        <v>286</v>
      </c>
      <c r="H85" s="12" t="s">
        <v>286</v>
      </c>
      <c r="I85" s="12" t="s">
        <v>286</v>
      </c>
      <c r="J85" s="12" t="s">
        <v>286</v>
      </c>
      <c r="K85" s="12" t="s">
        <v>286</v>
      </c>
      <c r="L85" s="12" t="s">
        <v>286</v>
      </c>
      <c r="M85" s="12" t="s">
        <v>286</v>
      </c>
      <c r="N85" s="12" t="s">
        <v>286</v>
      </c>
      <c r="O85" s="12" t="s">
        <v>286</v>
      </c>
    </row>
    <row r="86" spans="1:15" x14ac:dyDescent="0.25">
      <c r="A86" s="10" t="s">
        <v>701</v>
      </c>
      <c r="B86" s="10" t="s">
        <v>92</v>
      </c>
      <c r="C86" s="13">
        <v>3582.5475999999999</v>
      </c>
      <c r="D86" s="13">
        <v>3582.5475999999999</v>
      </c>
      <c r="E86" s="13">
        <v>3582.5475999999999</v>
      </c>
      <c r="F86" s="13">
        <v>3654.0396999999998</v>
      </c>
      <c r="G86" s="13">
        <v>3590.7703000000001</v>
      </c>
      <c r="H86" s="13">
        <v>3582.9106999999999</v>
      </c>
      <c r="I86" s="13">
        <v>3588.1264000000001</v>
      </c>
      <c r="J86" s="13">
        <v>3591.1763000000001</v>
      </c>
      <c r="K86" s="13">
        <v>3591.1763000000001</v>
      </c>
      <c r="L86" s="13">
        <v>3591.1763000000001</v>
      </c>
      <c r="M86" s="13">
        <v>3591.1763000000001</v>
      </c>
      <c r="N86" s="13">
        <v>3591.1763000000001</v>
      </c>
      <c r="O86" s="13">
        <v>3591.1763000000001</v>
      </c>
    </row>
    <row r="87" spans="1:15" x14ac:dyDescent="0.25">
      <c r="A87" s="10" t="s">
        <v>702</v>
      </c>
      <c r="B87" s="10" t="s">
        <v>703</v>
      </c>
      <c r="C87" s="13">
        <v>0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</row>
    <row r="88" spans="1:15" x14ac:dyDescent="0.25">
      <c r="A88" s="10" t="s">
        <v>704</v>
      </c>
      <c r="B88" s="10" t="s">
        <v>705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 spans="1:15" x14ac:dyDescent="0.25">
      <c r="A89" s="10" t="s">
        <v>706</v>
      </c>
      <c r="B89" s="10" t="s">
        <v>707</v>
      </c>
      <c r="C89" s="13">
        <v>0</v>
      </c>
      <c r="D89" s="13">
        <v>0</v>
      </c>
      <c r="E89" s="13">
        <v>438.88299999999998</v>
      </c>
      <c r="F89" s="13">
        <v>585.19299999999998</v>
      </c>
      <c r="G89" s="13">
        <v>878.5</v>
      </c>
      <c r="H89" s="13" t="s">
        <v>198</v>
      </c>
      <c r="I89" s="13" t="s">
        <v>198</v>
      </c>
      <c r="J89" s="13" t="s">
        <v>198</v>
      </c>
      <c r="K89" s="13" t="s">
        <v>198</v>
      </c>
      <c r="L89" s="13" t="s">
        <v>198</v>
      </c>
      <c r="M89" s="13" t="s">
        <v>198</v>
      </c>
      <c r="N89" s="13" t="s">
        <v>198</v>
      </c>
      <c r="O89" s="13" t="s">
        <v>198</v>
      </c>
    </row>
    <row r="90" spans="1:15" x14ac:dyDescent="0.25">
      <c r="A90" s="10" t="s">
        <v>708</v>
      </c>
      <c r="B90" s="10" t="s">
        <v>709</v>
      </c>
      <c r="C90" s="13" t="s">
        <v>198</v>
      </c>
      <c r="D90" s="13" t="s">
        <v>198</v>
      </c>
      <c r="E90" s="13">
        <v>0</v>
      </c>
      <c r="F90" s="13">
        <v>0</v>
      </c>
      <c r="G90" s="13">
        <v>0</v>
      </c>
      <c r="H90" s="13" t="s">
        <v>198</v>
      </c>
      <c r="I90" s="13" t="s">
        <v>198</v>
      </c>
      <c r="J90" s="13" t="s">
        <v>198</v>
      </c>
      <c r="K90" s="13" t="s">
        <v>198</v>
      </c>
      <c r="L90" s="13" t="s">
        <v>198</v>
      </c>
      <c r="M90" s="13" t="s">
        <v>198</v>
      </c>
      <c r="N90" s="13" t="s">
        <v>198</v>
      </c>
      <c r="O90" s="13" t="s">
        <v>198</v>
      </c>
    </row>
    <row r="91" spans="1:15" x14ac:dyDescent="0.25">
      <c r="A91" s="10" t="s">
        <v>710</v>
      </c>
      <c r="B91" s="10" t="s">
        <v>711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 t="s">
        <v>198</v>
      </c>
      <c r="I91" s="13" t="s">
        <v>198</v>
      </c>
      <c r="J91" s="13" t="s">
        <v>198</v>
      </c>
      <c r="K91" s="13" t="s">
        <v>198</v>
      </c>
      <c r="L91" s="13" t="s">
        <v>198</v>
      </c>
      <c r="M91" s="13" t="s">
        <v>198</v>
      </c>
      <c r="N91" s="13" t="s">
        <v>198</v>
      </c>
      <c r="O91" s="13" t="s">
        <v>198</v>
      </c>
    </row>
    <row r="92" spans="1:15" x14ac:dyDescent="0.25">
      <c r="A92" s="10" t="s">
        <v>712</v>
      </c>
      <c r="B92" s="10" t="s">
        <v>713</v>
      </c>
      <c r="C92" s="13">
        <v>-1375.713</v>
      </c>
      <c r="D92" s="13">
        <v>-3118.69</v>
      </c>
      <c r="E92" s="13">
        <v>4396.5379999999996</v>
      </c>
      <c r="F92" s="13">
        <v>5131.8469999999998</v>
      </c>
      <c r="G92" s="13">
        <v>-10167.057000000001</v>
      </c>
      <c r="H92" s="13">
        <v>-2234.7350000000001</v>
      </c>
      <c r="I92" s="13">
        <v>1911.0229999999999</v>
      </c>
      <c r="J92" s="13">
        <v>4466.9920000000002</v>
      </c>
      <c r="K92" s="13">
        <v>8434.4069999999992</v>
      </c>
      <c r="L92" s="13">
        <v>16117.323</v>
      </c>
      <c r="M92" s="13">
        <v>12240.725</v>
      </c>
      <c r="N92" s="13">
        <v>18333.047999999999</v>
      </c>
      <c r="O92" s="13">
        <v>9717.4429999999993</v>
      </c>
    </row>
    <row r="93" spans="1:15" x14ac:dyDescent="0.25">
      <c r="A93" s="10" t="s">
        <v>714</v>
      </c>
      <c r="B93" s="10" t="s">
        <v>715</v>
      </c>
      <c r="C93" s="14">
        <v>-35.225900000000003</v>
      </c>
      <c r="D93" s="14">
        <v>-44.223500000000001</v>
      </c>
      <c r="E93" s="14">
        <v>34.893799999999999</v>
      </c>
      <c r="F93" s="14">
        <v>18.293800000000001</v>
      </c>
      <c r="G93" s="14">
        <v>-21.6388</v>
      </c>
      <c r="H93" s="14">
        <v>-4.6681999999999997</v>
      </c>
      <c r="I93" s="14">
        <v>3.9327999999999999</v>
      </c>
      <c r="J93" s="14">
        <v>8.1595999999999993</v>
      </c>
      <c r="K93" s="14">
        <v>14.431800000000001</v>
      </c>
      <c r="L93" s="14">
        <v>27.587199999999999</v>
      </c>
      <c r="M93" s="14">
        <v>21.236799999999999</v>
      </c>
      <c r="N93" s="14">
        <v>27.4468</v>
      </c>
      <c r="O93" s="14">
        <v>13.8241</v>
      </c>
    </row>
    <row r="94" spans="1:15" x14ac:dyDescent="0.25">
      <c r="A94" s="10" t="s">
        <v>716</v>
      </c>
      <c r="B94" s="10" t="s">
        <v>717</v>
      </c>
      <c r="C94" s="14">
        <v>-15.5725</v>
      </c>
      <c r="D94" s="14">
        <v>3.7785000000000002</v>
      </c>
      <c r="E94" s="14">
        <v>-14.5686</v>
      </c>
      <c r="F94" s="14">
        <v>36.738199999999999</v>
      </c>
      <c r="G94" s="14">
        <v>61.936900000000001</v>
      </c>
      <c r="H94" s="14">
        <v>58.623899999999999</v>
      </c>
      <c r="I94" s="14">
        <v>55.803100000000001</v>
      </c>
      <c r="J94" s="14">
        <v>54.568300000000001</v>
      </c>
      <c r="K94" s="14">
        <v>45.245899999999999</v>
      </c>
      <c r="L94" s="14">
        <v>45.804299999999998</v>
      </c>
      <c r="M94" s="14">
        <v>45.654699999999998</v>
      </c>
      <c r="N94" s="14">
        <v>46.759799999999998</v>
      </c>
      <c r="O94" s="14">
        <v>55.766100000000002</v>
      </c>
    </row>
    <row r="95" spans="1:15" x14ac:dyDescent="0.25">
      <c r="A95" s="10" t="s">
        <v>718</v>
      </c>
      <c r="B95" s="10" t="s">
        <v>719</v>
      </c>
      <c r="C95" s="14">
        <v>2.2894999999999999</v>
      </c>
      <c r="D95" s="14">
        <v>2.7412000000000001</v>
      </c>
      <c r="E95" s="14">
        <v>3.7239</v>
      </c>
      <c r="F95" s="14">
        <v>4.4260000000000002</v>
      </c>
      <c r="G95" s="14">
        <v>7.1717000000000004</v>
      </c>
      <c r="H95" s="14">
        <v>6.1333000000000002</v>
      </c>
      <c r="I95" s="14">
        <v>4.7328000000000001</v>
      </c>
      <c r="J95" s="14">
        <v>3.6320999999999999</v>
      </c>
      <c r="K95" s="14">
        <v>3.1387</v>
      </c>
      <c r="L95" s="14">
        <v>2.5470000000000002</v>
      </c>
      <c r="M95" s="14">
        <v>3.2267999999999999</v>
      </c>
      <c r="N95" s="14">
        <v>2.6396000000000002</v>
      </c>
      <c r="O95" s="14">
        <v>3.2303000000000002</v>
      </c>
    </row>
    <row r="96" spans="1:15" x14ac:dyDescent="0.25">
      <c r="A96" s="10" t="s">
        <v>720</v>
      </c>
      <c r="B96" s="10" t="s">
        <v>721</v>
      </c>
      <c r="C96" s="14" t="s">
        <v>198</v>
      </c>
      <c r="D96" s="14">
        <v>250.44120000000001</v>
      </c>
      <c r="E96" s="14">
        <v>239.82149999999999</v>
      </c>
      <c r="F96" s="14">
        <v>212.8289</v>
      </c>
      <c r="G96" s="14">
        <v>273.09800000000001</v>
      </c>
      <c r="H96" s="14">
        <v>273.12959999999998</v>
      </c>
      <c r="I96" s="14">
        <v>296.44720000000001</v>
      </c>
      <c r="J96" s="14">
        <v>279.25850000000003</v>
      </c>
      <c r="K96" s="14">
        <v>263.6071</v>
      </c>
      <c r="L96" s="14">
        <v>287.64400000000001</v>
      </c>
      <c r="M96" s="14">
        <v>275.88400000000001</v>
      </c>
      <c r="N96" s="14">
        <v>296.6053</v>
      </c>
      <c r="O96" s="14">
        <v>268.29489999999998</v>
      </c>
    </row>
    <row r="97" spans="1:15" x14ac:dyDescent="0.25">
      <c r="A97" s="10" t="s">
        <v>722</v>
      </c>
      <c r="B97" s="10" t="s">
        <v>723</v>
      </c>
      <c r="C97" s="14" t="s">
        <v>198</v>
      </c>
      <c r="D97" s="14" t="s">
        <v>198</v>
      </c>
      <c r="E97" s="14">
        <v>5467</v>
      </c>
      <c r="F97" s="14">
        <v>5467</v>
      </c>
      <c r="G97" s="14">
        <v>5908</v>
      </c>
      <c r="H97" s="14">
        <v>5805</v>
      </c>
      <c r="I97" s="14">
        <v>6836</v>
      </c>
      <c r="J97" s="14">
        <v>8080</v>
      </c>
      <c r="K97" s="14">
        <v>8422</v>
      </c>
      <c r="L97" s="14">
        <v>9759</v>
      </c>
      <c r="M97" s="14">
        <v>10281</v>
      </c>
      <c r="N97" s="14">
        <v>8893</v>
      </c>
      <c r="O97" s="14" t="s">
        <v>198</v>
      </c>
    </row>
    <row r="98" spans="1:15" x14ac:dyDescent="0.25">
      <c r="A98" s="7" t="s">
        <v>65</v>
      </c>
      <c r="B98" s="7"/>
      <c r="C98" s="7" t="s">
        <v>4</v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57"/>
  <sheetViews>
    <sheetView workbookViewId="0">
      <selection activeCell="J8" sqref="J8"/>
    </sheetView>
  </sheetViews>
  <sheetFormatPr baseColWidth="10" defaultRowHeight="15" x14ac:dyDescent="0.25"/>
  <cols>
    <col min="1" max="1" width="35.140625" customWidth="1"/>
    <col min="2" max="2" width="0" hidden="1" customWidth="1"/>
    <col min="3" max="15" width="11.85546875" customWidth="1"/>
  </cols>
  <sheetData>
    <row r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.25" x14ac:dyDescent="0.25">
      <c r="A2" s="8" t="s">
        <v>314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3" t="s">
        <v>67</v>
      </c>
      <c r="B4" s="3"/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</row>
    <row r="5" spans="1:15" x14ac:dyDescent="0.25">
      <c r="A5" s="9" t="s">
        <v>21</v>
      </c>
      <c r="B5" s="9"/>
      <c r="C5" s="5" t="s">
        <v>22</v>
      </c>
      <c r="D5" s="5" t="s">
        <v>23</v>
      </c>
      <c r="E5" s="5" t="s">
        <v>24</v>
      </c>
      <c r="F5" s="5" t="s">
        <v>25</v>
      </c>
      <c r="G5" s="5" t="s">
        <v>26</v>
      </c>
      <c r="H5" s="5" t="s">
        <v>27</v>
      </c>
      <c r="I5" s="5" t="s">
        <v>28</v>
      </c>
      <c r="J5" s="5" t="s">
        <v>29</v>
      </c>
      <c r="K5" s="5" t="s">
        <v>30</v>
      </c>
      <c r="L5" s="5" t="s">
        <v>31</v>
      </c>
      <c r="M5" s="5" t="s">
        <v>32</v>
      </c>
      <c r="N5" s="5" t="s">
        <v>33</v>
      </c>
      <c r="O5" s="5" t="s">
        <v>34</v>
      </c>
    </row>
    <row r="6" spans="1:15" x14ac:dyDescent="0.25">
      <c r="A6" s="6" t="s">
        <v>724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</row>
    <row r="7" spans="1:15" x14ac:dyDescent="0.25">
      <c r="A7" s="10" t="s">
        <v>725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spans="1:15" x14ac:dyDescent="0.25">
      <c r="A8" s="10" t="s">
        <v>80</v>
      </c>
      <c r="B8" s="10" t="s">
        <v>726</v>
      </c>
      <c r="C8" s="13">
        <v>2371.5880000000002</v>
      </c>
      <c r="D8" s="13">
        <v>4157.8609999999999</v>
      </c>
      <c r="E8" s="13">
        <v>4139.3819999999996</v>
      </c>
      <c r="F8" s="13">
        <v>5128.1369999999997</v>
      </c>
      <c r="G8" s="13">
        <v>19995.891</v>
      </c>
      <c r="H8" s="13">
        <v>12027.931</v>
      </c>
      <c r="I8" s="13">
        <v>9628.1689999999999</v>
      </c>
      <c r="J8" s="13">
        <v>7646.3180000000002</v>
      </c>
      <c r="K8" s="13">
        <v>12791.282999999999</v>
      </c>
      <c r="L8" s="13">
        <v>4520.8389999999999</v>
      </c>
      <c r="M8" s="13">
        <v>6366.67</v>
      </c>
      <c r="N8" s="13">
        <v>10684.509</v>
      </c>
      <c r="O8" s="13">
        <v>11112.87</v>
      </c>
    </row>
    <row r="9" spans="1:15" x14ac:dyDescent="0.25">
      <c r="A9" s="10" t="s">
        <v>727</v>
      </c>
      <c r="B9" s="10" t="s">
        <v>728</v>
      </c>
      <c r="C9" s="13">
        <v>3343.6889999999999</v>
      </c>
      <c r="D9" s="13">
        <v>4157.8609999999999</v>
      </c>
      <c r="E9" s="13">
        <v>5292.58</v>
      </c>
      <c r="F9" s="13" t="s">
        <v>198</v>
      </c>
      <c r="G9" s="13" t="s">
        <v>198</v>
      </c>
      <c r="H9" s="13" t="s">
        <v>198</v>
      </c>
      <c r="I9" s="13" t="s">
        <v>198</v>
      </c>
      <c r="J9" s="13" t="s">
        <v>198</v>
      </c>
      <c r="K9" s="13" t="s">
        <v>198</v>
      </c>
      <c r="L9" s="13" t="s">
        <v>198</v>
      </c>
      <c r="M9" s="13" t="s">
        <v>198</v>
      </c>
      <c r="N9" s="13" t="s">
        <v>198</v>
      </c>
      <c r="O9" s="13" t="s">
        <v>198</v>
      </c>
    </row>
    <row r="10" spans="1:15" x14ac:dyDescent="0.25">
      <c r="A10" s="10" t="s">
        <v>729</v>
      </c>
      <c r="B10" s="10" t="s">
        <v>730</v>
      </c>
      <c r="C10" s="13">
        <v>3237.3519999999999</v>
      </c>
      <c r="D10" s="13">
        <v>3866.7469999999998</v>
      </c>
      <c r="E10" s="13">
        <v>4352.1189999999997</v>
      </c>
      <c r="F10" s="13">
        <v>5942.6390000000001</v>
      </c>
      <c r="G10" s="13">
        <v>7418.9939999999997</v>
      </c>
      <c r="H10" s="13">
        <v>8162.3490000000002</v>
      </c>
      <c r="I10" s="13">
        <v>9438.0920000000006</v>
      </c>
      <c r="J10" s="13">
        <v>11193.822</v>
      </c>
      <c r="K10" s="13">
        <v>12093.628000000001</v>
      </c>
      <c r="L10" s="13">
        <v>18258.022000000001</v>
      </c>
      <c r="M10" s="13">
        <v>16236.626</v>
      </c>
      <c r="N10" s="13">
        <v>13340.630999999999</v>
      </c>
      <c r="O10" s="13">
        <v>12153.626</v>
      </c>
    </row>
    <row r="11" spans="1:15" x14ac:dyDescent="0.25">
      <c r="A11" s="10" t="s">
        <v>731</v>
      </c>
      <c r="B11" s="10" t="s">
        <v>732</v>
      </c>
      <c r="C11" s="13" t="s">
        <v>198</v>
      </c>
      <c r="D11" s="13" t="s">
        <v>198</v>
      </c>
      <c r="E11" s="13" t="s">
        <v>198</v>
      </c>
      <c r="F11" s="13" t="s">
        <v>198</v>
      </c>
      <c r="G11" s="13">
        <v>679.09799999999996</v>
      </c>
      <c r="H11" s="13" t="s">
        <v>198</v>
      </c>
      <c r="I11" s="13" t="s">
        <v>198</v>
      </c>
      <c r="J11" s="13" t="s">
        <v>198</v>
      </c>
      <c r="K11" s="13" t="s">
        <v>198</v>
      </c>
      <c r="L11" s="13" t="s">
        <v>198</v>
      </c>
      <c r="M11" s="13" t="s">
        <v>198</v>
      </c>
      <c r="N11" s="13" t="s">
        <v>198</v>
      </c>
      <c r="O11" s="13" t="s">
        <v>198</v>
      </c>
    </row>
    <row r="12" spans="1:15" x14ac:dyDescent="0.25">
      <c r="A12" s="10" t="s">
        <v>733</v>
      </c>
      <c r="B12" s="10" t="s">
        <v>734</v>
      </c>
      <c r="C12" s="13">
        <v>0</v>
      </c>
      <c r="D12" s="13">
        <v>1209.94</v>
      </c>
      <c r="E12" s="13">
        <v>0</v>
      </c>
      <c r="F12" s="13">
        <v>0</v>
      </c>
      <c r="G12" s="13" t="s">
        <v>198</v>
      </c>
      <c r="H12" s="13" t="s">
        <v>198</v>
      </c>
      <c r="I12" s="13" t="s">
        <v>198</v>
      </c>
      <c r="J12" s="13" t="s">
        <v>198</v>
      </c>
      <c r="K12" s="13">
        <v>0</v>
      </c>
      <c r="L12" s="13" t="s">
        <v>198</v>
      </c>
      <c r="M12" s="13" t="s">
        <v>198</v>
      </c>
      <c r="N12" s="13" t="s">
        <v>198</v>
      </c>
      <c r="O12" s="13" t="s">
        <v>198</v>
      </c>
    </row>
    <row r="13" spans="1:15" x14ac:dyDescent="0.25">
      <c r="A13" s="10" t="s">
        <v>735</v>
      </c>
      <c r="B13" s="10" t="s">
        <v>736</v>
      </c>
      <c r="C13" s="13">
        <v>295.29000000000002</v>
      </c>
      <c r="D13" s="13">
        <v>341.67700000000002</v>
      </c>
      <c r="E13" s="13">
        <v>440.41699999999997</v>
      </c>
      <c r="F13" s="13">
        <v>683.56399999999996</v>
      </c>
      <c r="G13" s="13" t="s">
        <v>198</v>
      </c>
      <c r="H13" s="13" t="s">
        <v>198</v>
      </c>
      <c r="I13" s="13" t="s">
        <v>198</v>
      </c>
      <c r="J13" s="13" t="s">
        <v>198</v>
      </c>
      <c r="K13" s="13" t="s">
        <v>198</v>
      </c>
      <c r="L13" s="13" t="s">
        <v>198</v>
      </c>
      <c r="M13" s="13" t="s">
        <v>198</v>
      </c>
      <c r="N13" s="13" t="s">
        <v>198</v>
      </c>
      <c r="O13" s="13" t="s">
        <v>198</v>
      </c>
    </row>
    <row r="14" spans="1:15" x14ac:dyDescent="0.25">
      <c r="A14" s="10" t="s">
        <v>737</v>
      </c>
      <c r="B14" s="10" t="s">
        <v>738</v>
      </c>
      <c r="C14" s="13" t="s">
        <v>198</v>
      </c>
      <c r="D14" s="13" t="s">
        <v>198</v>
      </c>
      <c r="E14" s="13" t="s">
        <v>198</v>
      </c>
      <c r="F14" s="13">
        <v>0</v>
      </c>
      <c r="G14" s="13" t="s">
        <v>198</v>
      </c>
      <c r="H14" s="13" t="s">
        <v>198</v>
      </c>
      <c r="I14" s="13" t="s">
        <v>198</v>
      </c>
      <c r="J14" s="13">
        <v>303.73899999999998</v>
      </c>
      <c r="K14" s="13" t="s">
        <v>198</v>
      </c>
      <c r="L14" s="13" t="s">
        <v>198</v>
      </c>
      <c r="M14" s="13" t="s">
        <v>198</v>
      </c>
      <c r="N14" s="13" t="s">
        <v>198</v>
      </c>
      <c r="O14" s="13" t="s">
        <v>198</v>
      </c>
    </row>
    <row r="15" spans="1:15" x14ac:dyDescent="0.25">
      <c r="A15" s="10" t="s">
        <v>739</v>
      </c>
      <c r="B15" s="10" t="s">
        <v>740</v>
      </c>
      <c r="C15" s="13" t="s">
        <v>198</v>
      </c>
      <c r="D15" s="13" t="s">
        <v>198</v>
      </c>
      <c r="E15" s="13" t="s">
        <v>198</v>
      </c>
      <c r="F15" s="13">
        <v>1070.99</v>
      </c>
      <c r="G15" s="13" t="s">
        <v>198</v>
      </c>
      <c r="H15" s="13">
        <v>0</v>
      </c>
      <c r="I15" s="13">
        <v>0</v>
      </c>
      <c r="J15" s="13">
        <v>624.40499999999997</v>
      </c>
      <c r="K15" s="13" t="s">
        <v>198</v>
      </c>
      <c r="L15" s="13" t="s">
        <v>198</v>
      </c>
      <c r="M15" s="13" t="s">
        <v>198</v>
      </c>
      <c r="N15" s="13" t="s">
        <v>198</v>
      </c>
      <c r="O15" s="13" t="s">
        <v>198</v>
      </c>
    </row>
    <row r="16" spans="1:15" x14ac:dyDescent="0.25">
      <c r="A16" s="10" t="s">
        <v>741</v>
      </c>
      <c r="B16" s="10" t="s">
        <v>742</v>
      </c>
      <c r="C16" s="13">
        <v>2253.942</v>
      </c>
      <c r="D16" s="13">
        <v>607.97699999999998</v>
      </c>
      <c r="E16" s="13">
        <v>748.73099999999999</v>
      </c>
      <c r="F16" s="13" t="s">
        <v>198</v>
      </c>
      <c r="G16" s="13" t="s">
        <v>198</v>
      </c>
      <c r="H16" s="13" t="s">
        <v>198</v>
      </c>
      <c r="I16" s="13" t="s">
        <v>198</v>
      </c>
      <c r="J16" s="13">
        <v>1291.221</v>
      </c>
      <c r="K16" s="13">
        <v>965.77</v>
      </c>
      <c r="L16" s="13" t="s">
        <v>198</v>
      </c>
      <c r="M16" s="13">
        <v>2569.491</v>
      </c>
      <c r="N16" s="13">
        <v>2018.9069999999999</v>
      </c>
      <c r="O16" s="13" t="s">
        <v>198</v>
      </c>
    </row>
    <row r="17" spans="1:15" x14ac:dyDescent="0.25">
      <c r="A17" s="10" t="s">
        <v>743</v>
      </c>
      <c r="B17" s="10" t="s">
        <v>744</v>
      </c>
      <c r="C17" s="13" t="s">
        <v>198</v>
      </c>
      <c r="D17" s="13" t="s">
        <v>198</v>
      </c>
      <c r="E17" s="13" t="s">
        <v>198</v>
      </c>
      <c r="F17" s="13" t="s">
        <v>198</v>
      </c>
      <c r="G17" s="13" t="s">
        <v>198</v>
      </c>
      <c r="H17" s="13" t="s">
        <v>198</v>
      </c>
      <c r="I17" s="13" t="s">
        <v>198</v>
      </c>
      <c r="J17" s="13">
        <v>57.213999999999999</v>
      </c>
      <c r="K17" s="13">
        <v>14.173999999999999</v>
      </c>
      <c r="L17" s="13" t="s">
        <v>198</v>
      </c>
      <c r="M17" s="13">
        <v>19.605</v>
      </c>
      <c r="N17" s="13">
        <v>24.417999999999999</v>
      </c>
      <c r="O17" s="13" t="s">
        <v>198</v>
      </c>
    </row>
    <row r="18" spans="1:15" x14ac:dyDescent="0.25">
      <c r="A18" s="10" t="s">
        <v>745</v>
      </c>
      <c r="B18" s="10" t="s">
        <v>746</v>
      </c>
      <c r="C18" s="13" t="s">
        <v>198</v>
      </c>
      <c r="D18" s="13" t="s">
        <v>198</v>
      </c>
      <c r="E18" s="13" t="s">
        <v>198</v>
      </c>
      <c r="F18" s="13">
        <v>6899.83</v>
      </c>
      <c r="G18" s="13">
        <v>8503.56</v>
      </c>
      <c r="H18" s="13">
        <v>11038.217000000001</v>
      </c>
      <c r="I18" s="13">
        <v>11668.458000000001</v>
      </c>
      <c r="J18" s="13">
        <v>9213.7150000000001</v>
      </c>
      <c r="K18" s="13">
        <v>10284.156000000001</v>
      </c>
      <c r="L18" s="13">
        <v>15413.54</v>
      </c>
      <c r="M18" s="13">
        <v>11229.045</v>
      </c>
      <c r="N18" s="13">
        <v>12037.674000000001</v>
      </c>
      <c r="O18" s="13">
        <v>15301.674999999999</v>
      </c>
    </row>
    <row r="19" spans="1:15" x14ac:dyDescent="0.25">
      <c r="A19" s="10" t="s">
        <v>747</v>
      </c>
      <c r="B19" s="10" t="s">
        <v>748</v>
      </c>
      <c r="C19" s="13" t="s">
        <v>198</v>
      </c>
      <c r="D19" s="13" t="s">
        <v>198</v>
      </c>
      <c r="E19" s="13" t="s">
        <v>198</v>
      </c>
      <c r="F19" s="13" t="s">
        <v>198</v>
      </c>
      <c r="G19" s="13" t="s">
        <v>198</v>
      </c>
      <c r="H19" s="13" t="s">
        <v>198</v>
      </c>
      <c r="I19" s="13" t="s">
        <v>198</v>
      </c>
      <c r="J19" s="13" t="s">
        <v>198</v>
      </c>
      <c r="K19" s="13">
        <v>0</v>
      </c>
      <c r="L19" s="13" t="s">
        <v>198</v>
      </c>
      <c r="M19" s="13">
        <v>29.564</v>
      </c>
      <c r="N19" s="13">
        <v>33.036999999999999</v>
      </c>
      <c r="O19" s="13">
        <v>120.736</v>
      </c>
    </row>
    <row r="20" spans="1:15" x14ac:dyDescent="0.25">
      <c r="A20" s="10" t="s">
        <v>749</v>
      </c>
      <c r="B20" s="10" t="s">
        <v>750</v>
      </c>
      <c r="C20" s="13">
        <v>51.497999999999998</v>
      </c>
      <c r="D20" s="13">
        <v>165.50399999999999</v>
      </c>
      <c r="E20" s="13">
        <v>92.715000000000003</v>
      </c>
      <c r="F20" s="13" t="s">
        <v>198</v>
      </c>
      <c r="G20" s="13" t="s">
        <v>198</v>
      </c>
      <c r="H20" s="13" t="s">
        <v>198</v>
      </c>
      <c r="I20" s="13" t="s">
        <v>198</v>
      </c>
      <c r="J20" s="13" t="s">
        <v>198</v>
      </c>
      <c r="K20" s="13" t="s">
        <v>198</v>
      </c>
      <c r="L20" s="13" t="s">
        <v>198</v>
      </c>
      <c r="M20" s="13" t="s">
        <v>198</v>
      </c>
      <c r="N20" s="13" t="s">
        <v>198</v>
      </c>
      <c r="O20" s="13" t="s">
        <v>198</v>
      </c>
    </row>
    <row r="21" spans="1:15" x14ac:dyDescent="0.25">
      <c r="A21" s="10" t="s">
        <v>751</v>
      </c>
      <c r="B21" s="10" t="s">
        <v>752</v>
      </c>
      <c r="C21" s="13" t="s">
        <v>198</v>
      </c>
      <c r="D21" s="13" t="s">
        <v>198</v>
      </c>
      <c r="E21" s="13" t="s">
        <v>198</v>
      </c>
      <c r="F21" s="13" t="s">
        <v>198</v>
      </c>
      <c r="G21" s="13" t="s">
        <v>198</v>
      </c>
      <c r="H21" s="13" t="s">
        <v>198</v>
      </c>
      <c r="I21" s="13" t="s">
        <v>198</v>
      </c>
      <c r="J21" s="13">
        <v>1004.644</v>
      </c>
      <c r="K21" s="13">
        <v>1076.837</v>
      </c>
      <c r="L21" s="13" t="s">
        <v>198</v>
      </c>
      <c r="M21" s="13">
        <v>944.447</v>
      </c>
      <c r="N21" s="13">
        <v>1106.472</v>
      </c>
      <c r="O21" s="13" t="s">
        <v>198</v>
      </c>
    </row>
    <row r="22" spans="1:15" x14ac:dyDescent="0.25">
      <c r="A22" s="10" t="s">
        <v>753</v>
      </c>
      <c r="B22" s="10" t="s">
        <v>754</v>
      </c>
      <c r="C22" s="13" t="s">
        <v>198</v>
      </c>
      <c r="D22" s="13" t="s">
        <v>198</v>
      </c>
      <c r="E22" s="13" t="s">
        <v>198</v>
      </c>
      <c r="F22" s="13" t="s">
        <v>198</v>
      </c>
      <c r="G22" s="13" t="s">
        <v>198</v>
      </c>
      <c r="H22" s="13">
        <v>0</v>
      </c>
      <c r="I22" s="13">
        <v>915.39300000000003</v>
      </c>
      <c r="J22" s="13">
        <v>291.88200000000001</v>
      </c>
      <c r="K22" s="13">
        <v>933.39700000000005</v>
      </c>
      <c r="L22" s="13">
        <v>1290.877</v>
      </c>
      <c r="M22" s="13">
        <v>698.51199999999994</v>
      </c>
      <c r="N22" s="13">
        <v>2561.8820000000001</v>
      </c>
      <c r="O22" s="13">
        <v>1546.5540000000001</v>
      </c>
    </row>
    <row r="23" spans="1:15" x14ac:dyDescent="0.25">
      <c r="A23" s="6" t="s">
        <v>81</v>
      </c>
      <c r="B23" s="6" t="s">
        <v>755</v>
      </c>
      <c r="C23" s="19">
        <v>11553.359</v>
      </c>
      <c r="D23" s="19">
        <v>14608.128000000001</v>
      </c>
      <c r="E23" s="19">
        <v>15065.944</v>
      </c>
      <c r="F23" s="19">
        <v>19725.16</v>
      </c>
      <c r="G23" s="19">
        <v>36597.542999999998</v>
      </c>
      <c r="H23" s="19">
        <v>31228.496999999999</v>
      </c>
      <c r="I23" s="19">
        <v>31650.112000000001</v>
      </c>
      <c r="J23" s="19">
        <v>31626.959999999999</v>
      </c>
      <c r="K23" s="19">
        <v>38159.245000000003</v>
      </c>
      <c r="L23" s="19">
        <v>39483.277999999998</v>
      </c>
      <c r="M23" s="19">
        <v>38093.96</v>
      </c>
      <c r="N23" s="19">
        <v>41807.53</v>
      </c>
      <c r="O23" s="19">
        <v>40235.461000000003</v>
      </c>
    </row>
    <row r="24" spans="1:15" x14ac:dyDescent="0.25">
      <c r="A24" s="10" t="s">
        <v>756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spans="1:15" x14ac:dyDescent="0.25">
      <c r="A25" s="10" t="s">
        <v>757</v>
      </c>
      <c r="B25" s="10" t="s">
        <v>758</v>
      </c>
      <c r="C25" s="13" t="s">
        <v>198</v>
      </c>
      <c r="D25" s="13" t="s">
        <v>198</v>
      </c>
      <c r="E25" s="13" t="s">
        <v>198</v>
      </c>
      <c r="F25" s="13" t="s">
        <v>198</v>
      </c>
      <c r="G25" s="13" t="s">
        <v>198</v>
      </c>
      <c r="H25" s="13" t="s">
        <v>198</v>
      </c>
      <c r="I25" s="13" t="s">
        <v>198</v>
      </c>
      <c r="J25" s="13">
        <v>11.968999999999999</v>
      </c>
      <c r="K25" s="13">
        <v>0</v>
      </c>
      <c r="L25" s="13" t="s">
        <v>198</v>
      </c>
      <c r="M25" s="13" t="s">
        <v>198</v>
      </c>
      <c r="N25" s="13" t="s">
        <v>198</v>
      </c>
      <c r="O25" s="13" t="s">
        <v>198</v>
      </c>
    </row>
    <row r="26" spans="1:15" x14ac:dyDescent="0.25">
      <c r="A26" s="10" t="s">
        <v>759</v>
      </c>
      <c r="B26" s="10" t="s">
        <v>760</v>
      </c>
      <c r="C26" s="13">
        <v>1729.454</v>
      </c>
      <c r="D26" s="13">
        <v>2342.4769999999999</v>
      </c>
      <c r="E26" s="13">
        <v>3996.7579999999998</v>
      </c>
      <c r="F26" s="13">
        <v>4640.6009999999997</v>
      </c>
      <c r="G26" s="13">
        <v>5280.4790000000003</v>
      </c>
      <c r="H26" s="13">
        <v>5506.3050000000003</v>
      </c>
      <c r="I26" s="13">
        <v>6944.6769999999997</v>
      </c>
      <c r="J26" s="13">
        <v>10169.487999999999</v>
      </c>
      <c r="K26" s="13">
        <v>11854.967000000001</v>
      </c>
      <c r="L26" s="13">
        <v>14073.95</v>
      </c>
      <c r="M26" s="13">
        <v>15743.262000000001</v>
      </c>
      <c r="N26" s="13">
        <v>17833.712</v>
      </c>
      <c r="O26" s="13">
        <v>17609.537</v>
      </c>
    </row>
    <row r="27" spans="1:15" x14ac:dyDescent="0.25">
      <c r="A27" s="10" t="s">
        <v>761</v>
      </c>
      <c r="B27" s="10" t="s">
        <v>762</v>
      </c>
      <c r="C27" s="13" t="s">
        <v>198</v>
      </c>
      <c r="D27" s="13" t="s">
        <v>198</v>
      </c>
      <c r="E27" s="13" t="s">
        <v>198</v>
      </c>
      <c r="F27" s="13">
        <v>0</v>
      </c>
      <c r="G27" s="13">
        <v>944.38</v>
      </c>
      <c r="H27" s="13">
        <v>1454.0550000000001</v>
      </c>
      <c r="I27" s="13">
        <v>1313.9780000000001</v>
      </c>
      <c r="J27" s="13">
        <v>2357.279</v>
      </c>
      <c r="K27" s="13">
        <v>1934.567</v>
      </c>
      <c r="L27" s="13">
        <v>2086.1060000000002</v>
      </c>
      <c r="M27" s="13">
        <v>2432.252</v>
      </c>
      <c r="N27" s="13">
        <v>3986.6979999999999</v>
      </c>
      <c r="O27" s="13">
        <v>1349.5530000000001</v>
      </c>
    </row>
    <row r="28" spans="1:15" x14ac:dyDescent="0.25">
      <c r="A28" s="10" t="s">
        <v>763</v>
      </c>
      <c r="B28" s="10" t="s">
        <v>764</v>
      </c>
      <c r="C28" s="13" t="s">
        <v>198</v>
      </c>
      <c r="D28" s="13" t="s">
        <v>198</v>
      </c>
      <c r="E28" s="13" t="s">
        <v>198</v>
      </c>
      <c r="F28" s="13" t="s">
        <v>198</v>
      </c>
      <c r="G28" s="13" t="s">
        <v>198</v>
      </c>
      <c r="H28" s="13" t="s">
        <v>198</v>
      </c>
      <c r="I28" s="13" t="s">
        <v>198</v>
      </c>
      <c r="J28" s="13" t="s">
        <v>198</v>
      </c>
      <c r="K28" s="13" t="s">
        <v>198</v>
      </c>
      <c r="L28" s="13" t="s">
        <v>198</v>
      </c>
      <c r="M28" s="13">
        <v>22454.634999999998</v>
      </c>
      <c r="N28" s="13">
        <v>26631.583999999999</v>
      </c>
      <c r="O28" s="13">
        <v>24989.850999999999</v>
      </c>
    </row>
    <row r="29" spans="1:15" x14ac:dyDescent="0.25">
      <c r="A29" s="10" t="s">
        <v>765</v>
      </c>
      <c r="B29" s="10" t="s">
        <v>766</v>
      </c>
      <c r="C29" s="13">
        <v>786.846</v>
      </c>
      <c r="D29" s="13">
        <v>154.779</v>
      </c>
      <c r="E29" s="13">
        <v>0</v>
      </c>
      <c r="F29" s="13">
        <v>66.364000000000004</v>
      </c>
      <c r="G29" s="13">
        <v>90.007999999999996</v>
      </c>
      <c r="H29" s="13">
        <v>311.39699999999999</v>
      </c>
      <c r="I29" s="13">
        <v>267.13099999999997</v>
      </c>
      <c r="J29" s="13">
        <v>1567.796</v>
      </c>
      <c r="K29" s="13">
        <v>648.351</v>
      </c>
      <c r="L29" s="13">
        <v>577.92999999999995</v>
      </c>
      <c r="M29" s="13">
        <v>972.58699999999999</v>
      </c>
      <c r="N29" s="13">
        <v>1469.5119999999999</v>
      </c>
      <c r="O29" s="13">
        <v>1149.191</v>
      </c>
    </row>
    <row r="30" spans="1:15" x14ac:dyDescent="0.25">
      <c r="A30" s="10" t="s">
        <v>767</v>
      </c>
      <c r="B30" s="10" t="s">
        <v>768</v>
      </c>
      <c r="C30" s="13">
        <v>10.409000000000001</v>
      </c>
      <c r="D30" s="13">
        <v>116.991</v>
      </c>
      <c r="E30" s="13">
        <v>151</v>
      </c>
      <c r="F30" s="13">
        <v>9.4899999999999998E-2</v>
      </c>
      <c r="G30" s="13">
        <v>99.91</v>
      </c>
      <c r="H30" s="13" t="s">
        <v>198</v>
      </c>
      <c r="I30" s="13" t="s">
        <v>198</v>
      </c>
      <c r="J30" s="13">
        <v>234.809</v>
      </c>
      <c r="K30" s="13">
        <v>434.69</v>
      </c>
      <c r="L30" s="13" t="s">
        <v>198</v>
      </c>
      <c r="M30" s="13">
        <v>541.66099999999994</v>
      </c>
      <c r="N30" s="13">
        <v>640.13800000000003</v>
      </c>
      <c r="O30" s="13" t="s">
        <v>198</v>
      </c>
    </row>
    <row r="31" spans="1:15" x14ac:dyDescent="0.25">
      <c r="A31" s="10" t="s">
        <v>769</v>
      </c>
      <c r="B31" s="10" t="s">
        <v>770</v>
      </c>
      <c r="C31" s="13">
        <v>340.00200000000001</v>
      </c>
      <c r="D31" s="13">
        <v>382.68299999999999</v>
      </c>
      <c r="E31" s="13">
        <v>5505.6279999999997</v>
      </c>
      <c r="F31" s="13">
        <v>5992.3469999999998</v>
      </c>
      <c r="G31" s="13">
        <v>6274.1890000000003</v>
      </c>
      <c r="H31" s="13">
        <v>6353.7380000000003</v>
      </c>
      <c r="I31" s="13">
        <v>6253.0879999999997</v>
      </c>
      <c r="J31" s="13">
        <v>6891.07</v>
      </c>
      <c r="K31" s="13">
        <v>6991.77</v>
      </c>
      <c r="L31" s="13">
        <v>6022.2129999999997</v>
      </c>
      <c r="M31" s="13">
        <v>5535.5749999999998</v>
      </c>
      <c r="N31" s="13">
        <v>6627.2169999999996</v>
      </c>
      <c r="O31" s="13">
        <v>6161.7449999999999</v>
      </c>
    </row>
    <row r="32" spans="1:15" x14ac:dyDescent="0.25">
      <c r="A32" s="10" t="s">
        <v>771</v>
      </c>
      <c r="B32" s="10" t="s">
        <v>772</v>
      </c>
      <c r="C32" s="13">
        <v>222.14099999999999</v>
      </c>
      <c r="D32" s="13">
        <v>313.13600000000002</v>
      </c>
      <c r="E32" s="13">
        <v>299.22000000000003</v>
      </c>
      <c r="F32" s="13">
        <v>313.85410000000002</v>
      </c>
      <c r="G32" s="13">
        <v>400.14600000000002</v>
      </c>
      <c r="H32" s="13">
        <v>334.40899999999999</v>
      </c>
      <c r="I32" s="13">
        <v>309.73200000000003</v>
      </c>
      <c r="J32" s="13">
        <v>67.893000000000001</v>
      </c>
      <c r="K32" s="13">
        <v>61.878999999999998</v>
      </c>
      <c r="L32" s="13">
        <v>550.15099999999995</v>
      </c>
      <c r="M32" s="13">
        <v>66.097999999999999</v>
      </c>
      <c r="N32" s="13">
        <v>70.567999999999998</v>
      </c>
      <c r="O32" s="13">
        <v>767.97500000000002</v>
      </c>
    </row>
    <row r="33" spans="1:15" x14ac:dyDescent="0.25">
      <c r="A33" s="10" t="s">
        <v>773</v>
      </c>
      <c r="B33" s="10" t="s">
        <v>774</v>
      </c>
      <c r="C33" s="13" t="s">
        <v>198</v>
      </c>
      <c r="D33" s="13" t="s">
        <v>198</v>
      </c>
      <c r="E33" s="13" t="s">
        <v>198</v>
      </c>
      <c r="F33" s="13" t="s">
        <v>198</v>
      </c>
      <c r="G33" s="13" t="s">
        <v>198</v>
      </c>
      <c r="H33" s="13" t="s">
        <v>198</v>
      </c>
      <c r="I33" s="13" t="s">
        <v>198</v>
      </c>
      <c r="J33" s="13" t="s">
        <v>198</v>
      </c>
      <c r="K33" s="13" t="s">
        <v>198</v>
      </c>
      <c r="L33" s="13" t="s">
        <v>198</v>
      </c>
      <c r="M33" s="13" t="s">
        <v>198</v>
      </c>
      <c r="N33" s="13" t="s">
        <v>198</v>
      </c>
      <c r="O33" s="13">
        <v>291.73899999999998</v>
      </c>
    </row>
    <row r="34" spans="1:15" x14ac:dyDescent="0.25">
      <c r="A34" s="10" t="s">
        <v>775</v>
      </c>
      <c r="B34" s="10" t="s">
        <v>776</v>
      </c>
      <c r="C34" s="13" t="s">
        <v>198</v>
      </c>
      <c r="D34" s="13" t="s">
        <v>198</v>
      </c>
      <c r="E34" s="13" t="s">
        <v>198</v>
      </c>
      <c r="F34" s="13">
        <v>25962.787</v>
      </c>
      <c r="G34" s="13">
        <v>28335.113000000001</v>
      </c>
      <c r="H34" s="13">
        <v>35482.892</v>
      </c>
      <c r="I34" s="13">
        <v>39074.822</v>
      </c>
      <c r="J34" s="13">
        <v>49954.707999999999</v>
      </c>
      <c r="K34" s="13">
        <v>57380.322999999997</v>
      </c>
      <c r="L34" s="13">
        <v>58382.866999999998</v>
      </c>
      <c r="M34" s="13">
        <v>61130.983</v>
      </c>
      <c r="N34" s="13">
        <v>70563.06</v>
      </c>
      <c r="O34" s="13">
        <v>65868.263000000006</v>
      </c>
    </row>
    <row r="35" spans="1:15" x14ac:dyDescent="0.25">
      <c r="A35" s="10" t="s">
        <v>777</v>
      </c>
      <c r="B35" s="10" t="s">
        <v>778</v>
      </c>
      <c r="C35" s="13" t="s">
        <v>198</v>
      </c>
      <c r="D35" s="13" t="s">
        <v>198</v>
      </c>
      <c r="E35" s="13" t="s">
        <v>198</v>
      </c>
      <c r="F35" s="13">
        <v>0</v>
      </c>
      <c r="G35" s="13">
        <v>2.9470000000000001</v>
      </c>
      <c r="H35" s="13" t="s">
        <v>198</v>
      </c>
      <c r="I35" s="13" t="s">
        <v>198</v>
      </c>
      <c r="J35" s="13" t="s">
        <v>198</v>
      </c>
      <c r="K35" s="13" t="s">
        <v>198</v>
      </c>
      <c r="L35" s="13" t="s">
        <v>198</v>
      </c>
      <c r="M35" s="13" t="s">
        <v>198</v>
      </c>
      <c r="N35" s="13" t="s">
        <v>198</v>
      </c>
      <c r="O35" s="13" t="s">
        <v>198</v>
      </c>
    </row>
    <row r="36" spans="1:15" x14ac:dyDescent="0.25">
      <c r="A36" s="10" t="s">
        <v>779</v>
      </c>
      <c r="B36" s="10" t="s">
        <v>780</v>
      </c>
      <c r="C36" s="13">
        <v>5873.9920000000002</v>
      </c>
      <c r="D36" s="13">
        <v>5945.8360000000002</v>
      </c>
      <c r="E36" s="13">
        <v>10404.996999999999</v>
      </c>
      <c r="F36" s="13">
        <v>11771.208000000001</v>
      </c>
      <c r="G36" s="13">
        <v>11364.885</v>
      </c>
      <c r="H36" s="13">
        <v>14663.673000000001</v>
      </c>
      <c r="I36" s="13">
        <v>14229.950999999999</v>
      </c>
      <c r="J36" s="13">
        <v>15447.299000000001</v>
      </c>
      <c r="K36" s="13">
        <v>20627.687000000002</v>
      </c>
      <c r="L36" s="13">
        <v>18848.513999999999</v>
      </c>
      <c r="M36" s="13">
        <v>16919.060000000001</v>
      </c>
      <c r="N36" s="13">
        <v>20004.366999999998</v>
      </c>
      <c r="O36" s="13">
        <v>18828.106</v>
      </c>
    </row>
    <row r="37" spans="1:15" x14ac:dyDescent="0.25">
      <c r="A37" s="10" t="s">
        <v>781</v>
      </c>
      <c r="B37" s="10" t="s">
        <v>782</v>
      </c>
      <c r="C37" s="13" t="s">
        <v>198</v>
      </c>
      <c r="D37" s="13" t="s">
        <v>198</v>
      </c>
      <c r="E37" s="13" t="s">
        <v>198</v>
      </c>
      <c r="F37" s="13" t="s">
        <v>198</v>
      </c>
      <c r="G37" s="13" t="s">
        <v>198</v>
      </c>
      <c r="H37" s="13">
        <v>0</v>
      </c>
      <c r="I37" s="13">
        <v>2719.3490000000002</v>
      </c>
      <c r="J37" s="13">
        <v>4895.4210000000003</v>
      </c>
      <c r="K37" s="13">
        <v>5866.7340000000004</v>
      </c>
      <c r="L37" s="13">
        <v>7501.8</v>
      </c>
      <c r="M37" s="13">
        <v>9838.7520000000004</v>
      </c>
      <c r="N37" s="13">
        <v>9531.2510000000002</v>
      </c>
      <c r="O37" s="13">
        <v>10132.325999999999</v>
      </c>
    </row>
    <row r="38" spans="1:15" x14ac:dyDescent="0.25">
      <c r="A38" s="10" t="s">
        <v>783</v>
      </c>
      <c r="B38" s="10" t="s">
        <v>784</v>
      </c>
      <c r="C38" s="13">
        <v>689.18899999999996</v>
      </c>
      <c r="D38" s="13">
        <v>859.74599999999998</v>
      </c>
      <c r="E38" s="13">
        <v>3212.9520000000002</v>
      </c>
      <c r="F38" s="13">
        <v>3178.3180000000002</v>
      </c>
      <c r="G38" s="13">
        <v>3878.1689999999999</v>
      </c>
      <c r="H38" s="13">
        <v>6859.3149999999996</v>
      </c>
      <c r="I38" s="13">
        <v>4990.7470000000003</v>
      </c>
      <c r="J38" s="13">
        <v>5959.9139999999998</v>
      </c>
      <c r="K38" s="13">
        <v>6588.473</v>
      </c>
      <c r="L38" s="13">
        <v>6043.6490000000003</v>
      </c>
      <c r="M38" s="13">
        <v>6268.616</v>
      </c>
      <c r="N38" s="13">
        <v>8134.0389999999998</v>
      </c>
      <c r="O38" s="13">
        <v>7915.19</v>
      </c>
    </row>
    <row r="39" spans="1:15" x14ac:dyDescent="0.25">
      <c r="A39" s="6" t="s">
        <v>83</v>
      </c>
      <c r="B39" s="6" t="s">
        <v>785</v>
      </c>
      <c r="C39" s="19">
        <v>21205.392</v>
      </c>
      <c r="D39" s="19">
        <v>24723.776000000002</v>
      </c>
      <c r="E39" s="19">
        <v>38636.499000000003</v>
      </c>
      <c r="F39" s="19">
        <v>45687.947</v>
      </c>
      <c r="G39" s="19">
        <v>64932.656000000003</v>
      </c>
      <c r="H39" s="19">
        <v>66711.388999999996</v>
      </c>
      <c r="I39" s="19">
        <v>70724.933999999994</v>
      </c>
      <c r="J39" s="19">
        <v>81581.668000000005</v>
      </c>
      <c r="K39" s="19">
        <v>95539.567999999999</v>
      </c>
      <c r="L39" s="19">
        <v>97866.145000000004</v>
      </c>
      <c r="M39" s="19">
        <v>99224.942999999999</v>
      </c>
      <c r="N39" s="19">
        <v>112370.59</v>
      </c>
      <c r="O39" s="19">
        <v>106103.724</v>
      </c>
    </row>
    <row r="40" spans="1:15" x14ac:dyDescent="0.25">
      <c r="A40" s="10" t="s">
        <v>786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</row>
    <row r="41" spans="1:15" x14ac:dyDescent="0.25">
      <c r="A41" s="10" t="s">
        <v>787</v>
      </c>
      <c r="B41" s="10" t="s">
        <v>788</v>
      </c>
      <c r="C41" s="13">
        <v>946.32799999999997</v>
      </c>
      <c r="D41" s="13">
        <v>958.029</v>
      </c>
      <c r="E41" s="13">
        <v>1775.3150000000001</v>
      </c>
      <c r="F41" s="13">
        <v>2422.0859999999998</v>
      </c>
      <c r="G41" s="13">
        <v>2149.973</v>
      </c>
      <c r="H41" s="13">
        <v>2642.7809999999999</v>
      </c>
      <c r="I41" s="13">
        <v>2251.098</v>
      </c>
      <c r="J41" s="13">
        <v>3062.4360000000001</v>
      </c>
      <c r="K41" s="13">
        <v>4593.9480000000003</v>
      </c>
      <c r="L41" s="13" t="s">
        <v>198</v>
      </c>
      <c r="M41" s="13">
        <v>4485.6040000000003</v>
      </c>
      <c r="N41" s="13">
        <v>5482.7520000000004</v>
      </c>
      <c r="O41" s="13" t="s">
        <v>198</v>
      </c>
    </row>
    <row r="42" spans="1:15" x14ac:dyDescent="0.25">
      <c r="A42" s="10" t="s">
        <v>789</v>
      </c>
      <c r="B42" s="10" t="s">
        <v>790</v>
      </c>
      <c r="C42" s="13">
        <v>955.38099999999997</v>
      </c>
      <c r="D42" s="13">
        <v>1036.8889999999999</v>
      </c>
      <c r="E42" s="13">
        <v>45.713999999999999</v>
      </c>
      <c r="F42" s="13">
        <v>53.142000000000003</v>
      </c>
      <c r="G42" s="13">
        <v>48.311</v>
      </c>
      <c r="H42" s="13">
        <v>48.182000000000002</v>
      </c>
      <c r="I42" s="13">
        <v>46.131</v>
      </c>
      <c r="J42" s="13">
        <v>48.832999999999998</v>
      </c>
      <c r="K42" s="13">
        <v>102.363</v>
      </c>
      <c r="L42" s="13">
        <v>96.286000000000001</v>
      </c>
      <c r="M42" s="13">
        <v>84.012</v>
      </c>
      <c r="N42" s="13">
        <v>3250.18</v>
      </c>
      <c r="O42" s="13">
        <v>99.224000000000004</v>
      </c>
    </row>
    <row r="43" spans="1:15" x14ac:dyDescent="0.25">
      <c r="A43" s="10" t="s">
        <v>791</v>
      </c>
      <c r="B43" s="10" t="s">
        <v>792</v>
      </c>
      <c r="C43" s="13">
        <v>8.0719999999999992</v>
      </c>
      <c r="D43" s="13">
        <v>12.013</v>
      </c>
      <c r="E43" s="13">
        <v>11.617000000000001</v>
      </c>
      <c r="F43" s="13">
        <v>0</v>
      </c>
      <c r="G43" s="13">
        <v>14.343999999999999</v>
      </c>
      <c r="H43" s="13">
        <v>9.3450000000000006</v>
      </c>
      <c r="I43" s="13">
        <v>0</v>
      </c>
      <c r="J43" s="13" t="s">
        <v>198</v>
      </c>
      <c r="K43" s="13">
        <v>0</v>
      </c>
      <c r="L43" s="13" t="s">
        <v>198</v>
      </c>
      <c r="M43" s="13" t="s">
        <v>198</v>
      </c>
      <c r="N43" s="13" t="s">
        <v>198</v>
      </c>
      <c r="O43" s="13" t="s">
        <v>198</v>
      </c>
    </row>
    <row r="44" spans="1:15" x14ac:dyDescent="0.25">
      <c r="A44" s="10" t="s">
        <v>793</v>
      </c>
      <c r="B44" s="10" t="s">
        <v>794</v>
      </c>
      <c r="C44" s="13">
        <v>885.09</v>
      </c>
      <c r="D44" s="13">
        <v>1032.0630000000001</v>
      </c>
      <c r="E44" s="13">
        <v>0</v>
      </c>
      <c r="F44" s="13">
        <v>0</v>
      </c>
      <c r="G44" s="13" t="s">
        <v>198</v>
      </c>
      <c r="H44" s="13" t="s">
        <v>198</v>
      </c>
      <c r="I44" s="13" t="s">
        <v>198</v>
      </c>
      <c r="J44" s="13" t="s">
        <v>198</v>
      </c>
      <c r="K44" s="13" t="s">
        <v>198</v>
      </c>
      <c r="L44" s="13" t="s">
        <v>198</v>
      </c>
      <c r="M44" s="13" t="s">
        <v>198</v>
      </c>
      <c r="N44" s="13" t="s">
        <v>198</v>
      </c>
      <c r="O44" s="13" t="s">
        <v>198</v>
      </c>
    </row>
    <row r="45" spans="1:15" x14ac:dyDescent="0.25">
      <c r="A45" s="10" t="s">
        <v>795</v>
      </c>
      <c r="B45" s="10" t="s">
        <v>796</v>
      </c>
      <c r="C45" s="13">
        <v>1004.393</v>
      </c>
      <c r="D45" s="13">
        <v>1042.3440000000001</v>
      </c>
      <c r="E45" s="13">
        <v>766.654</v>
      </c>
      <c r="F45" s="13">
        <v>272.95999999999998</v>
      </c>
      <c r="G45" s="13">
        <v>803.58</v>
      </c>
      <c r="H45" s="13">
        <v>43.768999999999998</v>
      </c>
      <c r="I45" s="13">
        <v>0</v>
      </c>
      <c r="J45" s="13">
        <v>4809.5600000000004</v>
      </c>
      <c r="K45" s="13">
        <v>6602.5720000000001</v>
      </c>
      <c r="L45" s="13" t="s">
        <v>198</v>
      </c>
      <c r="M45" s="13">
        <v>6558.1850000000004</v>
      </c>
      <c r="N45" s="13">
        <v>6590.0309999999999</v>
      </c>
      <c r="O45" s="13" t="s">
        <v>198</v>
      </c>
    </row>
    <row r="46" spans="1:15" x14ac:dyDescent="0.25">
      <c r="A46" s="10" t="s">
        <v>797</v>
      </c>
      <c r="B46" s="10" t="s">
        <v>798</v>
      </c>
      <c r="C46" s="13">
        <v>138.523</v>
      </c>
      <c r="D46" s="13">
        <v>88.861000000000004</v>
      </c>
      <c r="E46" s="13">
        <v>176.4</v>
      </c>
      <c r="F46" s="13" t="s">
        <v>198</v>
      </c>
      <c r="G46" s="13" t="s">
        <v>198</v>
      </c>
      <c r="H46" s="13" t="s">
        <v>198</v>
      </c>
      <c r="I46" s="13" t="s">
        <v>198</v>
      </c>
      <c r="J46" s="13" t="s">
        <v>198</v>
      </c>
      <c r="K46" s="13" t="s">
        <v>198</v>
      </c>
      <c r="L46" s="13" t="s">
        <v>198</v>
      </c>
      <c r="M46" s="13" t="s">
        <v>198</v>
      </c>
      <c r="N46" s="13" t="s">
        <v>198</v>
      </c>
      <c r="O46" s="13" t="s">
        <v>198</v>
      </c>
    </row>
    <row r="47" spans="1:15" x14ac:dyDescent="0.25">
      <c r="A47" s="10" t="s">
        <v>799</v>
      </c>
      <c r="B47" s="10" t="s">
        <v>800</v>
      </c>
      <c r="C47" s="13">
        <v>1108.511</v>
      </c>
      <c r="D47" s="13">
        <v>1158.932</v>
      </c>
      <c r="E47" s="13">
        <v>1269.991</v>
      </c>
      <c r="F47" s="13">
        <v>1708.4280000000001</v>
      </c>
      <c r="G47" s="13">
        <v>2086.81</v>
      </c>
      <c r="H47" s="13">
        <v>2347.576</v>
      </c>
      <c r="I47" s="13">
        <v>3944.6039999999998</v>
      </c>
      <c r="J47" s="13" t="s">
        <v>198</v>
      </c>
      <c r="K47" s="13" t="s">
        <v>198</v>
      </c>
      <c r="L47" s="13">
        <v>6267.6139999999996</v>
      </c>
      <c r="M47" s="13" t="s">
        <v>198</v>
      </c>
      <c r="N47" s="13" t="s">
        <v>198</v>
      </c>
      <c r="O47" s="13">
        <v>6661.1710000000003</v>
      </c>
    </row>
    <row r="48" spans="1:15" x14ac:dyDescent="0.25">
      <c r="A48" s="10" t="s">
        <v>801</v>
      </c>
      <c r="B48" s="10" t="s">
        <v>802</v>
      </c>
      <c r="C48" s="13" t="s">
        <v>198</v>
      </c>
      <c r="D48" s="13" t="s">
        <v>198</v>
      </c>
      <c r="E48" s="13" t="s">
        <v>198</v>
      </c>
      <c r="F48" s="13" t="s">
        <v>198</v>
      </c>
      <c r="G48" s="13" t="s">
        <v>198</v>
      </c>
      <c r="H48" s="13" t="s">
        <v>198</v>
      </c>
      <c r="I48" s="13" t="s">
        <v>198</v>
      </c>
      <c r="J48" s="13">
        <v>169.55099999999999</v>
      </c>
      <c r="K48" s="13">
        <v>70.787999999999997</v>
      </c>
      <c r="L48" s="13" t="s">
        <v>198</v>
      </c>
      <c r="M48" s="13">
        <v>13.53</v>
      </c>
      <c r="N48" s="13">
        <v>2.7440000000000002</v>
      </c>
      <c r="O48" s="13" t="s">
        <v>198</v>
      </c>
    </row>
    <row r="49" spans="1:15" x14ac:dyDescent="0.25">
      <c r="A49" s="10" t="s">
        <v>803</v>
      </c>
      <c r="B49" s="10" t="s">
        <v>804</v>
      </c>
      <c r="C49" s="13" t="s">
        <v>198</v>
      </c>
      <c r="D49" s="13" t="s">
        <v>198</v>
      </c>
      <c r="E49" s="13" t="s">
        <v>198</v>
      </c>
      <c r="F49" s="13" t="s">
        <v>198</v>
      </c>
      <c r="G49" s="13" t="s">
        <v>198</v>
      </c>
      <c r="H49" s="13" t="s">
        <v>198</v>
      </c>
      <c r="I49" s="13" t="s">
        <v>198</v>
      </c>
      <c r="J49" s="13" t="s">
        <v>198</v>
      </c>
      <c r="K49" s="13" t="s">
        <v>198</v>
      </c>
      <c r="L49" s="13">
        <v>8514.4490000000005</v>
      </c>
      <c r="M49" s="13" t="s">
        <v>198</v>
      </c>
      <c r="N49" s="13" t="s">
        <v>198</v>
      </c>
      <c r="O49" s="13">
        <v>5255.6109999999999</v>
      </c>
    </row>
    <row r="50" spans="1:15" x14ac:dyDescent="0.25">
      <c r="A50" s="6" t="s">
        <v>85</v>
      </c>
      <c r="B50" s="6" t="s">
        <v>805</v>
      </c>
      <c r="C50" s="19">
        <v>5046.2979999999998</v>
      </c>
      <c r="D50" s="19">
        <v>5329.1310000000003</v>
      </c>
      <c r="E50" s="19">
        <v>4045.6909999999998</v>
      </c>
      <c r="F50" s="19">
        <v>4456.616</v>
      </c>
      <c r="G50" s="19">
        <v>5103.018</v>
      </c>
      <c r="H50" s="19">
        <v>5091.6530000000002</v>
      </c>
      <c r="I50" s="19">
        <v>6687.415</v>
      </c>
      <c r="J50" s="19">
        <v>8707.6479999999992</v>
      </c>
      <c r="K50" s="19">
        <v>12157.523999999999</v>
      </c>
      <c r="L50" s="19">
        <v>15501.684999999999</v>
      </c>
      <c r="M50" s="19">
        <v>11805.588</v>
      </c>
      <c r="N50" s="19">
        <v>15838.324000000001</v>
      </c>
      <c r="O50" s="19">
        <v>12455.502</v>
      </c>
    </row>
    <row r="51" spans="1:15" x14ac:dyDescent="0.25">
      <c r="A51" s="10" t="s">
        <v>806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spans="1:15" x14ac:dyDescent="0.25">
      <c r="A52" s="10" t="s">
        <v>681</v>
      </c>
      <c r="B52" s="10" t="s">
        <v>807</v>
      </c>
      <c r="C52" s="13" t="s">
        <v>198</v>
      </c>
      <c r="D52" s="13" t="s">
        <v>198</v>
      </c>
      <c r="E52" s="13" t="s">
        <v>198</v>
      </c>
      <c r="F52" s="13">
        <v>13178.9</v>
      </c>
      <c r="G52" s="13" t="s">
        <v>198</v>
      </c>
      <c r="H52" s="13">
        <v>13747.924999999999</v>
      </c>
      <c r="I52" s="13">
        <v>15445.316000000001</v>
      </c>
      <c r="J52" s="13" t="s">
        <v>198</v>
      </c>
      <c r="K52" s="13">
        <v>24938.722000000002</v>
      </c>
      <c r="L52" s="13">
        <v>23941.251</v>
      </c>
      <c r="M52" s="13">
        <v>29780.042000000001</v>
      </c>
      <c r="N52" s="13">
        <v>29737.298999999999</v>
      </c>
      <c r="O52" s="13">
        <v>23354.848999999998</v>
      </c>
    </row>
    <row r="53" spans="1:15" x14ac:dyDescent="0.25">
      <c r="A53" s="10" t="s">
        <v>808</v>
      </c>
      <c r="B53" s="10" t="s">
        <v>809</v>
      </c>
      <c r="C53" s="13">
        <v>40.494</v>
      </c>
      <c r="D53" s="13">
        <v>2.282</v>
      </c>
      <c r="E53" s="13">
        <v>8490.2060000000001</v>
      </c>
      <c r="F53" s="13">
        <v>10206.842000000001</v>
      </c>
      <c r="G53" s="13">
        <v>9780.5229999999992</v>
      </c>
      <c r="H53" s="13">
        <v>9745.0139999999992</v>
      </c>
      <c r="I53" s="13">
        <v>9344.6569999999992</v>
      </c>
      <c r="J53" s="13">
        <v>9907.0750000000007</v>
      </c>
      <c r="K53" s="13">
        <v>18495.296999999999</v>
      </c>
      <c r="L53" s="13">
        <v>17508.150000000001</v>
      </c>
      <c r="M53" s="13">
        <v>15373.142</v>
      </c>
      <c r="N53" s="13">
        <v>23205.584999999999</v>
      </c>
      <c r="O53" s="13">
        <v>18884.133000000002</v>
      </c>
    </row>
    <row r="54" spans="1:15" x14ac:dyDescent="0.25">
      <c r="A54" s="10" t="s">
        <v>810</v>
      </c>
      <c r="B54" s="10" t="s">
        <v>811</v>
      </c>
      <c r="C54" s="13" t="s">
        <v>198</v>
      </c>
      <c r="D54" s="13" t="s">
        <v>198</v>
      </c>
      <c r="E54" s="13">
        <v>0</v>
      </c>
      <c r="F54" s="13" t="s">
        <v>198</v>
      </c>
      <c r="G54" s="13">
        <v>118.64400000000001</v>
      </c>
      <c r="H54" s="13" t="s">
        <v>198</v>
      </c>
      <c r="I54" s="13" t="s">
        <v>198</v>
      </c>
      <c r="J54" s="13">
        <v>634.81500000000005</v>
      </c>
      <c r="K54" s="13">
        <v>833.16600000000005</v>
      </c>
      <c r="L54" s="13" t="s">
        <v>198</v>
      </c>
      <c r="M54" s="13">
        <v>8751.0529999999999</v>
      </c>
      <c r="N54" s="13">
        <v>414.60500000000002</v>
      </c>
      <c r="O54" s="13" t="s">
        <v>198</v>
      </c>
    </row>
    <row r="55" spans="1:15" x14ac:dyDescent="0.25">
      <c r="A55" s="10" t="s">
        <v>812</v>
      </c>
      <c r="B55" s="10" t="s">
        <v>813</v>
      </c>
      <c r="C55" s="13">
        <v>1200.2760000000001</v>
      </c>
      <c r="D55" s="13">
        <v>1318.069</v>
      </c>
      <c r="E55" s="13">
        <v>2356.7170000000001</v>
      </c>
      <c r="F55" s="13">
        <v>2759.2359999999999</v>
      </c>
      <c r="G55" s="13">
        <v>2820.41</v>
      </c>
      <c r="H55" s="13">
        <v>3567.75</v>
      </c>
      <c r="I55" s="13">
        <v>4089.09</v>
      </c>
      <c r="J55" s="13">
        <v>5743.1869999999999</v>
      </c>
      <c r="K55" s="13">
        <v>3770.0819999999999</v>
      </c>
      <c r="L55" s="13">
        <v>3576.0259999999998</v>
      </c>
      <c r="M55" s="13">
        <v>3169.8629999999998</v>
      </c>
      <c r="N55" s="13">
        <v>4067.9340000000002</v>
      </c>
      <c r="O55" s="13">
        <v>2400.5419999999999</v>
      </c>
    </row>
    <row r="56" spans="1:15" x14ac:dyDescent="0.25">
      <c r="A56" s="10" t="s">
        <v>814</v>
      </c>
      <c r="B56" s="10" t="s">
        <v>815</v>
      </c>
      <c r="C56" s="13">
        <v>73.734999999999999</v>
      </c>
      <c r="D56" s="13">
        <v>82.991</v>
      </c>
      <c r="E56" s="13">
        <v>97.024000000000001</v>
      </c>
      <c r="F56" s="13">
        <v>212.822</v>
      </c>
      <c r="G56" s="13">
        <v>124.751</v>
      </c>
      <c r="H56" s="13">
        <v>435.161</v>
      </c>
      <c r="I56" s="13">
        <v>308.74700000000001</v>
      </c>
      <c r="J56" s="13" t="s">
        <v>198</v>
      </c>
      <c r="K56" s="13" t="s">
        <v>198</v>
      </c>
      <c r="L56" s="13">
        <v>446.685</v>
      </c>
      <c r="M56" s="13">
        <v>0</v>
      </c>
      <c r="N56" s="13">
        <v>0</v>
      </c>
      <c r="O56" s="13">
        <v>662.71400000000006</v>
      </c>
    </row>
    <row r="57" spans="1:15" x14ac:dyDescent="0.25">
      <c r="A57" s="6" t="s">
        <v>87</v>
      </c>
      <c r="B57" s="6" t="s">
        <v>816</v>
      </c>
      <c r="C57" s="19">
        <v>6360.8029999999999</v>
      </c>
      <c r="D57" s="19">
        <v>6732.473</v>
      </c>
      <c r="E57" s="19">
        <v>14989.638000000001</v>
      </c>
      <c r="F57" s="19">
        <v>17635.516</v>
      </c>
      <c r="G57" s="19">
        <v>17947.346000000001</v>
      </c>
      <c r="H57" s="19">
        <v>18839.578000000001</v>
      </c>
      <c r="I57" s="19">
        <v>22132.731</v>
      </c>
      <c r="J57" s="19">
        <v>26836.598000000002</v>
      </c>
      <c r="K57" s="19">
        <v>37096.245999999999</v>
      </c>
      <c r="L57" s="19">
        <v>39442.936000000002</v>
      </c>
      <c r="M57" s="19">
        <v>41585.629999999997</v>
      </c>
      <c r="N57" s="19">
        <v>45575.623</v>
      </c>
      <c r="O57" s="19">
        <v>35810.351000000002</v>
      </c>
    </row>
    <row r="58" spans="1:15" x14ac:dyDescent="0.25">
      <c r="A58" s="10" t="s">
        <v>817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</row>
    <row r="59" spans="1:15" x14ac:dyDescent="0.25">
      <c r="A59" s="10" t="s">
        <v>818</v>
      </c>
      <c r="B59" s="10" t="s">
        <v>819</v>
      </c>
      <c r="C59" s="13">
        <v>25.946999999999999</v>
      </c>
      <c r="D59" s="13">
        <v>28.533999999999999</v>
      </c>
      <c r="E59" s="13">
        <v>0</v>
      </c>
      <c r="F59" s="13">
        <v>29.966000000000001</v>
      </c>
      <c r="G59" s="13">
        <v>54.078000000000003</v>
      </c>
      <c r="H59" s="13">
        <v>66.789000000000001</v>
      </c>
      <c r="I59" s="13">
        <v>72.62</v>
      </c>
      <c r="J59" s="13">
        <v>78.644000000000005</v>
      </c>
      <c r="K59" s="13">
        <v>92.775000000000006</v>
      </c>
      <c r="L59" s="13">
        <v>117.44199999999999</v>
      </c>
      <c r="M59" s="13">
        <v>135.42599999999999</v>
      </c>
      <c r="N59" s="13">
        <v>72.031000000000006</v>
      </c>
      <c r="O59" s="13">
        <v>69.44</v>
      </c>
    </row>
    <row r="60" spans="1:15" x14ac:dyDescent="0.25">
      <c r="A60" s="10" t="s">
        <v>820</v>
      </c>
      <c r="B60" s="10" t="s">
        <v>821</v>
      </c>
      <c r="C60" s="13" t="s">
        <v>198</v>
      </c>
      <c r="D60" s="13" t="s">
        <v>198</v>
      </c>
      <c r="E60" s="13" t="s">
        <v>198</v>
      </c>
      <c r="F60" s="13">
        <v>6353.26</v>
      </c>
      <c r="G60" s="13" t="s">
        <v>198</v>
      </c>
      <c r="H60" s="13">
        <v>11622.553</v>
      </c>
      <c r="I60" s="13">
        <v>11514.467000000001</v>
      </c>
      <c r="J60" s="13">
        <v>11283.642</v>
      </c>
      <c r="K60" s="13">
        <v>11283.642</v>
      </c>
      <c r="L60" s="13">
        <v>11283.642</v>
      </c>
      <c r="M60" s="13">
        <v>11283.642</v>
      </c>
      <c r="N60" s="13">
        <v>11283.642</v>
      </c>
      <c r="O60" s="13">
        <v>11283.642</v>
      </c>
    </row>
    <row r="61" spans="1:15" x14ac:dyDescent="0.25">
      <c r="A61" s="10" t="s">
        <v>822</v>
      </c>
      <c r="B61" s="10" t="s">
        <v>823</v>
      </c>
      <c r="C61" s="13" t="s">
        <v>198</v>
      </c>
      <c r="D61" s="13" t="s">
        <v>198</v>
      </c>
      <c r="E61" s="13" t="s">
        <v>198</v>
      </c>
      <c r="F61" s="13">
        <v>3698.4059999999999</v>
      </c>
      <c r="G61" s="13" t="s">
        <v>198</v>
      </c>
      <c r="H61" s="13">
        <v>16426.405999999999</v>
      </c>
      <c r="I61" s="13">
        <v>15364.892</v>
      </c>
      <c r="J61" s="13">
        <v>14486.57</v>
      </c>
      <c r="K61" s="13">
        <v>14486.57</v>
      </c>
      <c r="L61" s="13">
        <v>14486.569</v>
      </c>
      <c r="M61" s="13">
        <v>14486.57</v>
      </c>
      <c r="N61" s="13">
        <v>14486.57</v>
      </c>
      <c r="O61" s="13">
        <v>14486.569</v>
      </c>
    </row>
    <row r="62" spans="1:15" x14ac:dyDescent="0.25">
      <c r="A62" s="10" t="s">
        <v>824</v>
      </c>
      <c r="B62" s="10" t="s">
        <v>825</v>
      </c>
      <c r="C62" s="13">
        <v>0</v>
      </c>
      <c r="D62" s="13" t="s">
        <v>198</v>
      </c>
      <c r="E62" s="13" t="s">
        <v>198</v>
      </c>
      <c r="F62" s="13">
        <v>0</v>
      </c>
      <c r="G62" s="13" t="s">
        <v>198</v>
      </c>
      <c r="H62" s="13">
        <v>0</v>
      </c>
      <c r="I62" s="13">
        <v>0</v>
      </c>
      <c r="J62" s="13" t="s">
        <v>198</v>
      </c>
      <c r="K62" s="13">
        <v>0</v>
      </c>
      <c r="L62" s="13" t="s">
        <v>198</v>
      </c>
      <c r="M62" s="13" t="s">
        <v>198</v>
      </c>
      <c r="N62" s="13" t="s">
        <v>198</v>
      </c>
      <c r="O62" s="13" t="s">
        <v>198</v>
      </c>
    </row>
    <row r="63" spans="1:15" x14ac:dyDescent="0.25">
      <c r="A63" s="10" t="s">
        <v>826</v>
      </c>
      <c r="B63" s="10" t="s">
        <v>827</v>
      </c>
      <c r="C63" s="13">
        <v>2903.6590000000001</v>
      </c>
      <c r="D63" s="13">
        <v>5178.3320000000003</v>
      </c>
      <c r="E63" s="13">
        <v>9045.7780000000002</v>
      </c>
      <c r="F63" s="13">
        <v>12118.200999999999</v>
      </c>
      <c r="G63" s="13">
        <v>12745.476000000001</v>
      </c>
      <c r="H63" s="13">
        <v>14587.615</v>
      </c>
      <c r="I63" s="13">
        <v>17638.507000000001</v>
      </c>
      <c r="J63" s="13">
        <v>18615.652999999998</v>
      </c>
      <c r="K63" s="13">
        <v>22089.777999999998</v>
      </c>
      <c r="L63" s="13">
        <v>30855.445</v>
      </c>
      <c r="M63" s="13">
        <v>29500.227999999999</v>
      </c>
      <c r="N63" s="13">
        <v>32029.856</v>
      </c>
      <c r="O63" s="13">
        <v>43086.894999999997</v>
      </c>
    </row>
    <row r="64" spans="1:15" x14ac:dyDescent="0.25">
      <c r="A64" s="10" t="s">
        <v>828</v>
      </c>
      <c r="B64" s="10" t="s">
        <v>829</v>
      </c>
      <c r="C64" s="13">
        <v>975.79600000000005</v>
      </c>
      <c r="D64" s="13">
        <v>1845.25</v>
      </c>
      <c r="E64" s="13">
        <v>3554.0030000000002</v>
      </c>
      <c r="F64" s="13">
        <v>5852.598</v>
      </c>
      <c r="G64" s="13">
        <v>6136.7969999999996</v>
      </c>
      <c r="H64" s="13">
        <v>5168.4480000000003</v>
      </c>
      <c r="I64" s="13">
        <v>4001.7170000000001</v>
      </c>
      <c r="J64" s="13">
        <v>5977.6679999999997</v>
      </c>
      <c r="K64" s="13">
        <v>6187.6639999999998</v>
      </c>
      <c r="L64" s="13">
        <v>1680.1110000000001</v>
      </c>
      <c r="M64" s="13">
        <v>-2069.4459999999999</v>
      </c>
      <c r="N64" s="13">
        <v>4619.9750000000004</v>
      </c>
      <c r="O64" s="13" t="s">
        <v>198</v>
      </c>
    </row>
    <row r="65" spans="1:15" x14ac:dyDescent="0.25">
      <c r="A65" s="10" t="s">
        <v>830</v>
      </c>
      <c r="B65" s="10" t="s">
        <v>831</v>
      </c>
      <c r="C65" s="13">
        <v>14844.589</v>
      </c>
      <c r="D65" s="13">
        <v>17991.303</v>
      </c>
      <c r="E65" s="13">
        <v>23646.861000000001</v>
      </c>
      <c r="F65" s="13">
        <v>28052.431</v>
      </c>
      <c r="G65" s="13">
        <v>46985.31</v>
      </c>
      <c r="H65" s="13">
        <v>47871.811000000002</v>
      </c>
      <c r="I65" s="13">
        <v>48592.203000000001</v>
      </c>
      <c r="J65" s="13">
        <v>54745.07</v>
      </c>
      <c r="K65" s="13">
        <v>58443.322</v>
      </c>
      <c r="L65" s="13">
        <v>58423.209000000003</v>
      </c>
      <c r="M65" s="13">
        <v>57639.313000000002</v>
      </c>
      <c r="N65" s="13">
        <v>66794.967000000004</v>
      </c>
      <c r="O65" s="13">
        <v>70293.373000000007</v>
      </c>
    </row>
    <row r="66" spans="1:15" x14ac:dyDescent="0.25">
      <c r="A66" s="10" t="s">
        <v>832</v>
      </c>
      <c r="B66" s="10" t="s">
        <v>833</v>
      </c>
      <c r="C66" s="13" t="s">
        <v>198</v>
      </c>
      <c r="D66" s="13" t="s">
        <v>198</v>
      </c>
      <c r="E66" s="13" t="s">
        <v>198</v>
      </c>
      <c r="F66" s="13" t="s">
        <v>198</v>
      </c>
      <c r="G66" s="13" t="s">
        <v>198</v>
      </c>
      <c r="H66" s="13" t="s">
        <v>198</v>
      </c>
      <c r="I66" s="13" t="s">
        <v>198</v>
      </c>
      <c r="J66" s="13">
        <v>4302.893</v>
      </c>
      <c r="K66" s="13">
        <v>4302.893</v>
      </c>
      <c r="L66" s="13" t="s">
        <v>198</v>
      </c>
      <c r="M66" s="13">
        <v>4302.893</v>
      </c>
      <c r="N66" s="13">
        <v>4302.893</v>
      </c>
      <c r="O66" s="13">
        <v>1366.827</v>
      </c>
    </row>
    <row r="67" spans="1:15" x14ac:dyDescent="0.25">
      <c r="A67" s="10" t="s">
        <v>834</v>
      </c>
      <c r="B67" s="10" t="s">
        <v>835</v>
      </c>
      <c r="C67" s="13">
        <v>14818.642</v>
      </c>
      <c r="D67" s="13">
        <v>17962.769</v>
      </c>
      <c r="E67" s="13">
        <v>23646.861000000001</v>
      </c>
      <c r="F67" s="13">
        <v>28022.465</v>
      </c>
      <c r="G67" s="13">
        <v>46931.232000000004</v>
      </c>
      <c r="H67" s="13">
        <v>47805.021999999997</v>
      </c>
      <c r="I67" s="13">
        <v>48519.582999999999</v>
      </c>
      <c r="J67" s="13">
        <v>54666.425999999999</v>
      </c>
      <c r="K67" s="13">
        <v>58350.546999999999</v>
      </c>
      <c r="L67" s="13">
        <v>58305.767</v>
      </c>
      <c r="M67" s="13">
        <v>57503.887000000002</v>
      </c>
      <c r="N67" s="13">
        <v>66722.936000000002</v>
      </c>
      <c r="O67" s="13">
        <v>70223.933000000005</v>
      </c>
    </row>
    <row r="68" spans="1:15" x14ac:dyDescent="0.25">
      <c r="A68" s="10" t="s">
        <v>836</v>
      </c>
      <c r="B68" s="10" t="s">
        <v>837</v>
      </c>
      <c r="C68" s="13" t="s">
        <v>198</v>
      </c>
      <c r="D68" s="13" t="s">
        <v>198</v>
      </c>
      <c r="E68" s="13" t="s">
        <v>198</v>
      </c>
      <c r="F68" s="13" t="s">
        <v>198</v>
      </c>
      <c r="G68" s="13">
        <v>28048.958999999999</v>
      </c>
      <c r="H68" s="13" t="s">
        <v>198</v>
      </c>
      <c r="I68" s="13" t="s">
        <v>198</v>
      </c>
      <c r="J68" s="13" t="s">
        <v>198</v>
      </c>
      <c r="K68" s="13" t="s">
        <v>198</v>
      </c>
      <c r="L68" s="13" t="s">
        <v>198</v>
      </c>
      <c r="M68" s="13" t="s">
        <v>198</v>
      </c>
      <c r="N68" s="13" t="s">
        <v>198</v>
      </c>
      <c r="O68" s="13" t="s">
        <v>198</v>
      </c>
    </row>
    <row r="69" spans="1:15" x14ac:dyDescent="0.25">
      <c r="A69" s="10" t="s">
        <v>838</v>
      </c>
      <c r="B69" s="10" t="s">
        <v>839</v>
      </c>
      <c r="C69" s="13">
        <v>10939.187</v>
      </c>
      <c r="D69" s="13">
        <v>10939.187</v>
      </c>
      <c r="E69" s="13">
        <v>11047.08</v>
      </c>
      <c r="F69" s="13" t="s">
        <v>198</v>
      </c>
      <c r="G69" s="13" t="s">
        <v>198</v>
      </c>
      <c r="H69" s="13" t="s">
        <v>198</v>
      </c>
      <c r="I69" s="13" t="s">
        <v>198</v>
      </c>
      <c r="J69" s="13" t="s">
        <v>198</v>
      </c>
      <c r="K69" s="13" t="s">
        <v>198</v>
      </c>
      <c r="L69" s="13" t="s">
        <v>198</v>
      </c>
      <c r="M69" s="13" t="s">
        <v>198</v>
      </c>
      <c r="N69" s="13" t="s">
        <v>198</v>
      </c>
      <c r="O69" s="13" t="s">
        <v>198</v>
      </c>
    </row>
    <row r="70" spans="1:15" x14ac:dyDescent="0.25">
      <c r="A70" s="6" t="s">
        <v>840</v>
      </c>
      <c r="B70" s="6" t="s">
        <v>841</v>
      </c>
      <c r="C70" s="19">
        <v>21205.392</v>
      </c>
      <c r="D70" s="19">
        <v>24723.776000000002</v>
      </c>
      <c r="E70" s="19">
        <v>38636.499000000003</v>
      </c>
      <c r="F70" s="19">
        <v>45687.947</v>
      </c>
      <c r="G70" s="19">
        <v>64932.656000000003</v>
      </c>
      <c r="H70" s="19">
        <v>66711.388999999996</v>
      </c>
      <c r="I70" s="19">
        <v>70724.933999999994</v>
      </c>
      <c r="J70" s="19">
        <v>81581.668000000005</v>
      </c>
      <c r="K70" s="19">
        <v>95539.567999999999</v>
      </c>
      <c r="L70" s="19">
        <v>97866.145000000004</v>
      </c>
      <c r="M70" s="19">
        <v>99224.942999999999</v>
      </c>
      <c r="N70" s="19">
        <v>112370.59</v>
      </c>
      <c r="O70" s="19">
        <v>106103.724</v>
      </c>
    </row>
    <row r="71" spans="1:15" x14ac:dyDescent="0.25">
      <c r="A71" s="10" t="s">
        <v>406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</row>
    <row r="72" spans="1:15" x14ac:dyDescent="0.25">
      <c r="A72" s="10" t="s">
        <v>80</v>
      </c>
      <c r="B72" s="10" t="s">
        <v>842</v>
      </c>
      <c r="C72" s="13" t="s">
        <v>198</v>
      </c>
      <c r="D72" s="13" t="s">
        <v>198</v>
      </c>
      <c r="E72" s="13" t="s">
        <v>198</v>
      </c>
      <c r="F72" s="13" t="s">
        <v>198</v>
      </c>
      <c r="G72" s="13" t="s">
        <v>198</v>
      </c>
      <c r="H72" s="13" t="s">
        <v>198</v>
      </c>
      <c r="I72" s="13" t="s">
        <v>198</v>
      </c>
      <c r="J72" s="13" t="s">
        <v>198</v>
      </c>
      <c r="K72" s="13" t="s">
        <v>198</v>
      </c>
      <c r="L72" s="13">
        <v>4520.8389999999999</v>
      </c>
      <c r="M72" s="13">
        <v>6366.67</v>
      </c>
      <c r="N72" s="13">
        <v>10684.509</v>
      </c>
      <c r="O72" s="13">
        <v>11112.87</v>
      </c>
    </row>
    <row r="73" spans="1:15" x14ac:dyDescent="0.25">
      <c r="A73" s="10" t="s">
        <v>727</v>
      </c>
      <c r="B73" s="10" t="s">
        <v>843</v>
      </c>
      <c r="C73" s="13">
        <v>3395.1869999999999</v>
      </c>
      <c r="D73" s="13">
        <v>4423.9260000000004</v>
      </c>
      <c r="E73" s="13">
        <v>5385.2950000000001</v>
      </c>
      <c r="F73" s="13">
        <v>6593.9669999999996</v>
      </c>
      <c r="G73" s="13">
        <v>7480.942</v>
      </c>
      <c r="H73" s="13">
        <v>8633.2909999999993</v>
      </c>
      <c r="I73" s="13">
        <v>9398.2330000000002</v>
      </c>
      <c r="J73" s="13">
        <v>9213.7150000000001</v>
      </c>
      <c r="K73" s="13">
        <v>10284.156000000001</v>
      </c>
      <c r="L73" s="13">
        <v>11811.647999999999</v>
      </c>
      <c r="M73" s="13">
        <v>11229.045</v>
      </c>
      <c r="N73" s="13">
        <v>12037.674000000001</v>
      </c>
      <c r="O73" s="13">
        <v>11676.826999999999</v>
      </c>
    </row>
    <row r="74" spans="1:15" x14ac:dyDescent="0.25">
      <c r="A74" s="10" t="s">
        <v>729</v>
      </c>
      <c r="B74" s="10" t="s">
        <v>844</v>
      </c>
      <c r="C74" s="13">
        <v>3237.3519999999999</v>
      </c>
      <c r="D74" s="13">
        <v>3866.7469999999998</v>
      </c>
      <c r="E74" s="13">
        <v>4352.1189999999997</v>
      </c>
      <c r="F74" s="13">
        <v>5942.6390000000001</v>
      </c>
      <c r="G74" s="13">
        <v>7418.9939999999997</v>
      </c>
      <c r="H74" s="13">
        <v>8162.3490000000002</v>
      </c>
      <c r="I74" s="13">
        <v>9438.0920000000006</v>
      </c>
      <c r="J74" s="13">
        <v>11193.822</v>
      </c>
      <c r="K74" s="13">
        <v>12093.628000000001</v>
      </c>
      <c r="L74" s="13">
        <v>18258.022000000001</v>
      </c>
      <c r="M74" s="13">
        <v>16236.626</v>
      </c>
      <c r="N74" s="13">
        <v>13340.630999999999</v>
      </c>
      <c r="O74" s="13">
        <v>12153.626</v>
      </c>
    </row>
    <row r="75" spans="1:15" x14ac:dyDescent="0.25">
      <c r="A75" s="10" t="s">
        <v>845</v>
      </c>
      <c r="B75" s="10" t="s">
        <v>846</v>
      </c>
      <c r="C75" s="13" t="s">
        <v>198</v>
      </c>
      <c r="D75" s="13" t="s">
        <v>198</v>
      </c>
      <c r="E75" s="13">
        <v>0</v>
      </c>
      <c r="F75" s="13">
        <v>0</v>
      </c>
      <c r="G75" s="13">
        <v>679.09799999999996</v>
      </c>
      <c r="H75" s="13">
        <v>804.56200000000001</v>
      </c>
      <c r="I75" s="13">
        <v>850.90200000000004</v>
      </c>
      <c r="J75" s="13" t="s">
        <v>198</v>
      </c>
      <c r="K75" s="13" t="s">
        <v>198</v>
      </c>
      <c r="L75" s="13">
        <v>1240.5219999999999</v>
      </c>
      <c r="M75" s="13" t="s">
        <v>198</v>
      </c>
      <c r="N75" s="13" t="s">
        <v>198</v>
      </c>
      <c r="O75" s="13">
        <v>1336.0119999999999</v>
      </c>
    </row>
    <row r="76" spans="1:15" x14ac:dyDescent="0.25">
      <c r="A76" s="10" t="s">
        <v>847</v>
      </c>
      <c r="B76" s="10" t="s">
        <v>848</v>
      </c>
      <c r="C76" s="13">
        <v>1.3540000000000001</v>
      </c>
      <c r="D76" s="13">
        <v>0.67600000000000005</v>
      </c>
      <c r="E76" s="13">
        <v>0</v>
      </c>
      <c r="F76" s="13" t="s">
        <v>198</v>
      </c>
      <c r="G76" s="13" t="s">
        <v>198</v>
      </c>
      <c r="H76" s="13" t="s">
        <v>198</v>
      </c>
      <c r="I76" s="13" t="s">
        <v>198</v>
      </c>
      <c r="J76" s="13" t="s">
        <v>198</v>
      </c>
      <c r="K76" s="13" t="s">
        <v>198</v>
      </c>
      <c r="L76" s="13" t="s">
        <v>198</v>
      </c>
      <c r="M76" s="13" t="s">
        <v>198</v>
      </c>
      <c r="N76" s="13" t="s">
        <v>198</v>
      </c>
      <c r="O76" s="13" t="s">
        <v>198</v>
      </c>
    </row>
    <row r="77" spans="1:15" x14ac:dyDescent="0.25">
      <c r="A77" s="10" t="s">
        <v>735</v>
      </c>
      <c r="B77" s="10" t="s">
        <v>849</v>
      </c>
      <c r="C77" s="13" t="s">
        <v>198</v>
      </c>
      <c r="D77" s="13" t="s">
        <v>198</v>
      </c>
      <c r="E77" s="13" t="s">
        <v>198</v>
      </c>
      <c r="F77" s="13">
        <v>683.56399999999996</v>
      </c>
      <c r="G77" s="13">
        <v>1022.6180000000001</v>
      </c>
      <c r="H77" s="13">
        <v>1600.364</v>
      </c>
      <c r="I77" s="13">
        <v>1419.3230000000001</v>
      </c>
      <c r="J77" s="13" t="s">
        <v>198</v>
      </c>
      <c r="K77" s="13" t="s">
        <v>198</v>
      </c>
      <c r="L77" s="13" t="s">
        <v>198</v>
      </c>
      <c r="M77" s="13" t="s">
        <v>198</v>
      </c>
      <c r="N77" s="13" t="s">
        <v>198</v>
      </c>
      <c r="O77" s="13" t="s">
        <v>198</v>
      </c>
    </row>
    <row r="78" spans="1:15" x14ac:dyDescent="0.25">
      <c r="A78" s="10" t="s">
        <v>850</v>
      </c>
      <c r="B78" s="10" t="s">
        <v>851</v>
      </c>
      <c r="C78" s="13">
        <v>70.709999999999994</v>
      </c>
      <c r="D78" s="13">
        <v>243.501</v>
      </c>
      <c r="E78" s="13">
        <v>286.38499999999999</v>
      </c>
      <c r="F78" s="13">
        <v>350.41800000000001</v>
      </c>
      <c r="G78" s="13">
        <v>556.27700000000004</v>
      </c>
      <c r="H78" s="13">
        <v>646.73500000000001</v>
      </c>
      <c r="I78" s="13">
        <v>647.34400000000005</v>
      </c>
      <c r="J78" s="13">
        <v>1220.662</v>
      </c>
      <c r="K78" s="13">
        <v>1219.93</v>
      </c>
      <c r="L78" s="13" t="s">
        <v>198</v>
      </c>
      <c r="M78" s="13">
        <v>1498.79</v>
      </c>
      <c r="N78" s="13">
        <v>1559.489</v>
      </c>
      <c r="O78" s="13" t="s">
        <v>198</v>
      </c>
    </row>
    <row r="79" spans="1:15" x14ac:dyDescent="0.25">
      <c r="A79" s="10" t="s">
        <v>852</v>
      </c>
      <c r="B79" s="10" t="s">
        <v>853</v>
      </c>
      <c r="C79" s="13">
        <v>260.83800000000002</v>
      </c>
      <c r="D79" s="13">
        <v>405.90899999999999</v>
      </c>
      <c r="E79" s="13">
        <v>1002.593</v>
      </c>
      <c r="F79" s="13">
        <v>1260.057</v>
      </c>
      <c r="G79" s="13">
        <v>1303.633</v>
      </c>
      <c r="H79" s="13">
        <v>1355.47</v>
      </c>
      <c r="I79" s="13">
        <v>1386.2470000000001</v>
      </c>
      <c r="J79" s="13">
        <v>1852.482</v>
      </c>
      <c r="K79" s="13">
        <v>1889.2070000000001</v>
      </c>
      <c r="L79" s="13" t="s">
        <v>198</v>
      </c>
      <c r="M79" s="13">
        <v>2440.721</v>
      </c>
      <c r="N79" s="13">
        <v>4383.0469999999996</v>
      </c>
      <c r="O79" s="13" t="s">
        <v>198</v>
      </c>
    </row>
    <row r="80" spans="1:15" x14ac:dyDescent="0.25">
      <c r="A80" s="10" t="s">
        <v>854</v>
      </c>
      <c r="B80" s="10" t="s">
        <v>855</v>
      </c>
      <c r="C80" s="13">
        <v>116.321</v>
      </c>
      <c r="D80" s="13">
        <v>119.477</v>
      </c>
      <c r="E80" s="13">
        <v>144.464</v>
      </c>
      <c r="F80" s="13">
        <v>273.24099999999999</v>
      </c>
      <c r="G80" s="13">
        <v>302.19200000000001</v>
      </c>
      <c r="H80" s="13">
        <v>309.78199999999998</v>
      </c>
      <c r="I80" s="13">
        <v>356.27800000000002</v>
      </c>
      <c r="J80" s="13">
        <v>430.637</v>
      </c>
      <c r="K80" s="13">
        <v>1153.095</v>
      </c>
      <c r="L80" s="13" t="s">
        <v>198</v>
      </c>
      <c r="M80" s="13">
        <v>976.41800000000001</v>
      </c>
      <c r="N80" s="13">
        <v>1178.325</v>
      </c>
      <c r="O80" s="13" t="s">
        <v>198</v>
      </c>
    </row>
    <row r="81" spans="1:15" x14ac:dyDescent="0.25">
      <c r="A81" s="10" t="s">
        <v>856</v>
      </c>
      <c r="B81" s="10" t="s">
        <v>857</v>
      </c>
      <c r="C81" s="13">
        <v>405.16300000000001</v>
      </c>
      <c r="D81" s="13">
        <v>308.86500000000001</v>
      </c>
      <c r="E81" s="13">
        <v>277.63299999999998</v>
      </c>
      <c r="F81" s="13">
        <v>162.41200000000001</v>
      </c>
      <c r="G81" s="13">
        <v>485.74099999999999</v>
      </c>
      <c r="H81" s="13">
        <v>488.21499999999997</v>
      </c>
      <c r="I81" s="13">
        <v>1670.287</v>
      </c>
      <c r="J81" s="13">
        <v>3553.17</v>
      </c>
      <c r="K81" s="13">
        <v>4344.9080000000004</v>
      </c>
      <c r="L81" s="13" t="s">
        <v>198</v>
      </c>
      <c r="M81" s="13">
        <v>6694.482</v>
      </c>
      <c r="N81" s="13">
        <v>4232.9719999999998</v>
      </c>
      <c r="O81" s="13" t="s">
        <v>198</v>
      </c>
    </row>
    <row r="82" spans="1:15" x14ac:dyDescent="0.25">
      <c r="A82" s="10" t="s">
        <v>858</v>
      </c>
      <c r="B82" s="10" t="s">
        <v>859</v>
      </c>
      <c r="C82" s="13">
        <v>2013.9839999999999</v>
      </c>
      <c r="D82" s="13">
        <v>2643.6840000000002</v>
      </c>
      <c r="E82" s="13">
        <v>3839.3670000000002</v>
      </c>
      <c r="F82" s="13">
        <v>4564.4210000000003</v>
      </c>
      <c r="G82" s="13">
        <v>4944.4489999999996</v>
      </c>
      <c r="H82" s="13">
        <v>5307.7539999999999</v>
      </c>
      <c r="I82" s="13">
        <v>5802.7150000000001</v>
      </c>
      <c r="J82" s="13">
        <v>6486.11</v>
      </c>
      <c r="K82" s="13">
        <v>7142.9769999999999</v>
      </c>
      <c r="L82" s="13" t="s">
        <v>198</v>
      </c>
      <c r="M82" s="13">
        <v>8834.9590000000007</v>
      </c>
      <c r="N82" s="13">
        <v>12307.835999999999</v>
      </c>
      <c r="O82" s="13" t="s">
        <v>198</v>
      </c>
    </row>
    <row r="83" spans="1:15" x14ac:dyDescent="0.25">
      <c r="A83" s="10" t="s">
        <v>860</v>
      </c>
      <c r="B83" s="10" t="s">
        <v>861</v>
      </c>
      <c r="C83" s="13" t="s">
        <v>198</v>
      </c>
      <c r="D83" s="13" t="s">
        <v>198</v>
      </c>
      <c r="E83" s="13" t="s">
        <v>198</v>
      </c>
      <c r="F83" s="13" t="s">
        <v>198</v>
      </c>
      <c r="G83" s="13" t="s">
        <v>198</v>
      </c>
      <c r="H83" s="13" t="s">
        <v>198</v>
      </c>
      <c r="I83" s="13" t="s">
        <v>198</v>
      </c>
      <c r="J83" s="13">
        <v>13904.46</v>
      </c>
      <c r="K83" s="13">
        <v>16123.129000000001</v>
      </c>
      <c r="L83" s="13" t="s">
        <v>198</v>
      </c>
      <c r="M83" s="13">
        <v>20935.553</v>
      </c>
      <c r="N83" s="13">
        <v>24199.063999999998</v>
      </c>
      <c r="O83" s="13" t="s">
        <v>198</v>
      </c>
    </row>
    <row r="84" spans="1:15" x14ac:dyDescent="0.25">
      <c r="A84" s="10" t="s">
        <v>862</v>
      </c>
      <c r="B84" s="10" t="s">
        <v>863</v>
      </c>
      <c r="C84" s="13">
        <v>1294.29</v>
      </c>
      <c r="D84" s="13">
        <v>1543.8820000000001</v>
      </c>
      <c r="E84" s="13">
        <v>1761.164</v>
      </c>
      <c r="F84" s="13">
        <v>2205.3000000000002</v>
      </c>
      <c r="G84" s="13">
        <v>2573.8679999999999</v>
      </c>
      <c r="H84" s="13">
        <v>2882.049</v>
      </c>
      <c r="I84" s="13">
        <v>3250.8110000000001</v>
      </c>
      <c r="J84" s="13">
        <v>3734.9720000000002</v>
      </c>
      <c r="K84" s="13">
        <v>4268.1620000000003</v>
      </c>
      <c r="L84" s="13" t="s">
        <v>198</v>
      </c>
      <c r="M84" s="13">
        <v>5192.2910000000002</v>
      </c>
      <c r="N84" s="13">
        <v>6365.3519999999999</v>
      </c>
      <c r="O84" s="13" t="s">
        <v>198</v>
      </c>
    </row>
    <row r="85" spans="1:15" x14ac:dyDescent="0.25">
      <c r="A85" s="10" t="s">
        <v>759</v>
      </c>
      <c r="B85" s="10" t="s">
        <v>864</v>
      </c>
      <c r="C85" s="13">
        <v>1729.454</v>
      </c>
      <c r="D85" s="13">
        <v>2342.4769999999999</v>
      </c>
      <c r="E85" s="13">
        <v>3996.7579999999998</v>
      </c>
      <c r="F85" s="13" t="s">
        <v>198</v>
      </c>
      <c r="G85" s="13">
        <v>5280.4790000000003</v>
      </c>
      <c r="H85" s="13">
        <v>5506.3050000000003</v>
      </c>
      <c r="I85" s="13">
        <v>6944.6769999999997</v>
      </c>
      <c r="J85" s="13">
        <v>10169.487999999999</v>
      </c>
      <c r="K85" s="13">
        <v>11854.967000000001</v>
      </c>
      <c r="L85" s="13">
        <v>14073.95</v>
      </c>
      <c r="M85" s="13">
        <v>15743.262000000001</v>
      </c>
      <c r="N85" s="13">
        <v>17833.712</v>
      </c>
      <c r="O85" s="13">
        <v>17609.537</v>
      </c>
    </row>
    <row r="86" spans="1:15" x14ac:dyDescent="0.25">
      <c r="A86" s="10" t="s">
        <v>763</v>
      </c>
      <c r="B86" s="10" t="s">
        <v>865</v>
      </c>
      <c r="C86" s="13" t="s">
        <v>198</v>
      </c>
      <c r="D86" s="13" t="s">
        <v>198</v>
      </c>
      <c r="E86" s="13" t="s">
        <v>198</v>
      </c>
      <c r="F86" s="13" t="s">
        <v>198</v>
      </c>
      <c r="G86" s="13" t="s">
        <v>198</v>
      </c>
      <c r="H86" s="13" t="s">
        <v>198</v>
      </c>
      <c r="I86" s="13" t="s">
        <v>198</v>
      </c>
      <c r="J86" s="13" t="s">
        <v>198</v>
      </c>
      <c r="K86" s="13" t="s">
        <v>198</v>
      </c>
      <c r="L86" s="13" t="s">
        <v>198</v>
      </c>
      <c r="M86" s="13" t="s">
        <v>198</v>
      </c>
      <c r="N86" s="13" t="s">
        <v>198</v>
      </c>
      <c r="O86" s="13">
        <v>24989.850999999999</v>
      </c>
    </row>
    <row r="87" spans="1:15" x14ac:dyDescent="0.25">
      <c r="A87" s="10" t="s">
        <v>765</v>
      </c>
      <c r="B87" s="10" t="s">
        <v>866</v>
      </c>
      <c r="C87" s="13" t="s">
        <v>198</v>
      </c>
      <c r="D87" s="13" t="s">
        <v>198</v>
      </c>
      <c r="E87" s="13" t="s">
        <v>198</v>
      </c>
      <c r="F87" s="13">
        <v>66.364000000000004</v>
      </c>
      <c r="G87" s="13">
        <v>90.007999999999996</v>
      </c>
      <c r="H87" s="13">
        <v>311.39699999999999</v>
      </c>
      <c r="I87" s="13">
        <v>267.13099999999997</v>
      </c>
      <c r="J87" s="13">
        <v>1567.796</v>
      </c>
      <c r="K87" s="13">
        <v>648.351</v>
      </c>
      <c r="L87" s="13">
        <v>577.92999999999995</v>
      </c>
      <c r="M87" s="13">
        <v>972.58699999999999</v>
      </c>
      <c r="N87" s="13">
        <v>1469.5119999999999</v>
      </c>
      <c r="O87" s="13">
        <v>1149.191</v>
      </c>
    </row>
    <row r="88" spans="1:15" x14ac:dyDescent="0.25">
      <c r="A88" s="10" t="s">
        <v>769</v>
      </c>
      <c r="B88" s="10" t="s">
        <v>867</v>
      </c>
      <c r="C88" s="13">
        <v>340.00200000000001</v>
      </c>
      <c r="D88" s="13">
        <v>382.68299999999999</v>
      </c>
      <c r="E88" s="13">
        <v>5505.6279999999997</v>
      </c>
      <c r="F88" s="13">
        <v>5992.3469999999998</v>
      </c>
      <c r="G88" s="13">
        <v>6274.1890000000003</v>
      </c>
      <c r="H88" s="13">
        <v>6353.7380000000003</v>
      </c>
      <c r="I88" s="13">
        <v>6253.0879999999997</v>
      </c>
      <c r="J88" s="13">
        <v>6891.07</v>
      </c>
      <c r="K88" s="13">
        <v>6991.77</v>
      </c>
      <c r="L88" s="13" t="s">
        <v>198</v>
      </c>
      <c r="M88" s="13">
        <v>5535.5749999999998</v>
      </c>
      <c r="N88" s="13">
        <v>6627.2169999999996</v>
      </c>
      <c r="O88" s="13">
        <v>6161.7449999999999</v>
      </c>
    </row>
    <row r="89" spans="1:15" x14ac:dyDescent="0.25">
      <c r="A89" s="10" t="s">
        <v>868</v>
      </c>
      <c r="B89" s="10" t="s">
        <v>869</v>
      </c>
      <c r="C89" s="13">
        <v>5860.4610000000002</v>
      </c>
      <c r="D89" s="13">
        <v>5934.2030000000004</v>
      </c>
      <c r="E89" s="13">
        <v>10399.187</v>
      </c>
      <c r="F89" s="13">
        <v>11737.284</v>
      </c>
      <c r="G89" s="13">
        <v>11340.33</v>
      </c>
      <c r="H89" s="13">
        <v>14513.1</v>
      </c>
      <c r="I89" s="13">
        <v>14003.843000000001</v>
      </c>
      <c r="J89" s="13">
        <v>15173.826999999999</v>
      </c>
      <c r="K89" s="13">
        <v>20347.420999999998</v>
      </c>
      <c r="L89" s="13" t="s">
        <v>198</v>
      </c>
      <c r="M89" s="13">
        <v>16692.151000000002</v>
      </c>
      <c r="N89" s="13">
        <v>20014.759999999998</v>
      </c>
      <c r="O89" s="13">
        <v>18244.866000000002</v>
      </c>
    </row>
    <row r="90" spans="1:15" x14ac:dyDescent="0.25">
      <c r="A90" s="10" t="s">
        <v>787</v>
      </c>
      <c r="B90" s="10" t="s">
        <v>870</v>
      </c>
      <c r="C90" s="13">
        <v>946.32799999999997</v>
      </c>
      <c r="D90" s="13">
        <v>958.029</v>
      </c>
      <c r="E90" s="13" t="s">
        <v>198</v>
      </c>
      <c r="F90" s="13">
        <v>2422.0859999999998</v>
      </c>
      <c r="G90" s="13">
        <v>2149.973</v>
      </c>
      <c r="H90" s="13">
        <v>2642.7809999999999</v>
      </c>
      <c r="I90" s="13">
        <v>2251.098</v>
      </c>
      <c r="J90" s="13">
        <v>3231.9870000000001</v>
      </c>
      <c r="K90" s="13">
        <v>4664.7359999999999</v>
      </c>
      <c r="L90" s="13">
        <v>8514.4490000000005</v>
      </c>
      <c r="M90" s="13">
        <v>4499.134</v>
      </c>
      <c r="N90" s="13">
        <v>5485.4960000000001</v>
      </c>
      <c r="O90" s="13">
        <v>5255.6109999999999</v>
      </c>
    </row>
    <row r="91" spans="1:15" x14ac:dyDescent="0.25">
      <c r="A91" s="10" t="s">
        <v>871</v>
      </c>
      <c r="B91" s="10" t="s">
        <v>872</v>
      </c>
      <c r="C91" s="13" t="s">
        <v>198</v>
      </c>
      <c r="D91" s="13" t="s">
        <v>198</v>
      </c>
      <c r="E91" s="13" t="s">
        <v>198</v>
      </c>
      <c r="F91" s="13" t="s">
        <v>198</v>
      </c>
      <c r="G91" s="13" t="s">
        <v>198</v>
      </c>
      <c r="H91" s="13" t="s">
        <v>198</v>
      </c>
      <c r="I91" s="13" t="s">
        <v>198</v>
      </c>
      <c r="J91" s="13" t="s">
        <v>198</v>
      </c>
      <c r="K91" s="13" t="s">
        <v>198</v>
      </c>
      <c r="L91" s="13" t="s">
        <v>198</v>
      </c>
      <c r="M91" s="13" t="s">
        <v>198</v>
      </c>
      <c r="N91" s="13" t="s">
        <v>198</v>
      </c>
      <c r="O91" s="13">
        <v>75.86</v>
      </c>
    </row>
    <row r="92" spans="1:15" x14ac:dyDescent="0.25">
      <c r="A92" s="10" t="s">
        <v>789</v>
      </c>
      <c r="B92" s="10" t="s">
        <v>873</v>
      </c>
      <c r="C92" s="13" t="s">
        <v>198</v>
      </c>
      <c r="D92" s="13" t="s">
        <v>198</v>
      </c>
      <c r="E92" s="13" t="s">
        <v>198</v>
      </c>
      <c r="F92" s="13" t="s">
        <v>198</v>
      </c>
      <c r="G92" s="13" t="s">
        <v>198</v>
      </c>
      <c r="H92" s="13" t="s">
        <v>198</v>
      </c>
      <c r="I92" s="13" t="s">
        <v>198</v>
      </c>
      <c r="J92" s="13" t="s">
        <v>198</v>
      </c>
      <c r="K92" s="13" t="s">
        <v>198</v>
      </c>
      <c r="L92" s="13" t="s">
        <v>198</v>
      </c>
      <c r="M92" s="13" t="s">
        <v>198</v>
      </c>
      <c r="N92" s="13">
        <v>3250.18</v>
      </c>
      <c r="O92" s="13">
        <v>99.224000000000004</v>
      </c>
    </row>
    <row r="93" spans="1:15" x14ac:dyDescent="0.25">
      <c r="A93" s="10" t="s">
        <v>808</v>
      </c>
      <c r="B93" s="10" t="s">
        <v>874</v>
      </c>
      <c r="C93" s="13" t="s">
        <v>198</v>
      </c>
      <c r="D93" s="13" t="s">
        <v>198</v>
      </c>
      <c r="E93" s="13" t="s">
        <v>198</v>
      </c>
      <c r="F93" s="13" t="s">
        <v>198</v>
      </c>
      <c r="G93" s="13" t="s">
        <v>198</v>
      </c>
      <c r="H93" s="13" t="s">
        <v>198</v>
      </c>
      <c r="I93" s="13" t="s">
        <v>198</v>
      </c>
      <c r="J93" s="13" t="s">
        <v>198</v>
      </c>
      <c r="K93" s="13" t="s">
        <v>198</v>
      </c>
      <c r="L93" s="13" t="s">
        <v>198</v>
      </c>
      <c r="M93" s="13">
        <v>15373.142</v>
      </c>
      <c r="N93" s="13">
        <v>23205.584999999999</v>
      </c>
      <c r="O93" s="13">
        <v>18884.133000000002</v>
      </c>
    </row>
    <row r="94" spans="1:15" x14ac:dyDescent="0.25">
      <c r="A94" s="10" t="s">
        <v>875</v>
      </c>
      <c r="B94" s="10" t="s">
        <v>876</v>
      </c>
      <c r="C94" s="13" t="s">
        <v>198</v>
      </c>
      <c r="D94" s="13" t="s">
        <v>198</v>
      </c>
      <c r="E94" s="13" t="s">
        <v>198</v>
      </c>
      <c r="F94" s="13">
        <v>29.966000000000001</v>
      </c>
      <c r="G94" s="13">
        <v>54.078000000000003</v>
      </c>
      <c r="H94" s="13">
        <v>66.789000000000001</v>
      </c>
      <c r="I94" s="13">
        <v>72.62</v>
      </c>
      <c r="J94" s="13">
        <v>78.644000000000005</v>
      </c>
      <c r="K94" s="13">
        <v>92.775000000000006</v>
      </c>
      <c r="L94" s="13" t="s">
        <v>198</v>
      </c>
      <c r="M94" s="13">
        <v>135.42599999999999</v>
      </c>
      <c r="N94" s="13">
        <v>72.031000000000006</v>
      </c>
      <c r="O94" s="13">
        <v>69.44</v>
      </c>
    </row>
    <row r="95" spans="1:15" x14ac:dyDescent="0.25">
      <c r="A95" s="10" t="s">
        <v>820</v>
      </c>
      <c r="B95" s="10" t="s">
        <v>877</v>
      </c>
      <c r="C95" s="13" t="s">
        <v>198</v>
      </c>
      <c r="D95" s="13" t="s">
        <v>198</v>
      </c>
      <c r="E95" s="13" t="s">
        <v>198</v>
      </c>
      <c r="F95" s="13">
        <v>6353.26</v>
      </c>
      <c r="G95" s="13">
        <v>11622.553</v>
      </c>
      <c r="H95" s="13">
        <v>11622.553</v>
      </c>
      <c r="I95" s="13">
        <v>11514.467000000001</v>
      </c>
      <c r="J95" s="13">
        <v>11283.642</v>
      </c>
      <c r="K95" s="13">
        <v>11283.642</v>
      </c>
      <c r="L95" s="13" t="s">
        <v>198</v>
      </c>
      <c r="M95" s="13">
        <v>11283.642</v>
      </c>
      <c r="N95" s="13">
        <v>11283.642</v>
      </c>
      <c r="O95" s="13">
        <v>11283.642</v>
      </c>
    </row>
    <row r="96" spans="1:15" x14ac:dyDescent="0.25">
      <c r="A96" s="10" t="s">
        <v>822</v>
      </c>
      <c r="B96" s="10" t="s">
        <v>878</v>
      </c>
      <c r="C96" s="13" t="s">
        <v>198</v>
      </c>
      <c r="D96" s="13" t="s">
        <v>198</v>
      </c>
      <c r="E96" s="13" t="s">
        <v>198</v>
      </c>
      <c r="F96" s="13">
        <v>3698.4059999999999</v>
      </c>
      <c r="G96" s="13">
        <v>16426.405999999999</v>
      </c>
      <c r="H96" s="13">
        <v>16426.405999999999</v>
      </c>
      <c r="I96" s="13">
        <v>15364.892</v>
      </c>
      <c r="J96" s="13">
        <v>14486.57</v>
      </c>
      <c r="K96" s="13">
        <v>14486.57</v>
      </c>
      <c r="L96" s="13" t="s">
        <v>198</v>
      </c>
      <c r="M96" s="13">
        <v>14486.57</v>
      </c>
      <c r="N96" s="13">
        <v>14486.57</v>
      </c>
      <c r="O96" s="13">
        <v>14486.569</v>
      </c>
    </row>
    <row r="97" spans="1:15" x14ac:dyDescent="0.25">
      <c r="A97" s="10" t="s">
        <v>826</v>
      </c>
      <c r="B97" s="10" t="s">
        <v>879</v>
      </c>
      <c r="C97" s="13" t="s">
        <v>198</v>
      </c>
      <c r="D97" s="13" t="s">
        <v>198</v>
      </c>
      <c r="E97" s="13" t="s">
        <v>198</v>
      </c>
      <c r="F97" s="13">
        <v>12118.200999999999</v>
      </c>
      <c r="G97" s="13">
        <v>12745.476000000001</v>
      </c>
      <c r="H97" s="13">
        <v>14587.615</v>
      </c>
      <c r="I97" s="13">
        <v>17638.507000000001</v>
      </c>
      <c r="J97" s="13">
        <v>18615.652999999998</v>
      </c>
      <c r="K97" s="13">
        <v>22089.777999999998</v>
      </c>
      <c r="L97" s="13" t="s">
        <v>198</v>
      </c>
      <c r="M97" s="13">
        <v>29500.227999999999</v>
      </c>
      <c r="N97" s="13">
        <v>32029.856</v>
      </c>
      <c r="O97" s="13">
        <v>43086.894999999997</v>
      </c>
    </row>
    <row r="98" spans="1:15" x14ac:dyDescent="0.25">
      <c r="A98" s="10" t="s">
        <v>828</v>
      </c>
      <c r="B98" s="10" t="s">
        <v>880</v>
      </c>
      <c r="C98" s="13" t="s">
        <v>198</v>
      </c>
      <c r="D98" s="13" t="s">
        <v>198</v>
      </c>
      <c r="E98" s="13" t="s">
        <v>198</v>
      </c>
      <c r="F98" s="13">
        <v>5852.598</v>
      </c>
      <c r="G98" s="13">
        <v>6136.7969999999996</v>
      </c>
      <c r="H98" s="13">
        <v>5168.4480000000003</v>
      </c>
      <c r="I98" s="13">
        <v>4001.7170000000001</v>
      </c>
      <c r="J98" s="13">
        <v>5977.6679999999997</v>
      </c>
      <c r="K98" s="13">
        <v>6187.6639999999998</v>
      </c>
      <c r="L98" s="13" t="s">
        <v>198</v>
      </c>
      <c r="M98" s="13">
        <v>-2069.4459999999999</v>
      </c>
      <c r="N98" s="13">
        <v>4619.9750000000004</v>
      </c>
      <c r="O98" s="13" t="s">
        <v>198</v>
      </c>
    </row>
    <row r="99" spans="1:15" x14ac:dyDescent="0.25">
      <c r="A99" s="10" t="s">
        <v>701</v>
      </c>
      <c r="B99" s="10" t="s">
        <v>881</v>
      </c>
      <c r="C99" s="13">
        <v>3582.5475999999999</v>
      </c>
      <c r="D99" s="13">
        <v>3582.5475999999999</v>
      </c>
      <c r="E99" s="13">
        <v>3582.5475999999999</v>
      </c>
      <c r="F99" s="13">
        <v>3654.0396999999998</v>
      </c>
      <c r="G99" s="13">
        <v>3590.7703000000001</v>
      </c>
      <c r="H99" s="13">
        <v>3582.9106999999999</v>
      </c>
      <c r="I99" s="13">
        <v>3588.1264000000001</v>
      </c>
      <c r="J99" s="13">
        <v>3591.1763000000001</v>
      </c>
      <c r="K99" s="13">
        <v>3591.1763000000001</v>
      </c>
      <c r="L99" s="13">
        <v>3591.1763000000001</v>
      </c>
      <c r="M99" s="13">
        <v>3591.1763000000001</v>
      </c>
      <c r="N99" s="13">
        <v>3591.1763000000001</v>
      </c>
      <c r="O99" s="13">
        <v>3591.1763000000001</v>
      </c>
    </row>
    <row r="100" spans="1:15" x14ac:dyDescent="0.25">
      <c r="A100" s="10" t="s">
        <v>882</v>
      </c>
      <c r="B100" s="10" t="s">
        <v>883</v>
      </c>
      <c r="C100" s="13" t="s">
        <v>198</v>
      </c>
      <c r="D100" s="13" t="s">
        <v>198</v>
      </c>
      <c r="E100" s="13" t="s">
        <v>198</v>
      </c>
      <c r="F100" s="13" t="s">
        <v>198</v>
      </c>
      <c r="G100" s="13" t="s">
        <v>198</v>
      </c>
      <c r="H100" s="13" t="s">
        <v>198</v>
      </c>
      <c r="I100" s="13" t="s">
        <v>198</v>
      </c>
      <c r="J100" s="13" t="s">
        <v>198</v>
      </c>
      <c r="K100" s="13" t="s">
        <v>198</v>
      </c>
      <c r="L100" s="13">
        <v>0</v>
      </c>
      <c r="M100" s="13">
        <v>0</v>
      </c>
      <c r="N100" s="13">
        <v>0</v>
      </c>
      <c r="O100" s="13">
        <v>0</v>
      </c>
    </row>
    <row r="101" spans="1:15" x14ac:dyDescent="0.25">
      <c r="A101" s="10" t="s">
        <v>884</v>
      </c>
      <c r="B101" s="10" t="s">
        <v>885</v>
      </c>
      <c r="C101" s="13">
        <v>547.31799999999998</v>
      </c>
      <c r="D101" s="13">
        <v>171.935</v>
      </c>
      <c r="E101" s="13">
        <v>194.80799999999999</v>
      </c>
      <c r="F101" s="13">
        <v>252.292</v>
      </c>
      <c r="G101" s="13">
        <v>224.77</v>
      </c>
      <c r="H101" s="13">
        <v>187.84200000000001</v>
      </c>
      <c r="I101" s="13">
        <v>173.33199999999999</v>
      </c>
      <c r="J101" s="13">
        <v>1257.521</v>
      </c>
      <c r="K101" s="13">
        <v>1360.104</v>
      </c>
      <c r="L101" s="13">
        <v>179.12899999999999</v>
      </c>
      <c r="M101" s="13">
        <v>1864.0229999999999</v>
      </c>
      <c r="N101" s="13">
        <v>1396.5840000000001</v>
      </c>
      <c r="O101" s="13">
        <v>109.02</v>
      </c>
    </row>
    <row r="102" spans="1:15" x14ac:dyDescent="0.25">
      <c r="A102" s="10" t="s">
        <v>886</v>
      </c>
      <c r="B102" s="10" t="s">
        <v>887</v>
      </c>
      <c r="C102" s="13" t="s">
        <v>198</v>
      </c>
      <c r="D102" s="13" t="s">
        <v>198</v>
      </c>
      <c r="E102" s="13" t="s">
        <v>198</v>
      </c>
      <c r="F102" s="13" t="s">
        <v>198</v>
      </c>
      <c r="G102" s="13" t="s">
        <v>198</v>
      </c>
      <c r="H102" s="13" t="s">
        <v>198</v>
      </c>
      <c r="I102" s="13" t="s">
        <v>198</v>
      </c>
      <c r="J102" s="13" t="s">
        <v>198</v>
      </c>
      <c r="K102" s="13">
        <v>0</v>
      </c>
      <c r="L102" s="13">
        <v>0</v>
      </c>
      <c r="M102" s="13" t="s">
        <v>198</v>
      </c>
      <c r="N102" s="13" t="s">
        <v>198</v>
      </c>
      <c r="O102" s="13" t="s">
        <v>198</v>
      </c>
    </row>
    <row r="103" spans="1:15" x14ac:dyDescent="0.25">
      <c r="A103" s="10" t="s">
        <v>888</v>
      </c>
      <c r="B103" s="10" t="s">
        <v>889</v>
      </c>
      <c r="C103" s="13">
        <v>1949.845</v>
      </c>
      <c r="D103" s="13">
        <v>2822.5450000000001</v>
      </c>
      <c r="E103" s="13">
        <v>3309.3359999999998</v>
      </c>
      <c r="F103" s="13">
        <v>1890.5250000000001</v>
      </c>
      <c r="G103" s="13">
        <v>3361.8789999999999</v>
      </c>
      <c r="H103" s="13">
        <v>3186.6750000000002</v>
      </c>
      <c r="I103" s="13">
        <v>4181.9920000000002</v>
      </c>
      <c r="J103" s="13">
        <v>4468.0190000000002</v>
      </c>
      <c r="K103" s="13">
        <v>4834.4120000000003</v>
      </c>
      <c r="L103" s="13">
        <v>6209.5230000000001</v>
      </c>
      <c r="M103" s="13">
        <v>6209.2150000000001</v>
      </c>
      <c r="N103" s="13">
        <v>5795.8490000000002</v>
      </c>
      <c r="O103" s="13">
        <v>5375.0749999999998</v>
      </c>
    </row>
    <row r="104" spans="1:15" x14ac:dyDescent="0.25">
      <c r="A104" s="10" t="s">
        <v>890</v>
      </c>
      <c r="B104" s="10" t="s">
        <v>891</v>
      </c>
      <c r="C104" s="13" t="s">
        <v>198</v>
      </c>
      <c r="D104" s="13" t="s">
        <v>198</v>
      </c>
      <c r="E104" s="13" t="s">
        <v>198</v>
      </c>
      <c r="F104" s="13">
        <v>3778.799</v>
      </c>
      <c r="G104" s="13">
        <v>300.351</v>
      </c>
      <c r="H104" s="13">
        <v>4753.933</v>
      </c>
      <c r="I104" s="13">
        <v>5035.4579999999996</v>
      </c>
      <c r="J104" s="13" t="s">
        <v>198</v>
      </c>
      <c r="K104" s="13" t="s">
        <v>198</v>
      </c>
      <c r="L104" s="13">
        <v>11817.357</v>
      </c>
      <c r="M104" s="13" t="s">
        <v>198</v>
      </c>
      <c r="N104" s="13" t="s">
        <v>198</v>
      </c>
      <c r="O104" s="13">
        <v>6587.8670000000002</v>
      </c>
    </row>
    <row r="105" spans="1:15" x14ac:dyDescent="0.25">
      <c r="A105" s="10" t="s">
        <v>892</v>
      </c>
      <c r="B105" s="10" t="s">
        <v>893</v>
      </c>
      <c r="C105" s="13">
        <v>287.40499999999997</v>
      </c>
      <c r="D105" s="13">
        <v>530.14200000000005</v>
      </c>
      <c r="E105" s="13">
        <v>394.3</v>
      </c>
      <c r="F105" s="13" t="s">
        <v>198</v>
      </c>
      <c r="G105" s="13">
        <v>3685.6640000000002</v>
      </c>
      <c r="H105" s="13" t="s">
        <v>198</v>
      </c>
      <c r="I105" s="13" t="s">
        <v>198</v>
      </c>
      <c r="J105" s="13" t="s">
        <v>198</v>
      </c>
      <c r="K105" s="13" t="s">
        <v>198</v>
      </c>
      <c r="L105" s="13" t="s">
        <v>198</v>
      </c>
      <c r="M105" s="13" t="s">
        <v>198</v>
      </c>
      <c r="N105" s="13" t="s">
        <v>198</v>
      </c>
      <c r="O105" s="13" t="s">
        <v>198</v>
      </c>
    </row>
    <row r="106" spans="1:15" x14ac:dyDescent="0.25">
      <c r="A106" s="10" t="s">
        <v>894</v>
      </c>
      <c r="B106" s="10" t="s">
        <v>895</v>
      </c>
      <c r="C106" s="13" t="s">
        <v>198</v>
      </c>
      <c r="D106" s="13" t="s">
        <v>198</v>
      </c>
      <c r="E106" s="13">
        <v>17.754999999999999</v>
      </c>
      <c r="F106" s="13">
        <v>25.68</v>
      </c>
      <c r="G106" s="13">
        <v>229.208</v>
      </c>
      <c r="H106" s="13">
        <v>1665.9480000000001</v>
      </c>
      <c r="I106" s="13" t="s">
        <v>198</v>
      </c>
      <c r="J106" s="13" t="s">
        <v>198</v>
      </c>
      <c r="K106" s="13" t="s">
        <v>198</v>
      </c>
      <c r="L106" s="13" t="s">
        <v>198</v>
      </c>
      <c r="M106" s="13" t="s">
        <v>198</v>
      </c>
      <c r="N106" s="13" t="s">
        <v>198</v>
      </c>
      <c r="O106" s="13" t="s">
        <v>198</v>
      </c>
    </row>
    <row r="107" spans="1:15" x14ac:dyDescent="0.25">
      <c r="A107" s="10" t="s">
        <v>896</v>
      </c>
      <c r="B107" s="10" t="s">
        <v>897</v>
      </c>
      <c r="C107" s="13" t="s">
        <v>198</v>
      </c>
      <c r="D107" s="13" t="s">
        <v>198</v>
      </c>
      <c r="E107" s="13">
        <v>6.3940000000000001</v>
      </c>
      <c r="F107" s="13">
        <v>4.3179999999999996</v>
      </c>
      <c r="G107" s="13">
        <v>142.233</v>
      </c>
      <c r="H107" s="13" t="s">
        <v>198</v>
      </c>
      <c r="I107" s="13" t="s">
        <v>198</v>
      </c>
      <c r="J107" s="13" t="s">
        <v>198</v>
      </c>
      <c r="K107" s="13" t="s">
        <v>198</v>
      </c>
      <c r="L107" s="13" t="s">
        <v>198</v>
      </c>
      <c r="M107" s="13" t="s">
        <v>198</v>
      </c>
      <c r="N107" s="13" t="s">
        <v>198</v>
      </c>
      <c r="O107" s="13" t="s">
        <v>198</v>
      </c>
    </row>
    <row r="108" spans="1:15" x14ac:dyDescent="0.25">
      <c r="A108" s="10" t="s">
        <v>898</v>
      </c>
      <c r="B108" s="10" t="s">
        <v>899</v>
      </c>
      <c r="C108" s="13">
        <v>351.00099999999998</v>
      </c>
      <c r="D108" s="13">
        <v>403.822</v>
      </c>
      <c r="E108" s="13">
        <v>437.23</v>
      </c>
      <c r="F108" s="13" t="s">
        <v>198</v>
      </c>
      <c r="G108" s="13">
        <v>76.492999999999995</v>
      </c>
      <c r="H108" s="13" t="s">
        <v>198</v>
      </c>
      <c r="I108" s="13" t="s">
        <v>198</v>
      </c>
      <c r="J108" s="13" t="s">
        <v>198</v>
      </c>
      <c r="K108" s="13" t="s">
        <v>198</v>
      </c>
      <c r="L108" s="13" t="s">
        <v>198</v>
      </c>
      <c r="M108" s="13">
        <v>161.977</v>
      </c>
      <c r="N108" s="13">
        <v>211.25899999999999</v>
      </c>
      <c r="O108" s="13" t="s">
        <v>198</v>
      </c>
    </row>
    <row r="109" spans="1:15" x14ac:dyDescent="0.25">
      <c r="A109" s="10" t="s">
        <v>900</v>
      </c>
      <c r="B109" s="10" t="s">
        <v>901</v>
      </c>
      <c r="C109" s="13">
        <v>13.531000000000001</v>
      </c>
      <c r="D109" s="13">
        <v>11.632999999999999</v>
      </c>
      <c r="E109" s="13">
        <v>5.81</v>
      </c>
      <c r="F109" s="13">
        <v>33.923999999999999</v>
      </c>
      <c r="G109" s="13">
        <v>24.555</v>
      </c>
      <c r="H109" s="13">
        <v>150.57300000000001</v>
      </c>
      <c r="I109" s="13">
        <v>226.108</v>
      </c>
      <c r="J109" s="13">
        <v>273.47199999999998</v>
      </c>
      <c r="K109" s="13">
        <v>280.26600000000002</v>
      </c>
      <c r="L109" s="13">
        <v>311.459</v>
      </c>
      <c r="M109" s="13">
        <v>226.90899999999999</v>
      </c>
      <c r="N109" s="13">
        <v>-10.393000000000001</v>
      </c>
      <c r="O109" s="13">
        <v>583.24</v>
      </c>
    </row>
    <row r="110" spans="1:15" x14ac:dyDescent="0.25">
      <c r="A110" s="10" t="s">
        <v>830</v>
      </c>
      <c r="B110" s="10" t="s">
        <v>902</v>
      </c>
      <c r="C110" s="13" t="s">
        <v>198</v>
      </c>
      <c r="D110" s="13" t="s">
        <v>198</v>
      </c>
      <c r="E110" s="13" t="s">
        <v>198</v>
      </c>
      <c r="F110" s="13">
        <v>28052.431</v>
      </c>
      <c r="G110" s="13">
        <v>46985.31</v>
      </c>
      <c r="H110" s="13">
        <v>47871.811000000002</v>
      </c>
      <c r="I110" s="13">
        <v>48592.203000000001</v>
      </c>
      <c r="J110" s="13">
        <v>54745.07</v>
      </c>
      <c r="K110" s="13">
        <v>58443.322</v>
      </c>
      <c r="L110" s="13" t="s">
        <v>198</v>
      </c>
      <c r="M110" s="13">
        <v>57639.313000000002</v>
      </c>
      <c r="N110" s="13">
        <v>66794.967000000004</v>
      </c>
      <c r="O110" s="13">
        <v>70293.373000000007</v>
      </c>
    </row>
    <row r="111" spans="1:15" x14ac:dyDescent="0.25">
      <c r="A111" s="10" t="s">
        <v>903</v>
      </c>
      <c r="B111" s="10" t="s">
        <v>904</v>
      </c>
      <c r="C111" s="13" t="s">
        <v>198</v>
      </c>
      <c r="D111" s="13" t="s">
        <v>198</v>
      </c>
      <c r="E111" s="13" t="s">
        <v>198</v>
      </c>
      <c r="F111" s="13">
        <v>5128.1369999999997</v>
      </c>
      <c r="G111" s="13">
        <v>19995.891</v>
      </c>
      <c r="H111" s="13">
        <v>12027.931</v>
      </c>
      <c r="I111" s="13">
        <v>9628.1689999999999</v>
      </c>
      <c r="J111" s="13">
        <v>7646.3180000000002</v>
      </c>
      <c r="K111" s="13">
        <v>12791.282999999999</v>
      </c>
      <c r="L111" s="13">
        <v>4520.8389999999999</v>
      </c>
      <c r="M111" s="13">
        <v>6366.67</v>
      </c>
      <c r="N111" s="13">
        <v>10684.509</v>
      </c>
      <c r="O111" s="13">
        <v>11112.87</v>
      </c>
    </row>
    <row r="112" spans="1:15" x14ac:dyDescent="0.25">
      <c r="A112" s="10" t="s">
        <v>739</v>
      </c>
      <c r="B112" s="10" t="s">
        <v>905</v>
      </c>
      <c r="C112" s="13" t="s">
        <v>198</v>
      </c>
      <c r="D112" s="13" t="s">
        <v>198</v>
      </c>
      <c r="E112" s="13" t="s">
        <v>198</v>
      </c>
      <c r="F112" s="13" t="s">
        <v>198</v>
      </c>
      <c r="G112" s="13" t="s">
        <v>198</v>
      </c>
      <c r="H112" s="13" t="s">
        <v>198</v>
      </c>
      <c r="I112" s="13" t="s">
        <v>198</v>
      </c>
      <c r="J112" s="13">
        <v>624.40499999999997</v>
      </c>
      <c r="K112" s="13" t="s">
        <v>198</v>
      </c>
      <c r="L112" s="13" t="s">
        <v>198</v>
      </c>
      <c r="M112" s="13" t="s">
        <v>198</v>
      </c>
      <c r="N112" s="13" t="s">
        <v>198</v>
      </c>
      <c r="O112" s="13" t="s">
        <v>198</v>
      </c>
    </row>
    <row r="113" spans="1:15" x14ac:dyDescent="0.25">
      <c r="A113" s="10" t="s">
        <v>906</v>
      </c>
      <c r="B113" s="10" t="s">
        <v>907</v>
      </c>
      <c r="C113" s="13" t="s">
        <v>198</v>
      </c>
      <c r="D113" s="13" t="s">
        <v>198</v>
      </c>
      <c r="E113" s="13" t="s">
        <v>198</v>
      </c>
      <c r="F113" s="13">
        <v>305.863</v>
      </c>
      <c r="G113" s="13" t="s">
        <v>198</v>
      </c>
      <c r="H113" s="13" t="s">
        <v>198</v>
      </c>
      <c r="I113" s="13" t="s">
        <v>198</v>
      </c>
      <c r="J113" s="13">
        <v>1291.221</v>
      </c>
      <c r="K113" s="13">
        <v>965.77</v>
      </c>
      <c r="L113" s="13">
        <v>365.72399999999999</v>
      </c>
      <c r="M113" s="13">
        <v>2569.491</v>
      </c>
      <c r="N113" s="13">
        <v>2018.9069999999999</v>
      </c>
      <c r="O113" s="13">
        <v>1636.6590000000001</v>
      </c>
    </row>
    <row r="114" spans="1:15" x14ac:dyDescent="0.25">
      <c r="A114" s="10" t="s">
        <v>908</v>
      </c>
      <c r="B114" s="10" t="s">
        <v>909</v>
      </c>
      <c r="C114" s="13" t="s">
        <v>198</v>
      </c>
      <c r="D114" s="13" t="s">
        <v>198</v>
      </c>
      <c r="E114" s="13" t="s">
        <v>198</v>
      </c>
      <c r="F114" s="13" t="s">
        <v>198</v>
      </c>
      <c r="G114" s="13" t="s">
        <v>198</v>
      </c>
      <c r="H114" s="13" t="s">
        <v>198</v>
      </c>
      <c r="I114" s="13" t="s">
        <v>198</v>
      </c>
      <c r="J114" s="13">
        <v>57.213999999999999</v>
      </c>
      <c r="K114" s="13">
        <v>14.173999999999999</v>
      </c>
      <c r="L114" s="13">
        <v>44.593000000000004</v>
      </c>
      <c r="M114" s="13">
        <v>19.605</v>
      </c>
      <c r="N114" s="13">
        <v>24.417999999999999</v>
      </c>
      <c r="O114" s="13">
        <v>11.19</v>
      </c>
    </row>
    <row r="115" spans="1:15" x14ac:dyDescent="0.25">
      <c r="A115" s="10" t="s">
        <v>910</v>
      </c>
      <c r="B115" s="10" t="s">
        <v>911</v>
      </c>
      <c r="C115" s="13" t="s">
        <v>198</v>
      </c>
      <c r="D115" s="13" t="s">
        <v>198</v>
      </c>
      <c r="E115" s="13" t="s">
        <v>198</v>
      </c>
      <c r="F115" s="13" t="s">
        <v>198</v>
      </c>
      <c r="G115" s="13" t="s">
        <v>198</v>
      </c>
      <c r="H115" s="13" t="s">
        <v>198</v>
      </c>
      <c r="I115" s="13" t="s">
        <v>198</v>
      </c>
      <c r="J115" s="13" t="s">
        <v>198</v>
      </c>
      <c r="K115" s="13">
        <v>0</v>
      </c>
      <c r="L115" s="13" t="s">
        <v>198</v>
      </c>
      <c r="M115" s="13" t="s">
        <v>198</v>
      </c>
      <c r="N115" s="13" t="s">
        <v>198</v>
      </c>
      <c r="O115" s="13" t="s">
        <v>198</v>
      </c>
    </row>
    <row r="116" spans="1:15" x14ac:dyDescent="0.25">
      <c r="A116" s="10" t="s">
        <v>912</v>
      </c>
      <c r="B116" s="10" t="s">
        <v>913</v>
      </c>
      <c r="C116" s="14" t="s">
        <v>198</v>
      </c>
      <c r="D116" s="14" t="s">
        <v>198</v>
      </c>
      <c r="E116" s="14">
        <v>5403</v>
      </c>
      <c r="F116" s="14">
        <v>5467</v>
      </c>
      <c r="G116" s="14">
        <v>6008</v>
      </c>
      <c r="H116" s="14">
        <v>5805</v>
      </c>
      <c r="I116" s="14">
        <v>6836</v>
      </c>
      <c r="J116" s="14">
        <v>8080</v>
      </c>
      <c r="K116" s="14">
        <v>8422</v>
      </c>
      <c r="L116" s="14">
        <v>9437</v>
      </c>
      <c r="M116" s="14">
        <v>10281</v>
      </c>
      <c r="N116" s="14">
        <v>8893</v>
      </c>
      <c r="O116" s="14">
        <v>7790</v>
      </c>
    </row>
    <row r="117" spans="1:15" x14ac:dyDescent="0.25">
      <c r="A117" s="10" t="s">
        <v>914</v>
      </c>
      <c r="B117" s="10" t="s">
        <v>915</v>
      </c>
      <c r="C117" s="13" t="s">
        <v>198</v>
      </c>
      <c r="D117" s="13" t="s">
        <v>198</v>
      </c>
      <c r="E117" s="13" t="s">
        <v>198</v>
      </c>
      <c r="F117" s="13" t="s">
        <v>198</v>
      </c>
      <c r="G117" s="13" t="s">
        <v>198</v>
      </c>
      <c r="H117" s="13">
        <v>1280.7619999999999</v>
      </c>
      <c r="I117" s="13">
        <v>1405.8119999999999</v>
      </c>
      <c r="J117" s="13" t="s">
        <v>198</v>
      </c>
      <c r="K117" s="13" t="s">
        <v>198</v>
      </c>
      <c r="L117" s="13">
        <v>3105.268</v>
      </c>
      <c r="M117" s="13" t="s">
        <v>198</v>
      </c>
      <c r="N117" s="13" t="s">
        <v>198</v>
      </c>
      <c r="O117" s="13">
        <v>3514.192</v>
      </c>
    </row>
    <row r="118" spans="1:15" x14ac:dyDescent="0.25">
      <c r="A118" s="10" t="s">
        <v>916</v>
      </c>
      <c r="B118" s="10" t="s">
        <v>917</v>
      </c>
      <c r="C118" s="13" t="s">
        <v>198</v>
      </c>
      <c r="D118" s="13" t="s">
        <v>198</v>
      </c>
      <c r="E118" s="13">
        <v>8490.2060000000001</v>
      </c>
      <c r="F118" s="13">
        <v>10206.842000000001</v>
      </c>
      <c r="G118" s="13">
        <v>9780.5229999999992</v>
      </c>
      <c r="H118" s="13">
        <v>9745.0139999999992</v>
      </c>
      <c r="I118" s="13">
        <v>9344.6569999999992</v>
      </c>
      <c r="J118" s="13">
        <v>9907.0750000000007</v>
      </c>
      <c r="K118" s="13">
        <v>18495.296999999999</v>
      </c>
      <c r="L118" s="13">
        <v>17508.150000000001</v>
      </c>
      <c r="M118" s="13">
        <v>15373.142</v>
      </c>
      <c r="N118" s="13">
        <v>7751.6779999999999</v>
      </c>
      <c r="O118" s="13">
        <v>5086.4359999999997</v>
      </c>
    </row>
    <row r="119" spans="1:15" x14ac:dyDescent="0.25">
      <c r="A119" s="10" t="s">
        <v>918</v>
      </c>
      <c r="B119" s="10" t="s">
        <v>919</v>
      </c>
      <c r="C119" s="13">
        <v>3296.587</v>
      </c>
      <c r="D119" s="13">
        <v>4014.4540000000002</v>
      </c>
      <c r="E119" s="13">
        <v>4526.2389999999996</v>
      </c>
      <c r="F119" s="13" t="s">
        <v>198</v>
      </c>
      <c r="G119" s="13" t="s">
        <v>198</v>
      </c>
      <c r="H119" s="13" t="s">
        <v>198</v>
      </c>
      <c r="I119" s="13" t="s">
        <v>198</v>
      </c>
      <c r="J119" s="13" t="s">
        <v>198</v>
      </c>
      <c r="K119" s="13" t="s">
        <v>198</v>
      </c>
      <c r="L119" s="13" t="s">
        <v>198</v>
      </c>
      <c r="M119" s="13" t="s">
        <v>198</v>
      </c>
      <c r="N119" s="13" t="s">
        <v>198</v>
      </c>
      <c r="O119" s="13" t="s">
        <v>198</v>
      </c>
    </row>
    <row r="120" spans="1:15" x14ac:dyDescent="0.25">
      <c r="A120" s="10" t="s">
        <v>832</v>
      </c>
      <c r="B120" s="10" t="s">
        <v>920</v>
      </c>
      <c r="C120" s="13" t="s">
        <v>198</v>
      </c>
      <c r="D120" s="13" t="s">
        <v>198</v>
      </c>
      <c r="E120" s="13" t="s">
        <v>198</v>
      </c>
      <c r="F120" s="13" t="s">
        <v>198</v>
      </c>
      <c r="G120" s="13" t="s">
        <v>198</v>
      </c>
      <c r="H120" s="13" t="s">
        <v>198</v>
      </c>
      <c r="I120" s="13" t="s">
        <v>198</v>
      </c>
      <c r="J120" s="13">
        <v>4302.893</v>
      </c>
      <c r="K120" s="13">
        <v>4302.893</v>
      </c>
      <c r="L120" s="13" t="s">
        <v>198</v>
      </c>
      <c r="M120" s="13">
        <v>4302.893</v>
      </c>
      <c r="N120" s="13">
        <v>4302.893</v>
      </c>
      <c r="O120" s="13">
        <v>1366.827</v>
      </c>
    </row>
    <row r="121" spans="1:15" x14ac:dyDescent="0.25">
      <c r="A121" s="10" t="s">
        <v>921</v>
      </c>
      <c r="B121" s="10" t="s">
        <v>922</v>
      </c>
      <c r="C121" s="13">
        <v>3694.69</v>
      </c>
      <c r="D121" s="13">
        <v>4662.2439999999997</v>
      </c>
      <c r="E121" s="13">
        <v>5729.81</v>
      </c>
      <c r="F121" s="13" t="s">
        <v>198</v>
      </c>
      <c r="G121" s="13" t="s">
        <v>198</v>
      </c>
      <c r="H121" s="13" t="s">
        <v>198</v>
      </c>
      <c r="I121" s="13" t="s">
        <v>198</v>
      </c>
      <c r="J121" s="13" t="s">
        <v>198</v>
      </c>
      <c r="K121" s="13" t="s">
        <v>198</v>
      </c>
      <c r="L121" s="13" t="s">
        <v>198</v>
      </c>
      <c r="M121" s="13">
        <v>11391.022000000001</v>
      </c>
      <c r="N121" s="13">
        <v>12248.933000000001</v>
      </c>
      <c r="O121" s="13" t="s">
        <v>198</v>
      </c>
    </row>
    <row r="122" spans="1:15" x14ac:dyDescent="0.25">
      <c r="A122" s="10" t="s">
        <v>923</v>
      </c>
      <c r="B122" s="10" t="s">
        <v>924</v>
      </c>
      <c r="C122" s="13" t="s">
        <v>198</v>
      </c>
      <c r="D122" s="13" t="s">
        <v>198</v>
      </c>
      <c r="E122" s="13" t="s">
        <v>198</v>
      </c>
      <c r="F122" s="13" t="s">
        <v>198</v>
      </c>
      <c r="G122" s="13" t="s">
        <v>198</v>
      </c>
      <c r="H122" s="13">
        <v>435.161</v>
      </c>
      <c r="I122" s="13">
        <v>308.74700000000001</v>
      </c>
      <c r="J122" s="13" t="s">
        <v>198</v>
      </c>
      <c r="K122" s="13" t="s">
        <v>198</v>
      </c>
      <c r="L122" s="13">
        <v>446.685</v>
      </c>
      <c r="M122" s="13">
        <v>0</v>
      </c>
      <c r="N122" s="13">
        <v>0</v>
      </c>
      <c r="O122" s="13">
        <v>662.71400000000006</v>
      </c>
    </row>
    <row r="123" spans="1:15" x14ac:dyDescent="0.25">
      <c r="A123" s="10" t="s">
        <v>747</v>
      </c>
      <c r="B123" s="10" t="s">
        <v>925</v>
      </c>
      <c r="C123" s="13" t="s">
        <v>198</v>
      </c>
      <c r="D123" s="13" t="s">
        <v>198</v>
      </c>
      <c r="E123" s="13" t="s">
        <v>198</v>
      </c>
      <c r="F123" s="13" t="s">
        <v>198</v>
      </c>
      <c r="G123" s="13" t="s">
        <v>198</v>
      </c>
      <c r="H123" s="13" t="s">
        <v>198</v>
      </c>
      <c r="I123" s="13" t="s">
        <v>198</v>
      </c>
      <c r="J123" s="13" t="s">
        <v>198</v>
      </c>
      <c r="K123" s="13" t="s">
        <v>198</v>
      </c>
      <c r="L123" s="13" t="s">
        <v>198</v>
      </c>
      <c r="M123" s="13" t="s">
        <v>198</v>
      </c>
      <c r="N123" s="13" t="s">
        <v>198</v>
      </c>
      <c r="O123" s="13">
        <v>120.736</v>
      </c>
    </row>
    <row r="124" spans="1:15" x14ac:dyDescent="0.25">
      <c r="A124" s="10" t="s">
        <v>749</v>
      </c>
      <c r="B124" s="10" t="s">
        <v>926</v>
      </c>
      <c r="C124" s="13">
        <v>51.497999999999998</v>
      </c>
      <c r="D124" s="13">
        <v>165.50399999999999</v>
      </c>
      <c r="E124" s="13" t="s">
        <v>198</v>
      </c>
      <c r="F124" s="13">
        <v>197.55500000000001</v>
      </c>
      <c r="G124" s="13">
        <v>221.41200000000001</v>
      </c>
      <c r="H124" s="13" t="s">
        <v>198</v>
      </c>
      <c r="I124" s="13" t="s">
        <v>198</v>
      </c>
      <c r="J124" s="13" t="s">
        <v>198</v>
      </c>
      <c r="K124" s="13" t="s">
        <v>198</v>
      </c>
      <c r="L124" s="13" t="s">
        <v>198</v>
      </c>
      <c r="M124" s="13" t="s">
        <v>198</v>
      </c>
      <c r="N124" s="13" t="s">
        <v>198</v>
      </c>
      <c r="O124" s="13" t="s">
        <v>198</v>
      </c>
    </row>
    <row r="125" spans="1:15" x14ac:dyDescent="0.25">
      <c r="A125" s="10" t="s">
        <v>751</v>
      </c>
      <c r="B125" s="10" t="s">
        <v>927</v>
      </c>
      <c r="C125" s="13">
        <v>183.97900000000001</v>
      </c>
      <c r="D125" s="13">
        <v>169.57400000000001</v>
      </c>
      <c r="E125" s="13">
        <v>152.82</v>
      </c>
      <c r="F125" s="13" t="s">
        <v>198</v>
      </c>
      <c r="G125" s="13" t="s">
        <v>198</v>
      </c>
      <c r="H125" s="13" t="s">
        <v>198</v>
      </c>
      <c r="I125" s="13" t="s">
        <v>198</v>
      </c>
      <c r="J125" s="13">
        <v>1004.644</v>
      </c>
      <c r="K125" s="13">
        <v>1076.837</v>
      </c>
      <c r="L125" s="13" t="s">
        <v>198</v>
      </c>
      <c r="M125" s="13">
        <v>944.447</v>
      </c>
      <c r="N125" s="13">
        <v>1106.472</v>
      </c>
      <c r="O125" s="13" t="s">
        <v>198</v>
      </c>
    </row>
    <row r="126" spans="1:15" x14ac:dyDescent="0.25">
      <c r="A126" s="10" t="s">
        <v>928</v>
      </c>
      <c r="B126" s="10" t="s">
        <v>929</v>
      </c>
      <c r="C126" s="13" t="s">
        <v>198</v>
      </c>
      <c r="D126" s="13" t="s">
        <v>198</v>
      </c>
      <c r="E126" s="13" t="s">
        <v>198</v>
      </c>
      <c r="F126" s="13" t="s">
        <v>198</v>
      </c>
      <c r="G126" s="13" t="s">
        <v>198</v>
      </c>
      <c r="H126" s="13" t="s">
        <v>198</v>
      </c>
      <c r="I126" s="13" t="s">
        <v>198</v>
      </c>
      <c r="J126" s="13" t="s">
        <v>198</v>
      </c>
      <c r="K126" s="13" t="s">
        <v>198</v>
      </c>
      <c r="L126" s="13" t="s">
        <v>198</v>
      </c>
      <c r="M126" s="13" t="s">
        <v>198</v>
      </c>
      <c r="N126" s="13">
        <v>15453.906999999999</v>
      </c>
      <c r="O126" s="13">
        <v>13797.697</v>
      </c>
    </row>
    <row r="127" spans="1:15" x14ac:dyDescent="0.25">
      <c r="A127" s="10" t="s">
        <v>930</v>
      </c>
      <c r="B127" s="10" t="s">
        <v>931</v>
      </c>
      <c r="C127" s="13" t="s">
        <v>198</v>
      </c>
      <c r="D127" s="13" t="s">
        <v>198</v>
      </c>
      <c r="E127" s="13" t="s">
        <v>198</v>
      </c>
      <c r="F127" s="13" t="s">
        <v>198</v>
      </c>
      <c r="G127" s="13" t="s">
        <v>198</v>
      </c>
      <c r="H127" s="13">
        <v>1063.1679999999999</v>
      </c>
      <c r="I127" s="13">
        <v>1052.2260000000001</v>
      </c>
      <c r="J127" s="13" t="s">
        <v>198</v>
      </c>
      <c r="K127" s="13" t="s">
        <v>198</v>
      </c>
      <c r="L127" s="13">
        <v>1920.231</v>
      </c>
      <c r="M127" s="13" t="s">
        <v>198</v>
      </c>
      <c r="N127" s="13" t="s">
        <v>198</v>
      </c>
      <c r="O127" s="13">
        <v>5258.7460000000001</v>
      </c>
    </row>
    <row r="128" spans="1:15" x14ac:dyDescent="0.25">
      <c r="A128" s="10" t="s">
        <v>932</v>
      </c>
      <c r="B128" s="10" t="s">
        <v>933</v>
      </c>
      <c r="C128" s="13" t="s">
        <v>198</v>
      </c>
      <c r="D128" s="13" t="s">
        <v>198</v>
      </c>
      <c r="E128" s="13" t="s">
        <v>198</v>
      </c>
      <c r="F128" s="13" t="s">
        <v>198</v>
      </c>
      <c r="G128" s="13" t="s">
        <v>198</v>
      </c>
      <c r="H128" s="13">
        <v>0</v>
      </c>
      <c r="I128" s="13">
        <v>0</v>
      </c>
      <c r="J128" s="13" t="s">
        <v>198</v>
      </c>
      <c r="K128" s="13">
        <v>0</v>
      </c>
      <c r="L128" s="13">
        <v>0</v>
      </c>
      <c r="M128" s="13" t="s">
        <v>198</v>
      </c>
      <c r="N128" s="13" t="s">
        <v>198</v>
      </c>
      <c r="O128" s="13" t="s">
        <v>198</v>
      </c>
    </row>
    <row r="129" spans="1:15" x14ac:dyDescent="0.25">
      <c r="A129" s="10" t="s">
        <v>934</v>
      </c>
      <c r="B129" s="10" t="s">
        <v>935</v>
      </c>
      <c r="C129" s="13" t="s">
        <v>198</v>
      </c>
      <c r="D129" s="13" t="s">
        <v>198</v>
      </c>
      <c r="E129" s="13" t="s">
        <v>198</v>
      </c>
      <c r="F129" s="13" t="s">
        <v>198</v>
      </c>
      <c r="G129" s="13">
        <v>485.74099999999999</v>
      </c>
      <c r="H129" s="13">
        <v>488.21499999999997</v>
      </c>
      <c r="I129" s="13">
        <v>1670.2950000000001</v>
      </c>
      <c r="J129" s="13" t="s">
        <v>198</v>
      </c>
      <c r="K129" s="13" t="s">
        <v>198</v>
      </c>
      <c r="L129" s="13">
        <v>4942.7240000000002</v>
      </c>
      <c r="M129" s="13" t="s">
        <v>198</v>
      </c>
      <c r="N129" s="13" t="s">
        <v>198</v>
      </c>
      <c r="O129" s="13">
        <v>1058.5119999999999</v>
      </c>
    </row>
    <row r="130" spans="1:15" x14ac:dyDescent="0.25">
      <c r="A130" s="10" t="s">
        <v>936</v>
      </c>
      <c r="B130" s="10" t="s">
        <v>937</v>
      </c>
      <c r="C130" s="13">
        <v>13.909000000000001</v>
      </c>
      <c r="D130" s="13">
        <v>16.632999999999999</v>
      </c>
      <c r="E130" s="13">
        <v>26.305</v>
      </c>
      <c r="F130" s="13">
        <v>21.023</v>
      </c>
      <c r="G130" s="13">
        <v>27.87</v>
      </c>
      <c r="H130" s="13">
        <v>33.899000000000001</v>
      </c>
      <c r="I130" s="13">
        <v>47.31</v>
      </c>
      <c r="J130" s="13">
        <v>5659.0910000000003</v>
      </c>
      <c r="K130" s="13">
        <v>6068.2309999999998</v>
      </c>
      <c r="L130" s="13">
        <v>52.012999999999998</v>
      </c>
      <c r="M130" s="13">
        <v>8466.82</v>
      </c>
      <c r="N130" s="13">
        <v>6271.5640000000003</v>
      </c>
      <c r="O130" s="13">
        <v>81.664000000000001</v>
      </c>
    </row>
    <row r="131" spans="1:15" x14ac:dyDescent="0.25">
      <c r="A131" s="10" t="s">
        <v>938</v>
      </c>
      <c r="B131" s="10" t="s">
        <v>939</v>
      </c>
      <c r="C131" s="13">
        <v>23.702999999999999</v>
      </c>
      <c r="D131" s="13">
        <v>55.148000000000003</v>
      </c>
      <c r="E131" s="13">
        <v>66.835999999999999</v>
      </c>
      <c r="F131" s="13" t="s">
        <v>198</v>
      </c>
      <c r="G131" s="13">
        <v>84.156000000000006</v>
      </c>
      <c r="H131" s="13" t="s">
        <v>198</v>
      </c>
      <c r="I131" s="13" t="s">
        <v>198</v>
      </c>
      <c r="J131" s="13" t="s">
        <v>198</v>
      </c>
      <c r="K131" s="13" t="s">
        <v>198</v>
      </c>
      <c r="L131" s="13" t="s">
        <v>198</v>
      </c>
      <c r="M131" s="13" t="s">
        <v>198</v>
      </c>
      <c r="N131" s="13" t="s">
        <v>198</v>
      </c>
      <c r="O131" s="13" t="s">
        <v>198</v>
      </c>
    </row>
    <row r="132" spans="1:15" x14ac:dyDescent="0.25">
      <c r="A132" s="10" t="s">
        <v>940</v>
      </c>
      <c r="B132" s="10" t="s">
        <v>941</v>
      </c>
      <c r="C132" s="13">
        <v>59.234999999999999</v>
      </c>
      <c r="D132" s="13">
        <v>147.70699999999999</v>
      </c>
      <c r="E132" s="13">
        <v>174.12</v>
      </c>
      <c r="F132" s="13" t="s">
        <v>198</v>
      </c>
      <c r="G132" s="13">
        <v>265.69600000000003</v>
      </c>
      <c r="H132" s="13" t="s">
        <v>198</v>
      </c>
      <c r="I132" s="13" t="s">
        <v>198</v>
      </c>
      <c r="J132" s="13">
        <v>190.809</v>
      </c>
      <c r="K132" s="13">
        <v>169.119</v>
      </c>
      <c r="L132" s="13" t="s">
        <v>198</v>
      </c>
      <c r="M132" s="13">
        <v>303.43200000000002</v>
      </c>
      <c r="N132" s="13">
        <v>123.366</v>
      </c>
      <c r="O132" s="13" t="s">
        <v>198</v>
      </c>
    </row>
    <row r="133" spans="1:15" x14ac:dyDescent="0.25">
      <c r="A133" s="10" t="s">
        <v>942</v>
      </c>
      <c r="B133" s="10" t="s">
        <v>943</v>
      </c>
      <c r="C133" s="13" t="s">
        <v>198</v>
      </c>
      <c r="D133" s="13" t="s">
        <v>198</v>
      </c>
      <c r="E133" s="13" t="s">
        <v>198</v>
      </c>
      <c r="F133" s="13" t="s">
        <v>198</v>
      </c>
      <c r="G133" s="13">
        <v>556.27700000000004</v>
      </c>
      <c r="H133" s="13">
        <v>646.73500000000001</v>
      </c>
      <c r="I133" s="13">
        <v>647.34400000000005</v>
      </c>
      <c r="J133" s="13" t="s">
        <v>198</v>
      </c>
      <c r="K133" s="13" t="s">
        <v>198</v>
      </c>
      <c r="L133" s="13">
        <v>1478.539</v>
      </c>
      <c r="M133" s="13" t="s">
        <v>198</v>
      </c>
      <c r="N133" s="13" t="s">
        <v>198</v>
      </c>
      <c r="O133" s="13">
        <v>1534.691</v>
      </c>
    </row>
    <row r="134" spans="1:15" x14ac:dyDescent="0.25">
      <c r="A134" s="10" t="s">
        <v>779</v>
      </c>
      <c r="B134" s="10" t="s">
        <v>944</v>
      </c>
      <c r="C134" s="13">
        <v>5873.9920000000002</v>
      </c>
      <c r="D134" s="13">
        <v>5945.8360000000002</v>
      </c>
      <c r="E134" s="13">
        <v>10404.996999999999</v>
      </c>
      <c r="F134" s="13">
        <v>11771.208000000001</v>
      </c>
      <c r="G134" s="13">
        <v>11364.885</v>
      </c>
      <c r="H134" s="13">
        <v>14663.673000000001</v>
      </c>
      <c r="I134" s="13">
        <v>14229.950999999999</v>
      </c>
      <c r="J134" s="13">
        <v>15447.299000000001</v>
      </c>
      <c r="K134" s="13">
        <v>20627.687000000002</v>
      </c>
      <c r="L134" s="13" t="s">
        <v>198</v>
      </c>
      <c r="M134" s="13">
        <v>16919.060000000001</v>
      </c>
      <c r="N134" s="13">
        <v>20004.366999999998</v>
      </c>
      <c r="O134" s="13">
        <v>18828.106</v>
      </c>
    </row>
    <row r="135" spans="1:15" x14ac:dyDescent="0.25">
      <c r="A135" s="10" t="s">
        <v>945</v>
      </c>
      <c r="B135" s="10" t="s">
        <v>946</v>
      </c>
      <c r="C135" s="13" t="s">
        <v>198</v>
      </c>
      <c r="D135" s="13" t="s">
        <v>198</v>
      </c>
      <c r="E135" s="13">
        <v>432.48899999999998</v>
      </c>
      <c r="F135" s="13">
        <v>580.875</v>
      </c>
      <c r="G135" s="13">
        <v>736.26700000000005</v>
      </c>
      <c r="H135" s="13" t="s">
        <v>198</v>
      </c>
      <c r="I135" s="13" t="s">
        <v>198</v>
      </c>
      <c r="J135" s="13" t="s">
        <v>198</v>
      </c>
      <c r="K135" s="13" t="s">
        <v>198</v>
      </c>
      <c r="L135" s="13" t="s">
        <v>198</v>
      </c>
      <c r="M135" s="13" t="s">
        <v>198</v>
      </c>
      <c r="N135" s="13" t="s">
        <v>198</v>
      </c>
      <c r="O135" s="13" t="s">
        <v>198</v>
      </c>
    </row>
    <row r="136" spans="1:15" x14ac:dyDescent="0.25">
      <c r="A136" s="10" t="s">
        <v>947</v>
      </c>
      <c r="B136" s="10" t="s">
        <v>948</v>
      </c>
      <c r="C136" s="13">
        <v>122.646</v>
      </c>
      <c r="D136" s="13">
        <v>152.672</v>
      </c>
      <c r="E136" s="13">
        <v>234.47499999999999</v>
      </c>
      <c r="F136" s="13" t="s">
        <v>198</v>
      </c>
      <c r="G136" s="13" t="s">
        <v>198</v>
      </c>
      <c r="H136" s="13" t="s">
        <v>198</v>
      </c>
      <c r="I136" s="13" t="s">
        <v>198</v>
      </c>
      <c r="J136" s="13" t="s">
        <v>198</v>
      </c>
      <c r="K136" s="13" t="s">
        <v>198</v>
      </c>
      <c r="L136" s="13" t="s">
        <v>198</v>
      </c>
      <c r="M136" s="13" t="s">
        <v>198</v>
      </c>
      <c r="N136" s="13" t="s">
        <v>198</v>
      </c>
      <c r="O136" s="13" t="s">
        <v>198</v>
      </c>
    </row>
    <row r="137" spans="1:15" x14ac:dyDescent="0.25">
      <c r="A137" s="10" t="s">
        <v>799</v>
      </c>
      <c r="B137" s="10" t="s">
        <v>949</v>
      </c>
      <c r="C137" s="13" t="s">
        <v>198</v>
      </c>
      <c r="D137" s="13" t="s">
        <v>198</v>
      </c>
      <c r="E137" s="13" t="s">
        <v>198</v>
      </c>
      <c r="F137" s="13" t="s">
        <v>198</v>
      </c>
      <c r="G137" s="13" t="s">
        <v>198</v>
      </c>
      <c r="H137" s="13">
        <v>2347.576</v>
      </c>
      <c r="I137" s="13">
        <v>3944.6039999999998</v>
      </c>
      <c r="J137" s="13" t="s">
        <v>198</v>
      </c>
      <c r="K137" s="13" t="s">
        <v>198</v>
      </c>
      <c r="L137" s="13">
        <v>6267.6139999999996</v>
      </c>
      <c r="M137" s="13">
        <v>0</v>
      </c>
      <c r="N137" s="13">
        <v>0</v>
      </c>
      <c r="O137" s="13">
        <v>6661.1710000000003</v>
      </c>
    </row>
    <row r="138" spans="1:15" x14ac:dyDescent="0.25">
      <c r="A138" s="10" t="s">
        <v>801</v>
      </c>
      <c r="B138" s="10" t="s">
        <v>950</v>
      </c>
      <c r="C138" s="13" t="s">
        <v>198</v>
      </c>
      <c r="D138" s="13" t="s">
        <v>198</v>
      </c>
      <c r="E138" s="13" t="s">
        <v>198</v>
      </c>
      <c r="F138" s="13">
        <v>14.851000000000001</v>
      </c>
      <c r="G138" s="13">
        <v>43.926000000000002</v>
      </c>
      <c r="H138" s="13">
        <v>2593.98</v>
      </c>
      <c r="I138" s="13">
        <v>2182.7159999999999</v>
      </c>
      <c r="J138" s="13">
        <v>169.55099999999999</v>
      </c>
      <c r="K138" s="13">
        <v>70.787999999999997</v>
      </c>
      <c r="L138" s="13">
        <v>72.046999999999997</v>
      </c>
      <c r="M138" s="13">
        <v>13.53</v>
      </c>
      <c r="N138" s="13">
        <v>2.7440000000000002</v>
      </c>
      <c r="O138" s="13" t="s">
        <v>198</v>
      </c>
    </row>
    <row r="139" spans="1:15" x14ac:dyDescent="0.25">
      <c r="A139" s="10" t="s">
        <v>951</v>
      </c>
      <c r="B139" s="10" t="s">
        <v>952</v>
      </c>
      <c r="C139" s="13">
        <v>156.72800000000001</v>
      </c>
      <c r="D139" s="13">
        <v>164.923</v>
      </c>
      <c r="E139" s="13">
        <v>207.48</v>
      </c>
      <c r="F139" s="13">
        <v>11.656000000000001</v>
      </c>
      <c r="G139" s="13">
        <v>12.879</v>
      </c>
      <c r="H139" s="13" t="s">
        <v>198</v>
      </c>
      <c r="I139" s="13" t="s">
        <v>198</v>
      </c>
      <c r="J139" s="13" t="s">
        <v>198</v>
      </c>
      <c r="K139" s="13" t="s">
        <v>198</v>
      </c>
      <c r="L139" s="13" t="s">
        <v>198</v>
      </c>
      <c r="M139" s="13" t="s">
        <v>198</v>
      </c>
      <c r="N139" s="13" t="s">
        <v>198</v>
      </c>
      <c r="O139" s="13" t="s">
        <v>198</v>
      </c>
    </row>
    <row r="140" spans="1:15" x14ac:dyDescent="0.25">
      <c r="A140" s="10" t="s">
        <v>753</v>
      </c>
      <c r="B140" s="10" t="s">
        <v>953</v>
      </c>
      <c r="C140" s="13" t="s">
        <v>198</v>
      </c>
      <c r="D140" s="13" t="s">
        <v>198</v>
      </c>
      <c r="E140" s="13" t="s">
        <v>198</v>
      </c>
      <c r="F140" s="13" t="s">
        <v>198</v>
      </c>
      <c r="G140" s="13" t="s">
        <v>198</v>
      </c>
      <c r="H140" s="13" t="s">
        <v>198</v>
      </c>
      <c r="I140" s="13" t="s">
        <v>198</v>
      </c>
      <c r="J140" s="13">
        <v>291.88200000000001</v>
      </c>
      <c r="K140" s="13">
        <v>933.39700000000005</v>
      </c>
      <c r="L140" s="13">
        <v>1290.877</v>
      </c>
      <c r="M140" s="13">
        <v>698.51199999999994</v>
      </c>
      <c r="N140" s="13">
        <v>2561.8820000000001</v>
      </c>
      <c r="O140" s="13" t="s">
        <v>198</v>
      </c>
    </row>
    <row r="141" spans="1:15" x14ac:dyDescent="0.25">
      <c r="A141" s="10" t="s">
        <v>954</v>
      </c>
      <c r="B141" s="10" t="s">
        <v>955</v>
      </c>
      <c r="C141" s="13" t="s">
        <v>198</v>
      </c>
      <c r="D141" s="13" t="s">
        <v>198</v>
      </c>
      <c r="E141" s="13">
        <v>45.713999999999999</v>
      </c>
      <c r="F141" s="13">
        <v>53.142000000000003</v>
      </c>
      <c r="G141" s="13">
        <v>48.311</v>
      </c>
      <c r="H141" s="13">
        <v>48.182000000000002</v>
      </c>
      <c r="I141" s="13">
        <v>46.131</v>
      </c>
      <c r="J141" s="13">
        <v>48.832999999999998</v>
      </c>
      <c r="K141" s="13">
        <v>102.363</v>
      </c>
      <c r="L141" s="13">
        <v>96.286000000000001</v>
      </c>
      <c r="M141" s="13">
        <v>84.012</v>
      </c>
      <c r="N141" s="13" t="s">
        <v>198</v>
      </c>
      <c r="O141" s="13">
        <v>23.364000000000001</v>
      </c>
    </row>
    <row r="142" spans="1:15" x14ac:dyDescent="0.25">
      <c r="A142" s="10" t="s">
        <v>956</v>
      </c>
      <c r="B142" s="10" t="s">
        <v>957</v>
      </c>
      <c r="C142" s="13" t="s">
        <v>198</v>
      </c>
      <c r="D142" s="13" t="s">
        <v>198</v>
      </c>
      <c r="E142" s="13" t="s">
        <v>198</v>
      </c>
      <c r="F142" s="13">
        <v>28022.465</v>
      </c>
      <c r="G142" s="13">
        <v>46931.232000000004</v>
      </c>
      <c r="H142" s="13">
        <v>47805.021999999997</v>
      </c>
      <c r="I142" s="13">
        <v>48519.582999999999</v>
      </c>
      <c r="J142" s="13">
        <v>54666.425999999999</v>
      </c>
      <c r="K142" s="13">
        <v>58350.546999999999</v>
      </c>
      <c r="L142" s="13" t="s">
        <v>198</v>
      </c>
      <c r="M142" s="13">
        <v>57503.887000000002</v>
      </c>
      <c r="N142" s="13">
        <v>66722.936000000002</v>
      </c>
      <c r="O142" s="13">
        <v>70223.933000000005</v>
      </c>
    </row>
    <row r="143" spans="1:15" x14ac:dyDescent="0.25">
      <c r="A143" s="10" t="s">
        <v>958</v>
      </c>
      <c r="B143" s="10" t="s">
        <v>959</v>
      </c>
      <c r="C143" s="13" t="s">
        <v>198</v>
      </c>
      <c r="D143" s="13">
        <v>630.16999999999996</v>
      </c>
      <c r="E143" s="13">
        <v>8490.2060000000001</v>
      </c>
      <c r="F143" s="13">
        <v>10259.984</v>
      </c>
      <c r="G143" s="13">
        <v>9828.8340000000007</v>
      </c>
      <c r="H143" s="13">
        <v>9745.0139999999992</v>
      </c>
      <c r="I143" s="13">
        <v>0</v>
      </c>
      <c r="J143" s="13" t="s">
        <v>198</v>
      </c>
      <c r="K143" s="13" t="s">
        <v>198</v>
      </c>
      <c r="L143" s="13" t="s">
        <v>198</v>
      </c>
      <c r="M143" s="13" t="s">
        <v>198</v>
      </c>
      <c r="N143" s="13" t="s">
        <v>198</v>
      </c>
      <c r="O143" s="13">
        <v>18884.133000000002</v>
      </c>
    </row>
    <row r="144" spans="1:15" x14ac:dyDescent="0.25">
      <c r="A144" s="10" t="s">
        <v>960</v>
      </c>
      <c r="B144" s="10" t="s">
        <v>961</v>
      </c>
      <c r="C144" s="13" t="s">
        <v>198</v>
      </c>
      <c r="D144" s="13" t="s">
        <v>198</v>
      </c>
      <c r="E144" s="13" t="s">
        <v>198</v>
      </c>
      <c r="F144" s="13">
        <v>223.696</v>
      </c>
      <c r="G144" s="13">
        <v>249.17599999999999</v>
      </c>
      <c r="H144" s="13">
        <v>280.39800000000002</v>
      </c>
      <c r="I144" s="13">
        <v>332.61700000000002</v>
      </c>
      <c r="J144" s="13">
        <v>361.399</v>
      </c>
      <c r="K144" s="13">
        <v>373.012</v>
      </c>
      <c r="L144" s="13" t="s">
        <v>198</v>
      </c>
      <c r="M144" s="13">
        <v>490.18299999999999</v>
      </c>
      <c r="N144" s="13">
        <v>537.39499999999998</v>
      </c>
      <c r="O144" s="13" t="s">
        <v>198</v>
      </c>
    </row>
    <row r="145" spans="1:15" x14ac:dyDescent="0.25">
      <c r="A145" s="10" t="s">
        <v>962</v>
      </c>
      <c r="B145" s="10" t="s">
        <v>963</v>
      </c>
      <c r="C145" s="13" t="s">
        <v>198</v>
      </c>
      <c r="D145" s="13" t="s">
        <v>198</v>
      </c>
      <c r="E145" s="13" t="s">
        <v>198</v>
      </c>
      <c r="F145" s="13" t="s">
        <v>198</v>
      </c>
      <c r="G145" s="13" t="s">
        <v>198</v>
      </c>
      <c r="H145" s="13">
        <v>1903.2809999999999</v>
      </c>
      <c r="I145" s="13">
        <v>2007.884</v>
      </c>
      <c r="J145" s="13" t="s">
        <v>198</v>
      </c>
      <c r="K145" s="13" t="s">
        <v>198</v>
      </c>
      <c r="L145" s="13">
        <v>2389.0639999999999</v>
      </c>
      <c r="M145" s="13" t="s">
        <v>198</v>
      </c>
      <c r="N145" s="13" t="s">
        <v>198</v>
      </c>
      <c r="O145" s="13">
        <v>6013.1509999999998</v>
      </c>
    </row>
    <row r="146" spans="1:15" x14ac:dyDescent="0.25">
      <c r="A146" s="10" t="s">
        <v>964</v>
      </c>
      <c r="B146" s="10" t="s">
        <v>965</v>
      </c>
      <c r="C146" s="13" t="s">
        <v>198</v>
      </c>
      <c r="D146" s="13" t="s">
        <v>198</v>
      </c>
      <c r="E146" s="13">
        <v>45.713999999999999</v>
      </c>
      <c r="F146" s="13">
        <v>53.142000000000003</v>
      </c>
      <c r="G146" s="13">
        <v>48.311</v>
      </c>
      <c r="H146" s="13">
        <v>48.182000000000002</v>
      </c>
      <c r="I146" s="13">
        <v>46.131</v>
      </c>
      <c r="J146" s="13">
        <v>48.832999999999998</v>
      </c>
      <c r="K146" s="13">
        <v>102.363</v>
      </c>
      <c r="L146" s="13" t="s">
        <v>198</v>
      </c>
      <c r="M146" s="13">
        <v>1863.9469999999999</v>
      </c>
      <c r="N146" s="13">
        <v>3250.18</v>
      </c>
      <c r="O146" s="13">
        <v>99.224000000000004</v>
      </c>
    </row>
    <row r="147" spans="1:15" x14ac:dyDescent="0.25">
      <c r="A147" s="10" t="s">
        <v>966</v>
      </c>
      <c r="B147" s="10" t="s">
        <v>967</v>
      </c>
      <c r="C147" s="13" t="s">
        <v>198</v>
      </c>
      <c r="D147" s="13" t="s">
        <v>198</v>
      </c>
      <c r="E147" s="13" t="s">
        <v>198</v>
      </c>
      <c r="F147" s="13" t="s">
        <v>198</v>
      </c>
      <c r="G147" s="13" t="s">
        <v>198</v>
      </c>
      <c r="H147" s="13" t="s">
        <v>198</v>
      </c>
      <c r="I147" s="13" t="s">
        <v>198</v>
      </c>
      <c r="J147" s="13" t="s">
        <v>198</v>
      </c>
      <c r="K147" s="13" t="s">
        <v>198</v>
      </c>
      <c r="L147" s="13" t="s">
        <v>198</v>
      </c>
      <c r="M147" s="13">
        <v>2538.0079999999998</v>
      </c>
      <c r="N147" s="13" t="s">
        <v>198</v>
      </c>
      <c r="O147" s="13" t="s">
        <v>198</v>
      </c>
    </row>
    <row r="148" spans="1:15" x14ac:dyDescent="0.25">
      <c r="A148" s="10" t="s">
        <v>968</v>
      </c>
      <c r="B148" s="10" t="s">
        <v>969</v>
      </c>
      <c r="C148" s="13" t="s">
        <v>198</v>
      </c>
      <c r="D148" s="13" t="s">
        <v>198</v>
      </c>
      <c r="E148" s="13" t="s">
        <v>198</v>
      </c>
      <c r="F148" s="13" t="s">
        <v>198</v>
      </c>
      <c r="G148" s="13" t="s">
        <v>198</v>
      </c>
      <c r="H148" s="13" t="s">
        <v>198</v>
      </c>
      <c r="I148" s="13" t="s">
        <v>198</v>
      </c>
      <c r="J148" s="13">
        <v>9907.0750000000007</v>
      </c>
      <c r="K148" s="13">
        <v>3140.2359999999999</v>
      </c>
      <c r="L148" s="13" t="s">
        <v>198</v>
      </c>
      <c r="M148" s="13" t="s">
        <v>198</v>
      </c>
      <c r="N148" s="13" t="s">
        <v>198</v>
      </c>
      <c r="O148" s="13" t="s">
        <v>198</v>
      </c>
    </row>
    <row r="149" spans="1:15" x14ac:dyDescent="0.25">
      <c r="A149" s="10" t="s">
        <v>970</v>
      </c>
      <c r="B149" s="10" t="s">
        <v>971</v>
      </c>
      <c r="C149" s="13" t="s">
        <v>198</v>
      </c>
      <c r="D149" s="13" t="s">
        <v>198</v>
      </c>
      <c r="E149" s="13">
        <v>8490.2060000000001</v>
      </c>
      <c r="F149" s="13">
        <v>10206.842000000001</v>
      </c>
      <c r="G149" s="13">
        <v>9780.5229999999992</v>
      </c>
      <c r="H149" s="13">
        <v>9745.0139999999992</v>
      </c>
      <c r="I149" s="13">
        <v>9344.6569999999992</v>
      </c>
      <c r="J149" s="13" t="s">
        <v>198</v>
      </c>
      <c r="K149" s="13">
        <v>15355.061</v>
      </c>
      <c r="L149" s="13" t="s">
        <v>198</v>
      </c>
      <c r="M149" s="13">
        <v>10226.19</v>
      </c>
      <c r="N149" s="13">
        <v>23205.584999999999</v>
      </c>
      <c r="O149" s="13">
        <v>18884.133000000002</v>
      </c>
    </row>
    <row r="150" spans="1:15" x14ac:dyDescent="0.25">
      <c r="A150" s="10" t="s">
        <v>972</v>
      </c>
      <c r="B150" s="10" t="s">
        <v>973</v>
      </c>
      <c r="C150" s="13" t="s">
        <v>198</v>
      </c>
      <c r="D150" s="13" t="s">
        <v>198</v>
      </c>
      <c r="E150" s="13">
        <v>8535.92</v>
      </c>
      <c r="F150" s="13">
        <v>10259.984</v>
      </c>
      <c r="G150" s="13">
        <v>9828.8340000000007</v>
      </c>
      <c r="H150" s="13">
        <v>9793.1959999999999</v>
      </c>
      <c r="I150" s="13">
        <v>9390.7880000000005</v>
      </c>
      <c r="J150" s="13">
        <v>9955.9079999999994</v>
      </c>
      <c r="K150" s="13">
        <v>18597.66</v>
      </c>
      <c r="L150" s="13">
        <v>17604.436000000002</v>
      </c>
      <c r="M150" s="13">
        <v>23897.09</v>
      </c>
      <c r="N150" s="13">
        <v>26455.764999999999</v>
      </c>
      <c r="O150" s="13">
        <v>18983.357</v>
      </c>
    </row>
    <row r="151" spans="1:15" x14ac:dyDescent="0.25">
      <c r="A151" s="10" t="s">
        <v>974</v>
      </c>
      <c r="B151" s="10" t="s">
        <v>975</v>
      </c>
      <c r="C151" s="13" t="s">
        <v>198</v>
      </c>
      <c r="D151" s="13" t="s">
        <v>198</v>
      </c>
      <c r="E151" s="13" t="s">
        <v>198</v>
      </c>
      <c r="F151" s="13" t="s">
        <v>198</v>
      </c>
      <c r="G151" s="13">
        <v>63.269399999999997</v>
      </c>
      <c r="H151" s="13">
        <v>7.8596000000000004</v>
      </c>
      <c r="I151" s="13">
        <v>31.513300000000001</v>
      </c>
      <c r="J151" s="13">
        <v>0</v>
      </c>
      <c r="K151" s="13">
        <v>0</v>
      </c>
      <c r="L151" s="13" t="s">
        <v>198</v>
      </c>
      <c r="M151" s="13" t="s">
        <v>198</v>
      </c>
      <c r="N151" s="13" t="s">
        <v>198</v>
      </c>
      <c r="O151" s="13" t="s">
        <v>198</v>
      </c>
    </row>
    <row r="152" spans="1:15" x14ac:dyDescent="0.25">
      <c r="A152" s="10" t="s">
        <v>976</v>
      </c>
      <c r="B152" s="10" t="s">
        <v>977</v>
      </c>
      <c r="C152" s="13">
        <v>11.929</v>
      </c>
      <c r="D152" s="13">
        <v>14.885999999999999</v>
      </c>
      <c r="E152" s="13" t="s">
        <v>198</v>
      </c>
      <c r="F152" s="13" t="s">
        <v>198</v>
      </c>
      <c r="G152" s="13" t="s">
        <v>198</v>
      </c>
      <c r="H152" s="13" t="s">
        <v>198</v>
      </c>
      <c r="I152" s="13" t="s">
        <v>198</v>
      </c>
      <c r="J152" s="13" t="s">
        <v>198</v>
      </c>
      <c r="K152" s="13" t="s">
        <v>198</v>
      </c>
      <c r="L152" s="13" t="s">
        <v>198</v>
      </c>
      <c r="M152" s="13" t="s">
        <v>198</v>
      </c>
      <c r="N152" s="13" t="s">
        <v>198</v>
      </c>
      <c r="O152" s="13" t="s">
        <v>198</v>
      </c>
    </row>
    <row r="153" spans="1:15" x14ac:dyDescent="0.25">
      <c r="A153" s="10" t="s">
        <v>978</v>
      </c>
      <c r="B153" s="10" t="s">
        <v>979</v>
      </c>
      <c r="C153" s="13">
        <v>14.478</v>
      </c>
      <c r="D153" s="13">
        <v>7.8019999999999996</v>
      </c>
      <c r="E153" s="13" t="s">
        <v>198</v>
      </c>
      <c r="F153" s="13" t="s">
        <v>198</v>
      </c>
      <c r="G153" s="13" t="s">
        <v>198</v>
      </c>
      <c r="H153" s="13" t="s">
        <v>198</v>
      </c>
      <c r="I153" s="13" t="s">
        <v>198</v>
      </c>
      <c r="J153" s="13" t="s">
        <v>198</v>
      </c>
      <c r="K153" s="13" t="s">
        <v>198</v>
      </c>
      <c r="L153" s="13" t="s">
        <v>198</v>
      </c>
      <c r="M153" s="13" t="s">
        <v>198</v>
      </c>
      <c r="N153" s="13" t="s">
        <v>198</v>
      </c>
      <c r="O153" s="13" t="s">
        <v>198</v>
      </c>
    </row>
    <row r="154" spans="1:15" x14ac:dyDescent="0.25">
      <c r="A154" s="10" t="s">
        <v>980</v>
      </c>
      <c r="B154" s="10" t="s">
        <v>981</v>
      </c>
      <c r="C154" s="13">
        <v>369.84399999999999</v>
      </c>
      <c r="D154" s="13">
        <v>346.43</v>
      </c>
      <c r="E154" s="13" t="s">
        <v>198</v>
      </c>
      <c r="F154" s="13" t="s">
        <v>198</v>
      </c>
      <c r="G154" s="13" t="s">
        <v>198</v>
      </c>
      <c r="H154" s="13" t="s">
        <v>198</v>
      </c>
      <c r="I154" s="13" t="s">
        <v>198</v>
      </c>
      <c r="J154" s="13" t="s">
        <v>198</v>
      </c>
      <c r="K154" s="13" t="s">
        <v>198</v>
      </c>
      <c r="L154" s="13" t="s">
        <v>198</v>
      </c>
      <c r="M154" s="13" t="s">
        <v>198</v>
      </c>
      <c r="N154" s="13" t="s">
        <v>198</v>
      </c>
      <c r="O154" s="13" t="s">
        <v>198</v>
      </c>
    </row>
    <row r="155" spans="1:15" x14ac:dyDescent="0.25">
      <c r="A155" s="10" t="s">
        <v>982</v>
      </c>
      <c r="B155" s="10" t="s">
        <v>983</v>
      </c>
      <c r="C155" s="13">
        <v>343.43700000000001</v>
      </c>
      <c r="D155" s="13">
        <v>323.74200000000002</v>
      </c>
      <c r="E155" s="13" t="s">
        <v>198</v>
      </c>
      <c r="F155" s="13" t="s">
        <v>198</v>
      </c>
      <c r="G155" s="13" t="s">
        <v>198</v>
      </c>
      <c r="H155" s="13" t="s">
        <v>198</v>
      </c>
      <c r="I155" s="13" t="s">
        <v>198</v>
      </c>
      <c r="J155" s="13" t="s">
        <v>198</v>
      </c>
      <c r="K155" s="13" t="s">
        <v>198</v>
      </c>
      <c r="L155" s="13" t="s">
        <v>198</v>
      </c>
      <c r="M155" s="13" t="s">
        <v>198</v>
      </c>
      <c r="N155" s="13" t="s">
        <v>198</v>
      </c>
      <c r="O155" s="13" t="s">
        <v>198</v>
      </c>
    </row>
    <row r="156" spans="1:15" x14ac:dyDescent="0.25">
      <c r="A156" s="10" t="s">
        <v>984</v>
      </c>
      <c r="B156" s="10" t="s">
        <v>985</v>
      </c>
      <c r="C156" s="13">
        <v>351.76100000000002</v>
      </c>
      <c r="D156" s="13">
        <v>265.37900000000002</v>
      </c>
      <c r="E156" s="13">
        <v>300.17899999999997</v>
      </c>
      <c r="F156" s="13" t="s">
        <v>198</v>
      </c>
      <c r="G156" s="13" t="s">
        <v>198</v>
      </c>
      <c r="H156" s="13" t="s">
        <v>198</v>
      </c>
      <c r="I156" s="13" t="s">
        <v>198</v>
      </c>
      <c r="J156" s="13" t="s">
        <v>198</v>
      </c>
      <c r="K156" s="13" t="s">
        <v>198</v>
      </c>
      <c r="L156" s="13" t="s">
        <v>198</v>
      </c>
      <c r="M156" s="13" t="s">
        <v>198</v>
      </c>
      <c r="N156" s="13" t="s">
        <v>198</v>
      </c>
      <c r="O156" s="13" t="s">
        <v>198</v>
      </c>
    </row>
    <row r="157" spans="1:15" x14ac:dyDescent="0.25">
      <c r="A157" s="7" t="s">
        <v>65</v>
      </c>
      <c r="B157" s="7"/>
      <c r="C157" s="7" t="s">
        <v>4</v>
      </c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99"/>
  <sheetViews>
    <sheetView workbookViewId="0">
      <selection activeCell="I8" sqref="I8"/>
    </sheetView>
  </sheetViews>
  <sheetFormatPr baseColWidth="10" defaultRowHeight="15" x14ac:dyDescent="0.25"/>
  <cols>
    <col min="1" max="1" width="35.140625" customWidth="1"/>
    <col min="2" max="2" width="0" hidden="1" customWidth="1"/>
    <col min="3" max="15" width="11.85546875" customWidth="1"/>
  </cols>
  <sheetData>
    <row r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.25" x14ac:dyDescent="0.25">
      <c r="A2" s="8" t="s">
        <v>986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3" t="s">
        <v>67</v>
      </c>
      <c r="B4" s="3"/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</row>
    <row r="5" spans="1:15" x14ac:dyDescent="0.25">
      <c r="A5" s="9" t="s">
        <v>21</v>
      </c>
      <c r="B5" s="9"/>
      <c r="C5" s="5" t="s">
        <v>22</v>
      </c>
      <c r="D5" s="5" t="s">
        <v>23</v>
      </c>
      <c r="E5" s="5" t="s">
        <v>24</v>
      </c>
      <c r="F5" s="5" t="s">
        <v>25</v>
      </c>
      <c r="G5" s="5" t="s">
        <v>26</v>
      </c>
      <c r="H5" s="5" t="s">
        <v>27</v>
      </c>
      <c r="I5" s="5" t="s">
        <v>28</v>
      </c>
      <c r="J5" s="5" t="s">
        <v>29</v>
      </c>
      <c r="K5" s="5" t="s">
        <v>30</v>
      </c>
      <c r="L5" s="5" t="s">
        <v>31</v>
      </c>
      <c r="M5" s="5" t="s">
        <v>32</v>
      </c>
      <c r="N5" s="5" t="s">
        <v>33</v>
      </c>
      <c r="O5" s="5" t="s">
        <v>34</v>
      </c>
    </row>
    <row r="6" spans="1:15" x14ac:dyDescent="0.25">
      <c r="A6" s="6" t="s">
        <v>83</v>
      </c>
      <c r="B6" s="6" t="s">
        <v>84</v>
      </c>
      <c r="C6" s="19" cm="1">
        <f t="array" ref="C6">_xll.BDH("CUERVO* MM Equity","BS_TOT_ASSET","FY 2013","FY 2013","Currency=MXN","Period=FY","BEST_FPERIOD_OVERRIDE=FY","FILING_STATUS=MR","SCALING_FORMAT=MLN","Sort=A","Dates=H","DateFormat=P","Fill=—","Direction=H","UseDPDF=Y")</f>
        <v>21205.392</v>
      </c>
      <c r="D6" s="19" cm="1">
        <f t="array" ref="D6">_xll.BDH("CUERVO* MM Equity","BS_TOT_ASSET","FY 2014","FY 2014","Currency=MXN","Period=FY","BEST_FPERIOD_OVERRIDE=FY","FILING_STATUS=MR","SCALING_FORMAT=MLN","Sort=A","Dates=H","DateFormat=P","Fill=—","Direction=H","UseDPDF=Y")</f>
        <v>24723.776000000002</v>
      </c>
      <c r="E6" s="19" cm="1">
        <f t="array" ref="E6">_xll.BDH("CUERVO* MM Equity","BS_TOT_ASSET","FY 2015","FY 2015","Currency=MXN","Period=FY","BEST_FPERIOD_OVERRIDE=FY","FILING_STATUS=MR","SCALING_FORMAT=MLN","Sort=A","Dates=H","DateFormat=P","Fill=—","Direction=H","UseDPDF=Y")</f>
        <v>38636.499000000003</v>
      </c>
      <c r="F6" s="19" cm="1">
        <f t="array" ref="F6">_xll.BDH("CUERVO* MM Equity","BS_TOT_ASSET","FY 2016","FY 2016","Currency=MXN","Period=FY","BEST_FPERIOD_OVERRIDE=FY","FILING_STATUS=MR","SCALING_FORMAT=MLN","Sort=A","Dates=H","DateFormat=P","Fill=—","Direction=H","UseDPDF=Y")</f>
        <v>45687.947</v>
      </c>
      <c r="G6" s="19" cm="1">
        <f t="array" ref="G6">_xll.BDH("CUERVO* MM Equity","BS_TOT_ASSET","FY 2017","FY 2017","Currency=MXN","Period=FY","BEST_FPERIOD_OVERRIDE=FY","FILING_STATUS=MR","SCALING_FORMAT=MLN","Sort=A","Dates=H","DateFormat=P","Fill=—","Direction=H","UseDPDF=Y")</f>
        <v>64932.656000000003</v>
      </c>
      <c r="H6" s="19" cm="1">
        <f t="array" ref="H6">_xll.BDH("CUERVO* MM Equity","BS_TOT_ASSET","FY 2018","FY 2018","Currency=MXN","Period=FY","BEST_FPERIOD_OVERRIDE=FY","FILING_STATUS=MR","SCALING_FORMAT=MLN","Sort=A","Dates=H","DateFormat=P","Fill=—","Direction=H","UseDPDF=Y")</f>
        <v>66711.388999999996</v>
      </c>
      <c r="I6" s="19" cm="1">
        <f t="array" ref="I6">_xll.BDH("CUERVO* MM Equity","BS_TOT_ASSET","FY 2019","FY 2019","Currency=MXN","Period=FY","BEST_FPERIOD_OVERRIDE=FY","FILING_STATUS=MR","SCALING_FORMAT=MLN","Sort=A","Dates=H","DateFormat=P","Fill=—","Direction=H","UseDPDF=Y")</f>
        <v>70724.933999999994</v>
      </c>
      <c r="J6" s="19" cm="1">
        <f t="array" ref="J6">_xll.BDH("CUERVO* MM Equity","BS_TOT_ASSET","FY 2020","FY 2020","Currency=MXN","Period=FY","BEST_FPERIOD_OVERRIDE=FY","FILING_STATUS=MR","SCALING_FORMAT=MLN","Sort=A","Dates=H","DateFormat=P","Fill=—","Direction=H","UseDPDF=Y")</f>
        <v>81581.668000000005</v>
      </c>
      <c r="K6" s="19" cm="1">
        <f t="array" ref="K6">_xll.BDH("CUERVO* MM Equity","BS_TOT_ASSET","FY 2021","FY 2021","Currency=MXN","Period=FY","BEST_FPERIOD_OVERRIDE=FY","FILING_STATUS=MR","SCALING_FORMAT=MLN","Sort=A","Dates=H","DateFormat=P","Fill=—","Direction=H","UseDPDF=Y")</f>
        <v>95539.567999999999</v>
      </c>
      <c r="L6" s="19" cm="1">
        <f t="array" ref="L6">_xll.BDH("CUERVO* MM Equity","BS_TOT_ASSET","FY 2022","FY 2022","Currency=MXN","Period=FY","BEST_FPERIOD_OVERRIDE=FY","FILING_STATUS=MR","SCALING_FORMAT=MLN","Sort=A","Dates=H","DateFormat=P","Fill=—","Direction=H","UseDPDF=Y")</f>
        <v>97866.145000000004</v>
      </c>
      <c r="M6" s="19" cm="1">
        <f t="array" ref="M6">_xll.BDH("CUERVO* MM Equity","BS_TOT_ASSET","FY 2023","FY 2023","Currency=MXN","Period=FY","BEST_FPERIOD_OVERRIDE=FY","FILING_STATUS=MR","SCALING_FORMAT=MLN","Sort=A","Dates=H","DateFormat=P","Fill=—","Direction=H","UseDPDF=Y")</f>
        <v>99224.942999999999</v>
      </c>
      <c r="N6" s="19" cm="1">
        <f t="array" ref="N6">_xll.BDH("CUERVO* MM Equity","BS_TOT_ASSET","FY 2024","FY 2024","Currency=MXN","Period=FY","BEST_FPERIOD_OVERRIDE=FY","FILING_STATUS=MR","SCALING_FORMAT=MLN","Sort=A","Dates=H","DateFormat=P","Fill=—","Direction=H","UseDPDF=Y")</f>
        <v>112370.59</v>
      </c>
      <c r="O6" s="19" cm="1">
        <f t="array" ref="O6">_xll.BDH("CUERVO* MM Equity","BS_TOT_ASSET","FY 2025","FY 2025","Currency=MXN","Period=FY","BEST_FPERIOD_OVERRIDE=FY","FILING_STATUS=MR","SCALING_FORMAT=MLN","Sort=A","Dates=H","DateFormat=P","Fill=—","Direction=H","UseDPDF=Y")</f>
        <v>106103.724</v>
      </c>
    </row>
    <row r="7" spans="1:15" x14ac:dyDescent="0.25">
      <c r="A7" s="6" t="s">
        <v>83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</row>
    <row r="8" spans="1:15" x14ac:dyDescent="0.25">
      <c r="A8" s="10" t="s">
        <v>567</v>
      </c>
      <c r="B8" s="10" t="s">
        <v>568</v>
      </c>
      <c r="C8" s="13">
        <v>11.183891342352901</v>
      </c>
      <c r="D8" s="13">
        <v>16.817257202136101</v>
      </c>
      <c r="E8" s="13">
        <v>10.7136570526227</v>
      </c>
      <c r="F8" s="13">
        <v>11.2242666539602</v>
      </c>
      <c r="G8" s="13">
        <v>30.794814553712399</v>
      </c>
      <c r="H8" s="13">
        <v>18.0298014781254</v>
      </c>
      <c r="I8" s="13">
        <v>13.613542573259901</v>
      </c>
      <c r="J8" s="13">
        <v>9.7449061718130103</v>
      </c>
      <c r="K8" s="13">
        <v>13.388466441464301</v>
      </c>
      <c r="L8" s="13">
        <v>4.6194105224028199</v>
      </c>
      <c r="M8" s="13">
        <v>6.4164007632637299</v>
      </c>
      <c r="N8" s="13">
        <v>9.5082788120984301</v>
      </c>
      <c r="O8" s="13">
        <v>10.4735909175063</v>
      </c>
    </row>
    <row r="9" spans="1:15" x14ac:dyDescent="0.25">
      <c r="A9" s="10" t="s">
        <v>569</v>
      </c>
      <c r="B9" s="10" t="s">
        <v>570</v>
      </c>
      <c r="C9" s="13">
        <v>11.183891342352901</v>
      </c>
      <c r="D9" s="13">
        <v>16.817257202136101</v>
      </c>
      <c r="E9" s="13">
        <v>10.7136570526227</v>
      </c>
      <c r="F9" s="13">
        <v>11.2242666539602</v>
      </c>
      <c r="G9" s="13">
        <v>30.794814553712399</v>
      </c>
      <c r="H9" s="13">
        <v>18.0298014781254</v>
      </c>
      <c r="I9" s="13">
        <v>13.613542573259901</v>
      </c>
      <c r="J9" s="13">
        <v>9.3725933625186499</v>
      </c>
      <c r="K9" s="13">
        <v>13.388466441464301</v>
      </c>
      <c r="L9" s="13">
        <v>4.6194105224028199</v>
      </c>
      <c r="M9" s="13">
        <v>6.4164007632637299</v>
      </c>
      <c r="N9" s="13">
        <v>9.5082788120984301</v>
      </c>
      <c r="O9" s="13">
        <v>10.4735909175063</v>
      </c>
    </row>
    <row r="10" spans="1:15" x14ac:dyDescent="0.25">
      <c r="A10" s="10" t="s">
        <v>571</v>
      </c>
      <c r="B10" s="10" t="s">
        <v>572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0.372312809294363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 spans="1:15" x14ac:dyDescent="0.25">
      <c r="A11" s="10" t="s">
        <v>573</v>
      </c>
      <c r="B11" s="10" t="s">
        <v>574</v>
      </c>
      <c r="C11" s="13">
        <v>16.010960797140701</v>
      </c>
      <c r="D11" s="13">
        <v>17.893407544219802</v>
      </c>
      <c r="E11" s="13">
        <v>13.938361754774901</v>
      </c>
      <c r="F11" s="13">
        <v>14.432618300839801</v>
      </c>
      <c r="G11" s="13">
        <v>11.5210780843463</v>
      </c>
      <c r="H11" s="13">
        <v>12.941255053166399</v>
      </c>
      <c r="I11" s="13">
        <v>13.2884295091742</v>
      </c>
      <c r="J11" s="13">
        <v>11.2938546439134</v>
      </c>
      <c r="K11" s="13">
        <v>10.764289828063699</v>
      </c>
      <c r="L11" s="13">
        <v>12.0691869491743</v>
      </c>
      <c r="M11" s="13">
        <v>11.3167563119689</v>
      </c>
      <c r="N11" s="13">
        <v>10.712477348387999</v>
      </c>
      <c r="O11" s="13">
        <v>11.0051057208887</v>
      </c>
    </row>
    <row r="12" spans="1:15" x14ac:dyDescent="0.25">
      <c r="A12" s="10" t="s">
        <v>575</v>
      </c>
      <c r="B12" s="10" t="s">
        <v>576</v>
      </c>
      <c r="C12" s="13">
        <v>16.010960797140701</v>
      </c>
      <c r="D12" s="13">
        <v>17.893407544219802</v>
      </c>
      <c r="E12" s="13">
        <v>13.938361754774901</v>
      </c>
      <c r="F12" s="13">
        <v>14.432618300839801</v>
      </c>
      <c r="G12" s="13">
        <v>11.5210780843463</v>
      </c>
      <c r="H12" s="13">
        <v>12.941255053166399</v>
      </c>
      <c r="I12" s="13">
        <v>13.2884295091742</v>
      </c>
      <c r="J12" s="13">
        <v>11.2938546439134</v>
      </c>
      <c r="K12" s="13">
        <v>10.764289828063699</v>
      </c>
      <c r="L12" s="13">
        <v>12.0691869491743</v>
      </c>
      <c r="M12" s="13">
        <v>11.3167563119689</v>
      </c>
      <c r="N12" s="13">
        <v>10.712477348387999</v>
      </c>
      <c r="O12" s="13">
        <v>11.0051057208887</v>
      </c>
    </row>
    <row r="13" spans="1:15" x14ac:dyDescent="0.25">
      <c r="A13" s="10" t="s">
        <v>577</v>
      </c>
      <c r="B13" s="10" t="s">
        <v>578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</row>
    <row r="14" spans="1:15" x14ac:dyDescent="0.25">
      <c r="A14" s="10" t="s">
        <v>579</v>
      </c>
      <c r="B14" s="10" t="s">
        <v>580</v>
      </c>
      <c r="C14" s="13">
        <v>15.2666453890595</v>
      </c>
      <c r="D14" s="13">
        <v>15.6397914299175</v>
      </c>
      <c r="E14" s="13">
        <v>11.2642685353039</v>
      </c>
      <c r="F14" s="13">
        <v>13.0070169272434</v>
      </c>
      <c r="G14" s="13">
        <v>11.425674625107</v>
      </c>
      <c r="H14" s="13">
        <v>12.2353156220447</v>
      </c>
      <c r="I14" s="13">
        <v>14.639087538773801</v>
      </c>
      <c r="J14" s="13">
        <v>14.0787805417266</v>
      </c>
      <c r="K14" s="13">
        <v>13.6352144694646</v>
      </c>
      <c r="L14" s="13">
        <v>19.9751395132607</v>
      </c>
      <c r="M14" s="13">
        <v>17.067420235252701</v>
      </c>
      <c r="N14" s="13">
        <v>14.151846136965201</v>
      </c>
      <c r="O14" s="13">
        <v>12.9120632938388</v>
      </c>
    </row>
    <row r="15" spans="1:15" x14ac:dyDescent="0.25">
      <c r="A15" s="10" t="s">
        <v>581</v>
      </c>
      <c r="B15" s="10" t="s">
        <v>582</v>
      </c>
      <c r="C15" s="13">
        <v>2.5810322204843001</v>
      </c>
      <c r="D15" s="13">
        <v>0.69542370874092996</v>
      </c>
      <c r="E15" s="13">
        <v>0.50420717467180398</v>
      </c>
      <c r="F15" s="13">
        <v>0.55220690918766802</v>
      </c>
      <c r="G15" s="13">
        <v>0.34615864165482502</v>
      </c>
      <c r="H15" s="13">
        <v>0.28157411023176299</v>
      </c>
      <c r="I15" s="13">
        <v>0.24507905514623701</v>
      </c>
      <c r="J15" s="13">
        <v>1.5414259487805499</v>
      </c>
      <c r="K15" s="13">
        <v>1.42360283647085</v>
      </c>
      <c r="L15" s="13">
        <v>0.183034694990796</v>
      </c>
      <c r="M15" s="13">
        <v>1.8785830897378299</v>
      </c>
      <c r="N15" s="13">
        <v>1.24283764995805</v>
      </c>
      <c r="O15" s="13">
        <v>0.102748514274579</v>
      </c>
    </row>
    <row r="16" spans="1:15" x14ac:dyDescent="0.25">
      <c r="A16" s="10" t="s">
        <v>583</v>
      </c>
      <c r="B16" s="10" t="s">
        <v>584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 t="s">
        <v>198</v>
      </c>
      <c r="O16" s="13">
        <v>0</v>
      </c>
    </row>
    <row r="17" spans="1:15" x14ac:dyDescent="0.25">
      <c r="A17" s="10" t="s">
        <v>585</v>
      </c>
      <c r="B17" s="10" t="s">
        <v>586</v>
      </c>
      <c r="C17" s="13">
        <v>9.3068215857551699</v>
      </c>
      <c r="D17" s="13">
        <v>11.6393749886749</v>
      </c>
      <c r="E17" s="13">
        <v>8.7382969145315208</v>
      </c>
      <c r="F17" s="13">
        <v>4.1379075317172802</v>
      </c>
      <c r="G17" s="13">
        <v>5.3070907803309302</v>
      </c>
      <c r="H17" s="13">
        <v>4.7768080499718</v>
      </c>
      <c r="I17" s="13">
        <v>5.9130376848425197</v>
      </c>
      <c r="J17" s="13">
        <v>5.4767438684877101</v>
      </c>
      <c r="K17" s="13">
        <v>5.0601149881690901</v>
      </c>
      <c r="L17" s="13">
        <v>6.3449142704047397</v>
      </c>
      <c r="M17" s="13">
        <v>6.2577158648506401</v>
      </c>
      <c r="N17" s="13">
        <v>5.1577988511050803</v>
      </c>
      <c r="O17" s="13">
        <v>5.0658683761184502</v>
      </c>
    </row>
    <row r="18" spans="1:15" x14ac:dyDescent="0.25">
      <c r="A18" s="10" t="s">
        <v>587</v>
      </c>
      <c r="B18" s="10" t="s">
        <v>588</v>
      </c>
      <c r="C18" s="13">
        <v>3.3787915828200701</v>
      </c>
      <c r="D18" s="13">
        <v>3.3049927325017001</v>
      </c>
      <c r="E18" s="13">
        <v>2.0217644461005602</v>
      </c>
      <c r="F18" s="13">
        <v>8.3169024863384706</v>
      </c>
      <c r="G18" s="13">
        <v>5.7724252031212204</v>
      </c>
      <c r="H18" s="13">
        <v>7.1769334618411298</v>
      </c>
      <c r="I18" s="13">
        <v>8.4809707987850498</v>
      </c>
      <c r="J18" s="13">
        <v>7.06061072445834</v>
      </c>
      <c r="K18" s="13">
        <v>7.1514966448246904</v>
      </c>
      <c r="L18" s="13">
        <v>13.4471905478651</v>
      </c>
      <c r="M18" s="13">
        <v>8.9311212806642803</v>
      </c>
      <c r="N18" s="13">
        <v>7.7512096359020601</v>
      </c>
      <c r="O18" s="13">
        <v>7.7434464034457404</v>
      </c>
    </row>
    <row r="19" spans="1:15" x14ac:dyDescent="0.25">
      <c r="A19" s="10" t="s">
        <v>589</v>
      </c>
      <c r="B19" s="10" t="s">
        <v>590</v>
      </c>
      <c r="C19" s="13">
        <v>12.0216216705638</v>
      </c>
      <c r="D19" s="13">
        <v>8.7348874217271693</v>
      </c>
      <c r="E19" s="13">
        <v>3.0777840404224999</v>
      </c>
      <c r="F19" s="13">
        <v>4.5097605283073898</v>
      </c>
      <c r="G19" s="13">
        <v>2.6207398631591499</v>
      </c>
      <c r="H19" s="13">
        <v>3.6049706595076301</v>
      </c>
      <c r="I19" s="13">
        <v>3.2099358339450701</v>
      </c>
      <c r="J19" s="13">
        <v>3.6496973805438699</v>
      </c>
      <c r="K19" s="13">
        <v>2.1528054219378499</v>
      </c>
      <c r="L19" s="13">
        <v>3.6804269750279799</v>
      </c>
      <c r="M19" s="13">
        <v>3.5909388227111401</v>
      </c>
      <c r="N19" s="13">
        <v>2.8324439695475498</v>
      </c>
      <c r="O19" s="13">
        <v>3.5301154934015302</v>
      </c>
    </row>
    <row r="20" spans="1:15" x14ac:dyDescent="0.25">
      <c r="A20" s="10" t="s">
        <v>591</v>
      </c>
      <c r="B20" s="10" t="s">
        <v>592</v>
      </c>
      <c r="C20" s="13">
        <v>1.3861380162177599</v>
      </c>
      <c r="D20" s="13">
        <v>1.3792432029799999</v>
      </c>
      <c r="E20" s="13">
        <v>1.1398988298603301</v>
      </c>
      <c r="F20" s="13">
        <v>0</v>
      </c>
      <c r="G20" s="13">
        <v>1.0458497185145199</v>
      </c>
      <c r="H20" s="13">
        <v>1.2060339502150099</v>
      </c>
      <c r="I20" s="13">
        <v>1.2031145903932601</v>
      </c>
      <c r="J20" s="13">
        <v>1.2314580280462</v>
      </c>
      <c r="K20" s="13">
        <v>1.12711102064016</v>
      </c>
      <c r="L20" s="13">
        <v>3.2611635004117101</v>
      </c>
      <c r="M20" s="13">
        <v>0.95182417993427304</v>
      </c>
      <c r="N20" s="13">
        <v>0.98466333584259003</v>
      </c>
      <c r="O20" s="13">
        <v>1.86327013366656</v>
      </c>
    </row>
    <row r="21" spans="1:15" x14ac:dyDescent="0.25">
      <c r="A21" s="10" t="s">
        <v>593</v>
      </c>
      <c r="B21" s="10" t="s">
        <v>594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 t="s">
        <v>198</v>
      </c>
      <c r="I21" s="13" t="s">
        <v>198</v>
      </c>
      <c r="J21" s="13" t="s">
        <v>198</v>
      </c>
      <c r="K21" s="13" t="s">
        <v>198</v>
      </c>
      <c r="L21" s="13" t="s">
        <v>198</v>
      </c>
      <c r="M21" s="13" t="s">
        <v>198</v>
      </c>
      <c r="N21" s="13">
        <v>0</v>
      </c>
      <c r="O21" s="13" t="s">
        <v>198</v>
      </c>
    </row>
    <row r="22" spans="1:15" x14ac:dyDescent="0.25">
      <c r="A22" s="10" t="s">
        <v>595</v>
      </c>
      <c r="B22" s="10" t="s">
        <v>596</v>
      </c>
      <c r="C22" s="13">
        <v>0</v>
      </c>
      <c r="D22" s="13">
        <v>4.89383175126647</v>
      </c>
      <c r="E22" s="13">
        <v>0</v>
      </c>
      <c r="F22" s="13">
        <v>0</v>
      </c>
      <c r="G22" s="13" t="s">
        <v>198</v>
      </c>
      <c r="H22" s="13" t="s">
        <v>198</v>
      </c>
      <c r="I22" s="13" t="s">
        <v>198</v>
      </c>
      <c r="J22" s="13">
        <v>0</v>
      </c>
      <c r="K22" s="13">
        <v>0</v>
      </c>
      <c r="L22" s="13" t="s">
        <v>198</v>
      </c>
      <c r="M22" s="13" t="s">
        <v>198</v>
      </c>
      <c r="N22" s="13" t="s">
        <v>198</v>
      </c>
      <c r="O22" s="13" t="s">
        <v>198</v>
      </c>
    </row>
    <row r="23" spans="1:15" x14ac:dyDescent="0.25">
      <c r="A23" s="10" t="s">
        <v>597</v>
      </c>
      <c r="B23" s="10" t="s">
        <v>598</v>
      </c>
      <c r="C23" s="13" t="s">
        <v>198</v>
      </c>
      <c r="D23" s="13" t="s">
        <v>198</v>
      </c>
      <c r="E23" s="13" t="s">
        <v>198</v>
      </c>
      <c r="F23" s="13">
        <v>2.3441412239425001</v>
      </c>
      <c r="G23" s="13" t="s">
        <v>198</v>
      </c>
      <c r="H23" s="13">
        <v>0</v>
      </c>
      <c r="I23" s="13">
        <v>0</v>
      </c>
      <c r="J23" s="13">
        <v>0.76537415243826601</v>
      </c>
      <c r="K23" s="13">
        <v>0</v>
      </c>
      <c r="L23" s="13">
        <v>0</v>
      </c>
      <c r="M23" s="13" t="s">
        <v>198</v>
      </c>
      <c r="N23" s="13" t="s">
        <v>198</v>
      </c>
      <c r="O23" s="13" t="s">
        <v>198</v>
      </c>
    </row>
    <row r="24" spans="1:15" x14ac:dyDescent="0.25">
      <c r="A24" s="10" t="s">
        <v>599</v>
      </c>
      <c r="B24" s="10" t="s">
        <v>600</v>
      </c>
      <c r="C24" s="13">
        <v>10.635483654346</v>
      </c>
      <c r="D24" s="13">
        <v>2.4618124674807</v>
      </c>
      <c r="E24" s="13">
        <v>1.93788521056217</v>
      </c>
      <c r="F24" s="13">
        <v>2.1656193043648901</v>
      </c>
      <c r="G24" s="13">
        <v>1.57489014464463</v>
      </c>
      <c r="H24" s="13">
        <v>2.3989367092926202</v>
      </c>
      <c r="I24" s="13">
        <v>2.0068212435518098</v>
      </c>
      <c r="J24" s="13">
        <v>1.65286520005941</v>
      </c>
      <c r="K24" s="13">
        <v>1.0256944012976901</v>
      </c>
      <c r="L24" s="13">
        <v>0.419263474616273</v>
      </c>
      <c r="M24" s="13">
        <v>2.6391146427768701</v>
      </c>
      <c r="N24" s="13">
        <v>1.84778063370496</v>
      </c>
      <c r="O24" s="13">
        <v>1.6668453597349699</v>
      </c>
    </row>
    <row r="25" spans="1:15" x14ac:dyDescent="0.25">
      <c r="A25" s="6" t="s">
        <v>81</v>
      </c>
      <c r="B25" s="6" t="s">
        <v>82</v>
      </c>
      <c r="C25" s="19">
        <v>54.483119199116899</v>
      </c>
      <c r="D25" s="19">
        <v>59.085343598000598</v>
      </c>
      <c r="E25" s="19">
        <v>38.994071383124002</v>
      </c>
      <c r="F25" s="19">
        <v>43.173662410350801</v>
      </c>
      <c r="G25" s="19">
        <v>56.362307126324801</v>
      </c>
      <c r="H25" s="19">
        <v>46.811342812844103</v>
      </c>
      <c r="I25" s="19">
        <v>44.750995455153102</v>
      </c>
      <c r="J25" s="19">
        <v>38.767238737996898</v>
      </c>
      <c r="K25" s="19">
        <v>39.940776160930497</v>
      </c>
      <c r="L25" s="19">
        <v>40.344163959865803</v>
      </c>
      <c r="M25" s="19">
        <v>38.391516133196497</v>
      </c>
      <c r="N25" s="19">
        <v>37.205046266999197</v>
      </c>
      <c r="O25" s="19">
        <v>37.920875425635401</v>
      </c>
    </row>
    <row r="26" spans="1:15" x14ac:dyDescent="0.25">
      <c r="A26" s="10" t="s">
        <v>601</v>
      </c>
      <c r="B26" s="10" t="s">
        <v>602</v>
      </c>
      <c r="C26" s="13">
        <v>8.1557275621219407</v>
      </c>
      <c r="D26" s="13">
        <v>9.4745923923594795</v>
      </c>
      <c r="E26" s="13">
        <v>10.3445138753384</v>
      </c>
      <c r="F26" s="13">
        <v>10.157166834395101</v>
      </c>
      <c r="G26" s="13">
        <v>8.1322393465623808</v>
      </c>
      <c r="H26" s="13">
        <v>8.2539204812539602</v>
      </c>
      <c r="I26" s="13">
        <v>12.712413418441599</v>
      </c>
      <c r="J26" s="13">
        <v>15.3481269836258</v>
      </c>
      <c r="K26" s="13">
        <v>14.890345746591599</v>
      </c>
      <c r="L26" s="13">
        <v>17.117772443167102</v>
      </c>
      <c r="M26" s="13">
        <v>18.701327951380101</v>
      </c>
      <c r="N26" s="13">
        <v>17.886592924358599</v>
      </c>
      <c r="O26" s="13">
        <v>18.163771518518999</v>
      </c>
    </row>
    <row r="27" spans="1:15" x14ac:dyDescent="0.25">
      <c r="A27" s="10" t="s">
        <v>603</v>
      </c>
      <c r="B27" s="10" t="s">
        <v>604</v>
      </c>
      <c r="C27" s="13">
        <v>14.2593166870011</v>
      </c>
      <c r="D27" s="13">
        <v>15.7191158826225</v>
      </c>
      <c r="E27" s="13">
        <v>14.902804728761801</v>
      </c>
      <c r="F27" s="13">
        <v>14.984041633562599</v>
      </c>
      <c r="G27" s="13">
        <v>12.096143117878899</v>
      </c>
      <c r="H27" s="13">
        <v>12.574095856406201</v>
      </c>
      <c r="I27" s="13">
        <v>17.3088277466615</v>
      </c>
      <c r="J27" s="13">
        <v>19.926327076323101</v>
      </c>
      <c r="K27" s="13">
        <v>19.357774362136499</v>
      </c>
      <c r="L27" s="13" t="s">
        <v>198</v>
      </c>
      <c r="M27" s="13">
        <v>23.934176510436501</v>
      </c>
      <c r="N27" s="13">
        <v>23.551199651083099</v>
      </c>
      <c r="O27" s="13" t="s">
        <v>198</v>
      </c>
    </row>
    <row r="28" spans="1:15" x14ac:dyDescent="0.25">
      <c r="A28" s="10" t="s">
        <v>605</v>
      </c>
      <c r="B28" s="10" t="s">
        <v>606</v>
      </c>
      <c r="C28" s="13">
        <v>6.1035891248791803</v>
      </c>
      <c r="D28" s="13">
        <v>6.2445234902629796</v>
      </c>
      <c r="E28" s="13">
        <v>4.5582908534233404</v>
      </c>
      <c r="F28" s="13">
        <v>4.8268747991674896</v>
      </c>
      <c r="G28" s="13">
        <v>3.9639037713165499</v>
      </c>
      <c r="H28" s="13">
        <v>4.3201753751522096</v>
      </c>
      <c r="I28" s="13">
        <v>4.5964143282198</v>
      </c>
      <c r="J28" s="13">
        <v>4.5782000926972897</v>
      </c>
      <c r="K28" s="13">
        <v>4.4674286155449199</v>
      </c>
      <c r="L28" s="13" t="s">
        <v>198</v>
      </c>
      <c r="M28" s="13">
        <v>5.2328485590563698</v>
      </c>
      <c r="N28" s="13">
        <v>5.6646067267244904</v>
      </c>
      <c r="O28" s="13" t="s">
        <v>198</v>
      </c>
    </row>
    <row r="29" spans="1:15" x14ac:dyDescent="0.25">
      <c r="A29" s="10" t="s">
        <v>607</v>
      </c>
      <c r="B29" s="10" t="s">
        <v>608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1.4671188139962999E-2</v>
      </c>
      <c r="K29" s="13">
        <v>0</v>
      </c>
      <c r="L29" s="13">
        <v>0</v>
      </c>
      <c r="M29" s="13">
        <v>0</v>
      </c>
      <c r="N29" s="13">
        <v>0</v>
      </c>
      <c r="O29" s="13">
        <v>0.27495641906027701</v>
      </c>
    </row>
    <row r="30" spans="1:15" x14ac:dyDescent="0.25">
      <c r="A30" s="10" t="s">
        <v>609</v>
      </c>
      <c r="B30" s="10" t="s">
        <v>610</v>
      </c>
      <c r="C30" s="13" t="s">
        <v>198</v>
      </c>
      <c r="D30" s="13" t="s">
        <v>198</v>
      </c>
      <c r="E30" s="13" t="s">
        <v>198</v>
      </c>
      <c r="F30" s="13" t="s">
        <v>198</v>
      </c>
      <c r="G30" s="13" t="s">
        <v>198</v>
      </c>
      <c r="H30" s="13" t="s">
        <v>198</v>
      </c>
      <c r="I30" s="13" t="s">
        <v>198</v>
      </c>
      <c r="J30" s="13">
        <v>1.4671188139962999E-2</v>
      </c>
      <c r="K30" s="13" t="s">
        <v>198</v>
      </c>
      <c r="L30" s="13" t="s">
        <v>198</v>
      </c>
      <c r="M30" s="13" t="s">
        <v>198</v>
      </c>
      <c r="N30" s="13" t="s">
        <v>198</v>
      </c>
      <c r="O30" s="13" t="s">
        <v>198</v>
      </c>
    </row>
    <row r="31" spans="1:15" x14ac:dyDescent="0.25">
      <c r="A31" s="10" t="s">
        <v>611</v>
      </c>
      <c r="B31" s="10" t="s">
        <v>612</v>
      </c>
      <c r="C31" s="13" t="s">
        <v>198</v>
      </c>
      <c r="D31" s="13" t="s">
        <v>198</v>
      </c>
      <c r="E31" s="13" t="s">
        <v>198</v>
      </c>
      <c r="F31" s="13" t="s">
        <v>198</v>
      </c>
      <c r="G31" s="13" t="s">
        <v>198</v>
      </c>
      <c r="H31" s="13" t="s">
        <v>198</v>
      </c>
      <c r="I31" s="13" t="s">
        <v>198</v>
      </c>
      <c r="J31" s="13" t="s">
        <v>198</v>
      </c>
      <c r="K31" s="13" t="s">
        <v>198</v>
      </c>
      <c r="L31" s="13" t="s">
        <v>198</v>
      </c>
      <c r="M31" s="13" t="s">
        <v>198</v>
      </c>
      <c r="N31" s="13" t="s">
        <v>198</v>
      </c>
      <c r="O31" s="13">
        <v>0.27495641906027701</v>
      </c>
    </row>
    <row r="32" spans="1:15" x14ac:dyDescent="0.25">
      <c r="A32" s="10" t="s">
        <v>613</v>
      </c>
      <c r="B32" s="10" t="s">
        <v>614</v>
      </c>
      <c r="C32" s="13">
        <v>37.361153238761197</v>
      </c>
      <c r="D32" s="13">
        <v>31.44006400964</v>
      </c>
      <c r="E32" s="13">
        <v>50.661414741537499</v>
      </c>
      <c r="F32" s="13">
        <v>46.6691707552541</v>
      </c>
      <c r="G32" s="13">
        <v>35.505453527112799</v>
      </c>
      <c r="H32" s="13">
        <v>44.934736705901898</v>
      </c>
      <c r="I32" s="13">
        <v>42.536591126405298</v>
      </c>
      <c r="J32" s="13">
        <v>45.869963090237398</v>
      </c>
      <c r="K32" s="13">
        <v>45.168878092477897</v>
      </c>
      <c r="L32" s="13">
        <v>42.538063596967099</v>
      </c>
      <c r="M32" s="13">
        <v>42.907155915423402</v>
      </c>
      <c r="N32" s="13">
        <v>44.9083608086422</v>
      </c>
      <c r="O32" s="13">
        <v>43.640396636785297</v>
      </c>
    </row>
    <row r="33" spans="1:15" x14ac:dyDescent="0.25">
      <c r="A33" s="10" t="s">
        <v>615</v>
      </c>
      <c r="B33" s="10" t="s">
        <v>616</v>
      </c>
      <c r="C33" s="13">
        <v>29.3038393253942</v>
      </c>
      <c r="D33" s="13">
        <v>25.596895069749898</v>
      </c>
      <c r="E33" s="13">
        <v>41.180296900089203</v>
      </c>
      <c r="F33" s="13">
        <v>38.880177741407401</v>
      </c>
      <c r="G33" s="13">
        <v>27.165181723045499</v>
      </c>
      <c r="H33" s="13">
        <v>31.504981855497</v>
      </c>
      <c r="I33" s="13">
        <v>28.9615526541177</v>
      </c>
      <c r="J33" s="13">
        <v>27.381603671059999</v>
      </c>
      <c r="K33" s="13">
        <v>28.9089197053937</v>
      </c>
      <c r="L33" s="13">
        <v>25.413003649014701</v>
      </c>
      <c r="M33" s="13">
        <v>22.6300306365507</v>
      </c>
      <c r="N33" s="13">
        <v>23.699781232794098</v>
      </c>
      <c r="O33" s="13">
        <v>23.552284555064201</v>
      </c>
    </row>
    <row r="34" spans="1:15" x14ac:dyDescent="0.25">
      <c r="A34" s="11" t="s">
        <v>617</v>
      </c>
      <c r="B34" s="11" t="s">
        <v>618</v>
      </c>
      <c r="C34" s="25">
        <v>1.60337521702027</v>
      </c>
      <c r="D34" s="25">
        <v>1.5478339554605201</v>
      </c>
      <c r="E34" s="25">
        <v>14.249810781251201</v>
      </c>
      <c r="F34" s="25">
        <v>13.1158158627701</v>
      </c>
      <c r="G34" s="25">
        <v>9.6626095196229205</v>
      </c>
      <c r="H34" s="25">
        <v>9.5242178213378192</v>
      </c>
      <c r="I34" s="25">
        <v>8.8414193500696694</v>
      </c>
      <c r="J34" s="25">
        <v>8.4468363652481298</v>
      </c>
      <c r="K34" s="25">
        <v>7.3181930234392496</v>
      </c>
      <c r="L34" s="25">
        <v>6.1535201984302104</v>
      </c>
      <c r="M34" s="25">
        <v>5.5788139883335601</v>
      </c>
      <c r="N34" s="25">
        <v>5.8976436806107397</v>
      </c>
      <c r="O34" s="25">
        <v>5.8072843890003298</v>
      </c>
    </row>
    <row r="35" spans="1:15" x14ac:dyDescent="0.25">
      <c r="A35" s="11" t="s">
        <v>619</v>
      </c>
      <c r="B35" s="11" t="s">
        <v>620</v>
      </c>
      <c r="C35" s="25">
        <v>27.7004641083739</v>
      </c>
      <c r="D35" s="25">
        <v>24.049061114289302</v>
      </c>
      <c r="E35" s="25">
        <v>26.930486118838001</v>
      </c>
      <c r="F35" s="25">
        <v>25.764361878637299</v>
      </c>
      <c r="G35" s="25">
        <v>17.502572203422599</v>
      </c>
      <c r="H35" s="25">
        <v>21.980764034159101</v>
      </c>
      <c r="I35" s="25">
        <v>20.120133304048</v>
      </c>
      <c r="J35" s="25">
        <v>18.934767305811899</v>
      </c>
      <c r="K35" s="25">
        <v>21.590726681954401</v>
      </c>
      <c r="L35" s="25">
        <v>19.259483450584501</v>
      </c>
      <c r="M35" s="25">
        <v>17.051216648217199</v>
      </c>
      <c r="N35" s="25">
        <v>17.8021375521834</v>
      </c>
      <c r="O35" s="25">
        <v>17.7450001660639</v>
      </c>
    </row>
    <row r="36" spans="1:15" x14ac:dyDescent="0.25">
      <c r="A36" s="10" t="s">
        <v>621</v>
      </c>
      <c r="B36" s="10" t="s">
        <v>622</v>
      </c>
      <c r="C36" s="13" t="s">
        <v>198</v>
      </c>
      <c r="D36" s="13" t="s">
        <v>198</v>
      </c>
      <c r="E36" s="13" t="s">
        <v>198</v>
      </c>
      <c r="F36" s="13">
        <v>0</v>
      </c>
      <c r="G36" s="13">
        <v>1.4543991547180799</v>
      </c>
      <c r="H36" s="13">
        <v>2.1796203343929799</v>
      </c>
      <c r="I36" s="13">
        <v>1.85787094548579</v>
      </c>
      <c r="J36" s="13">
        <v>2.8894714435110598</v>
      </c>
      <c r="K36" s="13">
        <v>2.0248856473790999</v>
      </c>
      <c r="L36" s="13">
        <v>2.1315910624659802</v>
      </c>
      <c r="M36" s="13">
        <v>2.4512505892797498</v>
      </c>
      <c r="N36" s="13">
        <v>3.5478126438599298</v>
      </c>
      <c r="O36" s="13">
        <v>1.27191859920016</v>
      </c>
    </row>
    <row r="37" spans="1:15" x14ac:dyDescent="0.25">
      <c r="A37" s="10" t="s">
        <v>593</v>
      </c>
      <c r="B37" s="10" t="s">
        <v>623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 t="s">
        <v>198</v>
      </c>
      <c r="L37" s="13" t="s">
        <v>198</v>
      </c>
      <c r="M37" s="13" t="s">
        <v>198</v>
      </c>
      <c r="N37" s="13">
        <v>0</v>
      </c>
      <c r="O37" s="13" t="s">
        <v>198</v>
      </c>
    </row>
    <row r="38" spans="1:15" x14ac:dyDescent="0.25">
      <c r="A38" s="10" t="s">
        <v>624</v>
      </c>
      <c r="B38" s="10" t="s">
        <v>625</v>
      </c>
      <c r="C38" s="13">
        <v>4.9086571943588703E-2</v>
      </c>
      <c r="D38" s="13">
        <v>0.47319228260278701</v>
      </c>
      <c r="E38" s="13">
        <v>0.39082216015483201</v>
      </c>
      <c r="F38" s="13">
        <v>2.0777252258675599E-4</v>
      </c>
      <c r="G38" s="13">
        <v>0.153867108100429</v>
      </c>
      <c r="H38" s="13" t="s">
        <v>198</v>
      </c>
      <c r="I38" s="13" t="s">
        <v>198</v>
      </c>
      <c r="J38" s="13">
        <v>0.28782078836632802</v>
      </c>
      <c r="K38" s="13">
        <v>0.454984263692714</v>
      </c>
      <c r="L38" s="13" t="s">
        <v>198</v>
      </c>
      <c r="M38" s="13">
        <v>0.54589197395658895</v>
      </c>
      <c r="N38" s="13">
        <v>0.56966684966235404</v>
      </c>
      <c r="O38" s="13" t="s">
        <v>198</v>
      </c>
    </row>
    <row r="39" spans="1:15" x14ac:dyDescent="0.25">
      <c r="A39" s="10" t="s">
        <v>626</v>
      </c>
      <c r="B39" s="10" t="s">
        <v>627</v>
      </c>
      <c r="C39" s="13">
        <v>3.7105939847751901</v>
      </c>
      <c r="D39" s="13">
        <v>0.62603301372735298</v>
      </c>
      <c r="E39" s="13">
        <v>0</v>
      </c>
      <c r="F39" s="13">
        <v>0.14525493999544301</v>
      </c>
      <c r="G39" s="13">
        <v>0.138617462375172</v>
      </c>
      <c r="H39" s="13">
        <v>0.46678236605147</v>
      </c>
      <c r="I39" s="13">
        <v>0.37770413472566799</v>
      </c>
      <c r="J39" s="13">
        <v>1.9217503618582501</v>
      </c>
      <c r="K39" s="13">
        <v>0.67862040154922998</v>
      </c>
      <c r="L39" s="13">
        <v>0.59053107691122397</v>
      </c>
      <c r="M39" s="13">
        <v>0.98018398458540801</v>
      </c>
      <c r="N39" s="13">
        <v>1.307737193513</v>
      </c>
      <c r="O39" s="13">
        <v>1.0830826258275299</v>
      </c>
    </row>
    <row r="40" spans="1:15" x14ac:dyDescent="0.25">
      <c r="A40" s="10" t="s">
        <v>628</v>
      </c>
      <c r="B40" s="10" t="s">
        <v>629</v>
      </c>
      <c r="C40" s="13">
        <v>4.2976333566481602</v>
      </c>
      <c r="D40" s="13">
        <v>4.74394364355995</v>
      </c>
      <c r="E40" s="13">
        <v>9.0902956812934796</v>
      </c>
      <c r="F40" s="13">
        <v>7.6435303013287097</v>
      </c>
      <c r="G40" s="13">
        <v>6.5933880788735904</v>
      </c>
      <c r="H40" s="13">
        <v>10.7833521499605</v>
      </c>
      <c r="I40" s="13">
        <v>11.3394633920761</v>
      </c>
      <c r="J40" s="13">
        <v>13.3893168254417</v>
      </c>
      <c r="K40" s="13">
        <v>13.101468074463099</v>
      </c>
      <c r="L40" s="13">
        <v>14.402937808575199</v>
      </c>
      <c r="M40" s="13">
        <v>16.299798731050899</v>
      </c>
      <c r="N40" s="13">
        <v>15.7833628888128</v>
      </c>
      <c r="O40" s="13">
        <v>17.733110856693401</v>
      </c>
    </row>
    <row r="41" spans="1:15" x14ac:dyDescent="0.25">
      <c r="A41" s="6" t="s">
        <v>630</v>
      </c>
      <c r="B41" s="6" t="s">
        <v>631</v>
      </c>
      <c r="C41" s="19">
        <v>45.516880800883101</v>
      </c>
      <c r="D41" s="19">
        <v>40.914656401999402</v>
      </c>
      <c r="E41" s="19">
        <v>61.005928616875998</v>
      </c>
      <c r="F41" s="19">
        <v>56.826337589649199</v>
      </c>
      <c r="G41" s="19">
        <v>43.6376928736751</v>
      </c>
      <c r="H41" s="19">
        <v>53.188657187155897</v>
      </c>
      <c r="I41" s="19">
        <v>55.249004544846898</v>
      </c>
      <c r="J41" s="19">
        <v>61.232761262003102</v>
      </c>
      <c r="K41" s="19">
        <v>60.059223839069503</v>
      </c>
      <c r="L41" s="19">
        <v>59.655836040134197</v>
      </c>
      <c r="M41" s="19">
        <v>61.608483866803503</v>
      </c>
      <c r="N41" s="19">
        <v>62.794953733000803</v>
      </c>
      <c r="O41" s="19">
        <v>62.079124574364599</v>
      </c>
    </row>
    <row r="42" spans="1:15" x14ac:dyDescent="0.25">
      <c r="A42" s="6" t="s">
        <v>83</v>
      </c>
      <c r="B42" s="6" t="s">
        <v>84</v>
      </c>
      <c r="C42" s="19">
        <v>100</v>
      </c>
      <c r="D42" s="19">
        <v>100</v>
      </c>
      <c r="E42" s="19">
        <v>100</v>
      </c>
      <c r="F42" s="19">
        <v>100</v>
      </c>
      <c r="G42" s="19">
        <v>100</v>
      </c>
      <c r="H42" s="19">
        <v>100</v>
      </c>
      <c r="I42" s="19">
        <v>100</v>
      </c>
      <c r="J42" s="19">
        <v>100</v>
      </c>
      <c r="K42" s="19">
        <v>100</v>
      </c>
      <c r="L42" s="19">
        <v>100</v>
      </c>
      <c r="M42" s="19">
        <v>100</v>
      </c>
      <c r="N42" s="19">
        <v>100</v>
      </c>
      <c r="O42" s="19">
        <v>100</v>
      </c>
    </row>
    <row r="43" spans="1:15" x14ac:dyDescent="0.25">
      <c r="A43" s="6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</row>
    <row r="44" spans="1:15" x14ac:dyDescent="0.25">
      <c r="A44" s="6" t="s">
        <v>632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</row>
    <row r="45" spans="1:15" x14ac:dyDescent="0.25">
      <c r="A45" s="10" t="s">
        <v>633</v>
      </c>
      <c r="B45" s="10" t="s">
        <v>634</v>
      </c>
      <c r="C45" s="13">
        <v>8.6746333196764294</v>
      </c>
      <c r="D45" s="13">
        <v>8.0978932991465395</v>
      </c>
      <c r="E45" s="13">
        <v>4.6249842668198298</v>
      </c>
      <c r="F45" s="13">
        <v>5.3013675576186401</v>
      </c>
      <c r="G45" s="13">
        <v>3.3331718326753799</v>
      </c>
      <c r="H45" s="13">
        <v>3.97552208064503</v>
      </c>
      <c r="I45" s="13">
        <v>3.1828916234831701</v>
      </c>
      <c r="J45" s="13">
        <v>3.9616583960994798</v>
      </c>
      <c r="K45" s="13">
        <v>4.8825173670452404</v>
      </c>
      <c r="L45" s="13">
        <v>8.7000964429527698</v>
      </c>
      <c r="M45" s="13">
        <v>4.5342772330944996</v>
      </c>
      <c r="N45" s="13">
        <v>4.8816118167573901</v>
      </c>
      <c r="O45" s="13">
        <v>4.9532766635033498</v>
      </c>
    </row>
    <row r="46" spans="1:15" x14ac:dyDescent="0.25">
      <c r="A46" s="10" t="s">
        <v>635</v>
      </c>
      <c r="B46" s="10" t="s">
        <v>636</v>
      </c>
      <c r="C46" s="13">
        <v>4.4626762853523303</v>
      </c>
      <c r="D46" s="13">
        <v>3.8749299459758899</v>
      </c>
      <c r="E46" s="13">
        <v>4.5949168427501696</v>
      </c>
      <c r="F46" s="13">
        <v>5.3013675576186401</v>
      </c>
      <c r="G46" s="13">
        <v>3.3110812531679001</v>
      </c>
      <c r="H46" s="13">
        <v>3.96151397777072</v>
      </c>
      <c r="I46" s="13">
        <v>3.1828916234831701</v>
      </c>
      <c r="J46" s="13">
        <v>3.9616583960994798</v>
      </c>
      <c r="K46" s="13">
        <v>4.8825173670452404</v>
      </c>
      <c r="L46" s="13">
        <v>8.7000964429527698</v>
      </c>
      <c r="M46" s="13">
        <v>4.5342772330944996</v>
      </c>
      <c r="N46" s="13">
        <v>4.8816118167573901</v>
      </c>
      <c r="O46" s="13">
        <v>4.9532766635033498</v>
      </c>
    </row>
    <row r="47" spans="1:15" x14ac:dyDescent="0.25">
      <c r="A47" s="10" t="s">
        <v>637</v>
      </c>
      <c r="B47" s="10" t="s">
        <v>638</v>
      </c>
      <c r="C47" s="13">
        <v>4.1738912442646701</v>
      </c>
      <c r="D47" s="13">
        <v>4.1743744968406098</v>
      </c>
      <c r="E47" s="13">
        <v>0</v>
      </c>
      <c r="F47" s="13">
        <v>0</v>
      </c>
      <c r="G47" s="13" t="s">
        <v>198</v>
      </c>
      <c r="H47" s="13" t="s">
        <v>198</v>
      </c>
      <c r="I47" s="13" t="s">
        <v>198</v>
      </c>
      <c r="J47" s="13" t="s">
        <v>198</v>
      </c>
      <c r="K47" s="13" t="s">
        <v>198</v>
      </c>
      <c r="L47" s="13" t="s">
        <v>198</v>
      </c>
      <c r="M47" s="13" t="s">
        <v>198</v>
      </c>
      <c r="N47" s="13" t="s">
        <v>198</v>
      </c>
      <c r="O47" s="13" t="s">
        <v>198</v>
      </c>
    </row>
    <row r="48" spans="1:15" x14ac:dyDescent="0.25">
      <c r="A48" s="10" t="s">
        <v>639</v>
      </c>
      <c r="B48" s="10" t="s">
        <v>640</v>
      </c>
      <c r="C48" s="13">
        <v>3.8065790059433897E-2</v>
      </c>
      <c r="D48" s="13">
        <v>4.8588856330036297E-2</v>
      </c>
      <c r="E48" s="13">
        <v>3.0067424069660099E-2</v>
      </c>
      <c r="F48" s="13">
        <v>0</v>
      </c>
      <c r="G48" s="13">
        <v>2.2090579507482298E-2</v>
      </c>
      <c r="H48" s="13">
        <v>1.4008102874308301E-2</v>
      </c>
      <c r="I48" s="13">
        <v>0</v>
      </c>
      <c r="J48" s="13" t="s">
        <v>198</v>
      </c>
      <c r="K48" s="13">
        <v>0</v>
      </c>
      <c r="L48" s="13" t="s">
        <v>198</v>
      </c>
      <c r="M48" s="13" t="s">
        <v>198</v>
      </c>
      <c r="N48" s="13" t="s">
        <v>198</v>
      </c>
      <c r="O48" s="13" t="s">
        <v>198</v>
      </c>
    </row>
    <row r="49" spans="1:15" x14ac:dyDescent="0.25">
      <c r="A49" s="10" t="s">
        <v>641</v>
      </c>
      <c r="B49" s="10" t="s">
        <v>642</v>
      </c>
      <c r="C49" s="13">
        <v>4.5053682572809803</v>
      </c>
      <c r="D49" s="13">
        <v>4.1938941689165903</v>
      </c>
      <c r="E49" s="13">
        <v>0.118318173704093</v>
      </c>
      <c r="F49" s="13">
        <v>0.116315141058976</v>
      </c>
      <c r="G49" s="13">
        <v>7.44017001245105E-2</v>
      </c>
      <c r="H49" s="13">
        <v>7.2224549244507594E-2</v>
      </c>
      <c r="I49" s="13">
        <v>0.69524702561051499</v>
      </c>
      <c r="J49" s="13">
        <v>0.81648367375866804</v>
      </c>
      <c r="K49" s="13">
        <v>0.93177729252449604</v>
      </c>
      <c r="L49" s="13">
        <v>0.73531250260240699</v>
      </c>
      <c r="M49" s="13">
        <v>0.754113811886997</v>
      </c>
      <c r="N49" s="13">
        <v>3.3485603305989602</v>
      </c>
      <c r="O49" s="13">
        <v>0.50772958732343798</v>
      </c>
    </row>
    <row r="50" spans="1:15" x14ac:dyDescent="0.25">
      <c r="A50" s="10" t="s">
        <v>643</v>
      </c>
      <c r="B50" s="10" t="s">
        <v>644</v>
      </c>
      <c r="C50" s="13">
        <v>4.5053682572809803</v>
      </c>
      <c r="D50" s="13">
        <v>4.1938941689165903</v>
      </c>
      <c r="E50" s="13">
        <v>0.118318173704093</v>
      </c>
      <c r="F50" s="13">
        <v>0.116315141058976</v>
      </c>
      <c r="G50" s="13">
        <v>7.44017001245105E-2</v>
      </c>
      <c r="H50" s="13">
        <v>7.2224549244507594E-2</v>
      </c>
      <c r="I50" s="13">
        <v>6.5225935735761895E-2</v>
      </c>
      <c r="J50" s="13">
        <v>5.98578102129513E-2</v>
      </c>
      <c r="K50" s="13">
        <v>0.107141995869188</v>
      </c>
      <c r="L50" s="13">
        <v>9.8385401815919094E-2</v>
      </c>
      <c r="M50" s="13">
        <v>8.4668227020296694E-2</v>
      </c>
      <c r="N50" s="13">
        <v>2.8923760211635399</v>
      </c>
      <c r="O50" s="13">
        <v>9.3516039078892305E-2</v>
      </c>
    </row>
    <row r="51" spans="1:15" x14ac:dyDescent="0.25">
      <c r="A51" s="10" t="s">
        <v>645</v>
      </c>
      <c r="B51" s="10" t="s">
        <v>646</v>
      </c>
      <c r="C51" s="13" t="s">
        <v>198</v>
      </c>
      <c r="D51" s="13" t="s">
        <v>198</v>
      </c>
      <c r="E51" s="13">
        <v>0</v>
      </c>
      <c r="F51" s="13">
        <v>0</v>
      </c>
      <c r="G51" s="13">
        <v>0</v>
      </c>
      <c r="H51" s="13">
        <v>0</v>
      </c>
      <c r="I51" s="13">
        <v>0.63002108987475303</v>
      </c>
      <c r="J51" s="13">
        <v>0.75662586354571704</v>
      </c>
      <c r="K51" s="13">
        <v>0.82463529665530799</v>
      </c>
      <c r="L51" s="13">
        <v>0.63692710078648795</v>
      </c>
      <c r="M51" s="13">
        <v>0.66944558486670003</v>
      </c>
      <c r="N51" s="13">
        <v>0.45618430943541399</v>
      </c>
      <c r="O51" s="13">
        <v>0.41421354824454598</v>
      </c>
    </row>
    <row r="52" spans="1:15" x14ac:dyDescent="0.25">
      <c r="A52" s="11" t="s">
        <v>647</v>
      </c>
      <c r="B52" s="11" t="s">
        <v>648</v>
      </c>
      <c r="C52" s="25" t="s">
        <v>198</v>
      </c>
      <c r="D52" s="25" t="s">
        <v>198</v>
      </c>
      <c r="E52" s="25">
        <v>0</v>
      </c>
      <c r="F52" s="25">
        <v>0</v>
      </c>
      <c r="G52" s="25">
        <v>0</v>
      </c>
      <c r="H52" s="25" t="s">
        <v>198</v>
      </c>
      <c r="I52" s="25" t="s">
        <v>198</v>
      </c>
      <c r="J52" s="25" t="s">
        <v>198</v>
      </c>
      <c r="K52" s="25" t="s">
        <v>198</v>
      </c>
      <c r="L52" s="25" t="s">
        <v>198</v>
      </c>
      <c r="M52" s="25" t="s">
        <v>198</v>
      </c>
      <c r="N52" s="25" t="s">
        <v>198</v>
      </c>
      <c r="O52" s="25" t="s">
        <v>198</v>
      </c>
    </row>
    <row r="53" spans="1:15" x14ac:dyDescent="0.25">
      <c r="A53" s="10" t="s">
        <v>649</v>
      </c>
      <c r="B53" s="10" t="s">
        <v>650</v>
      </c>
      <c r="C53" s="13">
        <v>10.617238294863901</v>
      </c>
      <c r="D53" s="13">
        <v>9.2628933379755605</v>
      </c>
      <c r="E53" s="13">
        <v>5.7278611087407301</v>
      </c>
      <c r="F53" s="13">
        <v>4.3367849292943701</v>
      </c>
      <c r="G53" s="13">
        <v>4.4513657349854903</v>
      </c>
      <c r="H53" s="13">
        <v>3.5846128162614002</v>
      </c>
      <c r="I53" s="13">
        <v>5.5773880255582897</v>
      </c>
      <c r="J53" s="13">
        <v>5.8953930679622797</v>
      </c>
      <c r="K53" s="13">
        <v>6.91082463341262</v>
      </c>
      <c r="L53" s="13">
        <v>6.4042718756317596</v>
      </c>
      <c r="M53" s="13">
        <v>6.6094117081024697</v>
      </c>
      <c r="N53" s="13">
        <v>5.8645513919611902</v>
      </c>
      <c r="O53" s="13">
        <v>6.27798040340224</v>
      </c>
    </row>
    <row r="54" spans="1:15" x14ac:dyDescent="0.25">
      <c r="A54" s="10" t="s">
        <v>651</v>
      </c>
      <c r="B54" s="10" t="s">
        <v>652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 t="s">
        <v>198</v>
      </c>
    </row>
    <row r="55" spans="1:15" x14ac:dyDescent="0.25">
      <c r="A55" s="10" t="s">
        <v>653</v>
      </c>
      <c r="B55" s="10" t="s">
        <v>654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 t="s">
        <v>198</v>
      </c>
    </row>
    <row r="56" spans="1:15" x14ac:dyDescent="0.25">
      <c r="A56" s="10" t="s">
        <v>655</v>
      </c>
      <c r="B56" s="10" t="s">
        <v>656</v>
      </c>
      <c r="C56" s="13">
        <v>10.617238294863901</v>
      </c>
      <c r="D56" s="13">
        <v>9.2628933379755605</v>
      </c>
      <c r="E56" s="13">
        <v>5.7278611087407301</v>
      </c>
      <c r="F56" s="13">
        <v>4.3367849292943701</v>
      </c>
      <c r="G56" s="13">
        <v>4.4513657349854903</v>
      </c>
      <c r="H56" s="13">
        <v>3.5846128162614002</v>
      </c>
      <c r="I56" s="13">
        <v>5.5773880255582897</v>
      </c>
      <c r="J56" s="13">
        <v>5.8953930679622797</v>
      </c>
      <c r="K56" s="13">
        <v>6.91082463341262</v>
      </c>
      <c r="L56" s="13">
        <v>6.4042718756317596</v>
      </c>
      <c r="M56" s="13">
        <v>6.6094117081024697</v>
      </c>
      <c r="N56" s="13">
        <v>5.8645513919611902</v>
      </c>
      <c r="O56" s="13">
        <v>6.27798040340224</v>
      </c>
    </row>
    <row r="57" spans="1:15" x14ac:dyDescent="0.25">
      <c r="A57" s="6" t="s">
        <v>85</v>
      </c>
      <c r="B57" s="6" t="s">
        <v>86</v>
      </c>
      <c r="C57" s="19">
        <v>23.797239871821301</v>
      </c>
      <c r="D57" s="19">
        <v>21.5546808060387</v>
      </c>
      <c r="E57" s="19">
        <v>10.471163549264601</v>
      </c>
      <c r="F57" s="19">
        <v>9.7544676279719909</v>
      </c>
      <c r="G57" s="19">
        <v>7.85893926778538</v>
      </c>
      <c r="H57" s="19">
        <v>7.6323594461509403</v>
      </c>
      <c r="I57" s="19">
        <v>9.4555266746519706</v>
      </c>
      <c r="J57" s="19">
        <v>10.6735351378204</v>
      </c>
      <c r="K57" s="19">
        <v>12.7251192929824</v>
      </c>
      <c r="L57" s="19">
        <v>15.839680821186899</v>
      </c>
      <c r="M57" s="19">
        <v>11.897802753083999</v>
      </c>
      <c r="N57" s="19">
        <v>14.094723539317499</v>
      </c>
      <c r="O57" s="19">
        <v>11.738986654229</v>
      </c>
    </row>
    <row r="58" spans="1:15" x14ac:dyDescent="0.25">
      <c r="A58" s="10" t="s">
        <v>657</v>
      </c>
      <c r="B58" s="10" t="s">
        <v>658</v>
      </c>
      <c r="C58" s="13">
        <v>0.19096086504790899</v>
      </c>
      <c r="D58" s="13">
        <v>9.2299816985884405E-3</v>
      </c>
      <c r="E58" s="13">
        <v>21.974573834963699</v>
      </c>
      <c r="F58" s="13">
        <v>22.340338470450401</v>
      </c>
      <c r="G58" s="13">
        <v>15.0625642049818</v>
      </c>
      <c r="H58" s="13">
        <v>14.607721629061</v>
      </c>
      <c r="I58" s="13">
        <v>15.6203454357412</v>
      </c>
      <c r="J58" s="13">
        <v>14.4039075052989</v>
      </c>
      <c r="K58" s="13">
        <v>21.284871206451299</v>
      </c>
      <c r="L58" s="13">
        <v>20.352840096031201</v>
      </c>
      <c r="M58" s="13">
        <v>17.9986256076761</v>
      </c>
      <c r="N58" s="13">
        <v>22.474528255124401</v>
      </c>
      <c r="O58" s="13">
        <v>19.124298596720301</v>
      </c>
    </row>
    <row r="59" spans="1:15" x14ac:dyDescent="0.25">
      <c r="A59" s="10" t="s">
        <v>659</v>
      </c>
      <c r="B59" s="10" t="s">
        <v>660</v>
      </c>
      <c r="C59" s="13">
        <v>0.19096086504790899</v>
      </c>
      <c r="D59" s="13">
        <v>9.2299816985884405E-3</v>
      </c>
      <c r="E59" s="13">
        <v>21.974573834963699</v>
      </c>
      <c r="F59" s="13">
        <v>22.340338470450401</v>
      </c>
      <c r="G59" s="13">
        <v>15.0625642049818</v>
      </c>
      <c r="H59" s="13">
        <v>14.607721629061</v>
      </c>
      <c r="I59" s="13">
        <v>13.212676875739501</v>
      </c>
      <c r="J59" s="13">
        <v>12.143751461419001</v>
      </c>
      <c r="K59" s="13">
        <v>19.358782321477499</v>
      </c>
      <c r="L59" s="13">
        <v>17.889894406283201</v>
      </c>
      <c r="M59" s="13">
        <v>15.493223311803799</v>
      </c>
      <c r="N59" s="13">
        <v>20.650941674329601</v>
      </c>
      <c r="O59" s="13">
        <v>17.7978041562424</v>
      </c>
    </row>
    <row r="60" spans="1:15" x14ac:dyDescent="0.25">
      <c r="A60" s="10" t="s">
        <v>661</v>
      </c>
      <c r="B60" s="10" t="s">
        <v>662</v>
      </c>
      <c r="C60" s="13" t="s">
        <v>198</v>
      </c>
      <c r="D60" s="13" t="s">
        <v>198</v>
      </c>
      <c r="E60" s="13">
        <v>0</v>
      </c>
      <c r="F60" s="13">
        <v>0</v>
      </c>
      <c r="G60" s="13">
        <v>0</v>
      </c>
      <c r="H60" s="13">
        <v>0</v>
      </c>
      <c r="I60" s="13">
        <v>2.40766856000177</v>
      </c>
      <c r="J60" s="13">
        <v>2.26015604387986</v>
      </c>
      <c r="K60" s="13">
        <v>1.92608888497382</v>
      </c>
      <c r="L60" s="13">
        <v>2.4629456897479698</v>
      </c>
      <c r="M60" s="13">
        <v>2.5054022958723201</v>
      </c>
      <c r="N60" s="13">
        <v>1.8235865807948499</v>
      </c>
      <c r="O60" s="13">
        <v>1.32649444047789</v>
      </c>
    </row>
    <row r="61" spans="1:15" x14ac:dyDescent="0.25">
      <c r="A61" s="11" t="s">
        <v>663</v>
      </c>
      <c r="B61" s="11" t="s">
        <v>664</v>
      </c>
      <c r="C61" s="25" t="s">
        <v>198</v>
      </c>
      <c r="D61" s="25" t="s">
        <v>198</v>
      </c>
      <c r="E61" s="25">
        <v>0</v>
      </c>
      <c r="F61" s="25">
        <v>0</v>
      </c>
      <c r="G61" s="25">
        <v>0</v>
      </c>
      <c r="H61" s="25" t="s">
        <v>198</v>
      </c>
      <c r="I61" s="25" t="s">
        <v>198</v>
      </c>
      <c r="J61" s="25" t="s">
        <v>198</v>
      </c>
      <c r="K61" s="25" t="s">
        <v>198</v>
      </c>
      <c r="L61" s="25" t="s">
        <v>198</v>
      </c>
      <c r="M61" s="25" t="s">
        <v>198</v>
      </c>
      <c r="N61" s="25" t="s">
        <v>198</v>
      </c>
      <c r="O61" s="25" t="s">
        <v>198</v>
      </c>
    </row>
    <row r="62" spans="1:15" x14ac:dyDescent="0.25">
      <c r="A62" s="10" t="s">
        <v>665</v>
      </c>
      <c r="B62" s="10" t="s">
        <v>666</v>
      </c>
      <c r="C62" s="13">
        <v>6.0079577873401302</v>
      </c>
      <c r="D62" s="13">
        <v>5.66685283024729</v>
      </c>
      <c r="E62" s="13">
        <v>6.35083680847998</v>
      </c>
      <c r="F62" s="13">
        <v>6.5051248636757499</v>
      </c>
      <c r="G62" s="13">
        <v>4.7184347426047104</v>
      </c>
      <c r="H62" s="13">
        <v>6.0003412610701297</v>
      </c>
      <c r="I62" s="13">
        <v>6.2182270824034998</v>
      </c>
      <c r="J62" s="13">
        <v>7.8179352743805097</v>
      </c>
      <c r="K62" s="13">
        <v>4.8181586921138297</v>
      </c>
      <c r="L62" s="13">
        <v>4.1104214332750102</v>
      </c>
      <c r="M62" s="13">
        <v>12.0140315928425</v>
      </c>
      <c r="N62" s="13">
        <v>3.9890677801015402</v>
      </c>
      <c r="O62" s="13">
        <v>2.8870391014739498</v>
      </c>
    </row>
    <row r="63" spans="1:15" x14ac:dyDescent="0.25">
      <c r="A63" s="10" t="s">
        <v>667</v>
      </c>
      <c r="B63" s="10" t="s">
        <v>668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 t="s">
        <v>198</v>
      </c>
    </row>
    <row r="64" spans="1:15" x14ac:dyDescent="0.25">
      <c r="A64" s="10" t="s">
        <v>669</v>
      </c>
      <c r="B64" s="10" t="s">
        <v>670</v>
      </c>
      <c r="C64" s="13" t="s">
        <v>198</v>
      </c>
      <c r="D64" s="13" t="s">
        <v>198</v>
      </c>
      <c r="E64" s="13" t="s">
        <v>198</v>
      </c>
      <c r="F64" s="13" t="s">
        <v>198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 t="s">
        <v>198</v>
      </c>
      <c r="N64" s="13" t="s">
        <v>198</v>
      </c>
      <c r="O64" s="13" t="s">
        <v>198</v>
      </c>
    </row>
    <row r="65" spans="1:15" x14ac:dyDescent="0.25">
      <c r="A65" s="11" t="s">
        <v>671</v>
      </c>
      <c r="B65" s="11" t="s">
        <v>672</v>
      </c>
      <c r="C65" s="25" t="s">
        <v>198</v>
      </c>
      <c r="D65" s="25" t="s">
        <v>198</v>
      </c>
      <c r="E65" s="25" t="s">
        <v>198</v>
      </c>
      <c r="F65" s="25" t="s">
        <v>198</v>
      </c>
      <c r="G65" s="25">
        <v>0</v>
      </c>
      <c r="H65" s="25">
        <v>0</v>
      </c>
      <c r="I65" s="25">
        <v>0</v>
      </c>
      <c r="J65" s="25">
        <v>0</v>
      </c>
      <c r="K65" s="25">
        <v>0</v>
      </c>
      <c r="L65" s="25">
        <v>0</v>
      </c>
      <c r="M65" s="25" t="s">
        <v>198</v>
      </c>
      <c r="N65" s="25" t="s">
        <v>198</v>
      </c>
      <c r="O65" s="25" t="s">
        <v>198</v>
      </c>
    </row>
    <row r="66" spans="1:15" x14ac:dyDescent="0.25">
      <c r="A66" s="11" t="s">
        <v>673</v>
      </c>
      <c r="B66" s="11" t="s">
        <v>674</v>
      </c>
      <c r="C66" s="25" t="s">
        <v>198</v>
      </c>
      <c r="D66" s="25" t="s">
        <v>198</v>
      </c>
      <c r="E66" s="25" t="s">
        <v>198</v>
      </c>
      <c r="F66" s="25" t="s">
        <v>198</v>
      </c>
      <c r="G66" s="25">
        <v>0</v>
      </c>
      <c r="H66" s="25">
        <v>0</v>
      </c>
      <c r="I66" s="25">
        <v>0</v>
      </c>
      <c r="J66" s="25">
        <v>0</v>
      </c>
      <c r="K66" s="25">
        <v>0</v>
      </c>
      <c r="L66" s="25">
        <v>0</v>
      </c>
      <c r="M66" s="25" t="s">
        <v>198</v>
      </c>
      <c r="N66" s="25" t="s">
        <v>198</v>
      </c>
      <c r="O66" s="25" t="s">
        <v>198</v>
      </c>
    </row>
    <row r="67" spans="1:15" x14ac:dyDescent="0.25">
      <c r="A67" s="10" t="s">
        <v>651</v>
      </c>
      <c r="B67" s="10" t="s">
        <v>675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 t="s">
        <v>198</v>
      </c>
    </row>
    <row r="68" spans="1:15" x14ac:dyDescent="0.25">
      <c r="A68" s="10" t="s">
        <v>676</v>
      </c>
      <c r="B68" s="10" t="s">
        <v>677</v>
      </c>
      <c r="C68" s="13">
        <v>5.6602396220734796</v>
      </c>
      <c r="D68" s="13">
        <v>5.3311799945121603</v>
      </c>
      <c r="E68" s="13">
        <v>6.0997167471100298</v>
      </c>
      <c r="F68" s="13">
        <v>6.0393083541267503</v>
      </c>
      <c r="G68" s="13">
        <v>4.3435925368584902</v>
      </c>
      <c r="H68" s="13">
        <v>5.3480373493647404</v>
      </c>
      <c r="I68" s="13">
        <v>5.7816808991295803</v>
      </c>
      <c r="J68" s="13">
        <v>7.0398009023301604</v>
      </c>
      <c r="K68" s="13">
        <v>3.9460948787208201</v>
      </c>
      <c r="L68" s="13">
        <v>3.6539969976338602</v>
      </c>
      <c r="M68" s="13">
        <v>3.1946231503504099</v>
      </c>
      <c r="N68" s="13">
        <v>3.6201055810065599</v>
      </c>
      <c r="O68" s="13">
        <v>2.2624483943654998</v>
      </c>
    </row>
    <row r="69" spans="1:15" x14ac:dyDescent="0.25">
      <c r="A69" s="10" t="s">
        <v>653</v>
      </c>
      <c r="B69" s="10" t="s">
        <v>678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 t="s">
        <v>198</v>
      </c>
    </row>
    <row r="70" spans="1:15" x14ac:dyDescent="0.25">
      <c r="A70" s="10" t="s">
        <v>679</v>
      </c>
      <c r="B70" s="10" t="s">
        <v>680</v>
      </c>
      <c r="C70" s="13">
        <v>0.34771816526664501</v>
      </c>
      <c r="D70" s="13">
        <v>0.33567283573512402</v>
      </c>
      <c r="E70" s="13">
        <v>0.25112006136995002</v>
      </c>
      <c r="F70" s="13">
        <v>0.465816509549006</v>
      </c>
      <c r="G70" s="13">
        <v>0.37484220574621202</v>
      </c>
      <c r="H70" s="13">
        <v>0.65230391170539104</v>
      </c>
      <c r="I70" s="13">
        <v>0.43654618327392197</v>
      </c>
      <c r="J70" s="13">
        <v>0.77813437205034797</v>
      </c>
      <c r="K70" s="13">
        <v>0.87206381339300199</v>
      </c>
      <c r="L70" s="13">
        <v>0.45642443564114998</v>
      </c>
      <c r="M70" s="13">
        <v>8.8194084424921293</v>
      </c>
      <c r="N70" s="13">
        <v>0.36896219909497702</v>
      </c>
      <c r="O70" s="13">
        <v>0.62459070710845199</v>
      </c>
    </row>
    <row r="71" spans="1:15" x14ac:dyDescent="0.25">
      <c r="A71" s="6" t="s">
        <v>681</v>
      </c>
      <c r="B71" s="6" t="s">
        <v>682</v>
      </c>
      <c r="C71" s="19">
        <v>6.1989186523880404</v>
      </c>
      <c r="D71" s="19">
        <v>5.6760828119458804</v>
      </c>
      <c r="E71" s="19">
        <v>28.3254106434437</v>
      </c>
      <c r="F71" s="19">
        <v>28.845463334126201</v>
      </c>
      <c r="G71" s="19">
        <v>19.7809989475866</v>
      </c>
      <c r="H71" s="19">
        <v>20.608062890131102</v>
      </c>
      <c r="I71" s="19">
        <v>21.838572518144701</v>
      </c>
      <c r="J71" s="19">
        <v>22.221842779679399</v>
      </c>
      <c r="K71" s="19">
        <v>26.1030298985652</v>
      </c>
      <c r="L71" s="19">
        <v>24.463261529306202</v>
      </c>
      <c r="M71" s="19">
        <v>30.0126572005186</v>
      </c>
      <c r="N71" s="19">
        <v>26.463596035225901</v>
      </c>
      <c r="O71" s="19">
        <v>22.0113376981943</v>
      </c>
    </row>
    <row r="72" spans="1:15" x14ac:dyDescent="0.25">
      <c r="A72" s="6" t="s">
        <v>87</v>
      </c>
      <c r="B72" s="6" t="s">
        <v>88</v>
      </c>
      <c r="C72" s="19">
        <v>29.996158524209299</v>
      </c>
      <c r="D72" s="19">
        <v>27.2307636179846</v>
      </c>
      <c r="E72" s="19">
        <v>38.796574192708299</v>
      </c>
      <c r="F72" s="19">
        <v>38.599930962098199</v>
      </c>
      <c r="G72" s="19">
        <v>27.639938215371899</v>
      </c>
      <c r="H72" s="19">
        <v>28.240422336281998</v>
      </c>
      <c r="I72" s="19">
        <v>31.2940991927967</v>
      </c>
      <c r="J72" s="19">
        <v>32.8953779174998</v>
      </c>
      <c r="K72" s="19">
        <v>38.828149191547503</v>
      </c>
      <c r="L72" s="19">
        <v>40.302942350493097</v>
      </c>
      <c r="M72" s="19">
        <v>41.910459953602597</v>
      </c>
      <c r="N72" s="19">
        <v>40.558319574543503</v>
      </c>
      <c r="O72" s="19">
        <v>33.750324352423299</v>
      </c>
    </row>
    <row r="73" spans="1:15" x14ac:dyDescent="0.25">
      <c r="A73" s="10" t="s">
        <v>683</v>
      </c>
      <c r="B73" s="10" t="s">
        <v>103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</row>
    <row r="74" spans="1:15" x14ac:dyDescent="0.25">
      <c r="A74" s="10" t="s">
        <v>684</v>
      </c>
      <c r="B74" s="10" t="s">
        <v>685</v>
      </c>
      <c r="C74" s="13" t="s">
        <v>198</v>
      </c>
      <c r="D74" s="13" t="s">
        <v>198</v>
      </c>
      <c r="E74" s="13" t="s">
        <v>198</v>
      </c>
      <c r="F74" s="13">
        <v>22.0006952818432</v>
      </c>
      <c r="G74" s="13">
        <v>43.196999365003599</v>
      </c>
      <c r="H74" s="13">
        <v>42.045233086062701</v>
      </c>
      <c r="I74" s="13">
        <v>38.005491811416903</v>
      </c>
      <c r="J74" s="13">
        <v>31.5882386714623</v>
      </c>
      <c r="K74" s="13">
        <v>26.9733394649639</v>
      </c>
      <c r="L74" s="13">
        <v>26.332099828801901</v>
      </c>
      <c r="M74" s="13">
        <v>25.971505975065199</v>
      </c>
      <c r="N74" s="13">
        <v>22.933235466682198</v>
      </c>
      <c r="O74" s="13">
        <v>24.287753557075899</v>
      </c>
    </row>
    <row r="75" spans="1:15" x14ac:dyDescent="0.25">
      <c r="A75" s="10" t="s">
        <v>686</v>
      </c>
      <c r="B75" s="10" t="s">
        <v>687</v>
      </c>
      <c r="C75" s="13" t="s">
        <v>198</v>
      </c>
      <c r="D75" s="13" t="s">
        <v>198</v>
      </c>
      <c r="E75" s="13" t="s">
        <v>198</v>
      </c>
      <c r="F75" s="13">
        <v>13.9057681887085</v>
      </c>
      <c r="G75" s="13">
        <v>17.899395644619901</v>
      </c>
      <c r="H75" s="13">
        <v>17.422142117292701</v>
      </c>
      <c r="I75" s="13">
        <v>16.2806330791344</v>
      </c>
      <c r="J75" s="13">
        <v>13.831099898570301</v>
      </c>
      <c r="K75" s="13">
        <v>11.810438581845</v>
      </c>
      <c r="L75" s="13">
        <v>11.529668405759701</v>
      </c>
      <c r="M75" s="13">
        <v>11.371779775172101</v>
      </c>
      <c r="N75" s="13">
        <v>10.0414547970247</v>
      </c>
      <c r="O75" s="13">
        <v>10.6345390855461</v>
      </c>
    </row>
    <row r="76" spans="1:15" x14ac:dyDescent="0.25">
      <c r="A76" s="10" t="s">
        <v>688</v>
      </c>
      <c r="B76" s="10" t="s">
        <v>689</v>
      </c>
      <c r="C76" s="13">
        <v>51.586818107394599</v>
      </c>
      <c r="D76" s="13">
        <v>44.2456160418214</v>
      </c>
      <c r="E76" s="13">
        <v>28.592342178829401</v>
      </c>
      <c r="F76" s="13">
        <v>8.0949270931346504</v>
      </c>
      <c r="G76" s="13">
        <v>25.297603720383801</v>
      </c>
      <c r="H76" s="13">
        <v>24.623090968770001</v>
      </c>
      <c r="I76" s="13">
        <v>21.724858732282499</v>
      </c>
      <c r="J76" s="13">
        <v>17.757138772891999</v>
      </c>
      <c r="K76" s="13">
        <v>15.162900883118899</v>
      </c>
      <c r="L76" s="13">
        <v>14.802431423042201</v>
      </c>
      <c r="M76" s="13">
        <v>14.5997261998931</v>
      </c>
      <c r="N76" s="13">
        <v>12.8917806696574</v>
      </c>
      <c r="O76" s="13">
        <v>13.6532144715298</v>
      </c>
    </row>
    <row r="77" spans="1:15" x14ac:dyDescent="0.25">
      <c r="A77" s="10" t="s">
        <v>690</v>
      </c>
      <c r="B77" s="10" t="s">
        <v>691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</row>
    <row r="78" spans="1:15" x14ac:dyDescent="0.25">
      <c r="A78" s="10" t="s">
        <v>692</v>
      </c>
      <c r="B78" s="10" t="s">
        <v>693</v>
      </c>
      <c r="C78" s="13">
        <v>13.6930220389229</v>
      </c>
      <c r="D78" s="13">
        <v>20.944745656974099</v>
      </c>
      <c r="E78" s="13">
        <v>23.412519855900999</v>
      </c>
      <c r="F78" s="13">
        <v>26.5238466504087</v>
      </c>
      <c r="G78" s="13">
        <v>19.628761219932201</v>
      </c>
      <c r="H78" s="13">
        <v>21.866753516404799</v>
      </c>
      <c r="I78" s="13">
        <v>24.939587783850001</v>
      </c>
      <c r="J78" s="13">
        <v>22.8184265612221</v>
      </c>
      <c r="K78" s="13">
        <v>23.1210779600762</v>
      </c>
      <c r="L78" s="13">
        <v>31.528211313524199</v>
      </c>
      <c r="M78" s="13">
        <v>29.730657542428599</v>
      </c>
      <c r="N78" s="13">
        <v>28.5037713159644</v>
      </c>
      <c r="O78" s="13">
        <v>40.608277801823398</v>
      </c>
    </row>
    <row r="79" spans="1:15" x14ac:dyDescent="0.25">
      <c r="A79" s="10" t="s">
        <v>694</v>
      </c>
      <c r="B79" s="10" t="s">
        <v>695</v>
      </c>
      <c r="C79" s="13">
        <v>4.6016409411342201</v>
      </c>
      <c r="D79" s="13">
        <v>7.4634635097810298</v>
      </c>
      <c r="E79" s="13">
        <v>9.1985637725612808</v>
      </c>
      <c r="F79" s="13">
        <v>12.809938691270199</v>
      </c>
      <c r="G79" s="13">
        <v>9.4510179900849902</v>
      </c>
      <c r="H79" s="13">
        <v>7.7474747227943404</v>
      </c>
      <c r="I79" s="13">
        <v>5.6581417241053904</v>
      </c>
      <c r="J79" s="13">
        <v>12.6015577421143</v>
      </c>
      <c r="K79" s="13">
        <v>10.9803270201096</v>
      </c>
      <c r="L79" s="13">
        <v>1.7167438239239901</v>
      </c>
      <c r="M79" s="13">
        <v>2.2508927014450402</v>
      </c>
      <c r="N79" s="13">
        <v>7.9405723508259598</v>
      </c>
      <c r="O79" s="13">
        <v>1.2881988948851599</v>
      </c>
    </row>
    <row r="80" spans="1:15" x14ac:dyDescent="0.25">
      <c r="A80" s="6" t="s">
        <v>696</v>
      </c>
      <c r="B80" s="6" t="s">
        <v>697</v>
      </c>
      <c r="C80" s="19">
        <v>69.881481087451704</v>
      </c>
      <c r="D80" s="19">
        <v>72.653825208576507</v>
      </c>
      <c r="E80" s="19">
        <v>61.203425807291701</v>
      </c>
      <c r="F80" s="19">
        <v>61.334480623521998</v>
      </c>
      <c r="G80" s="19">
        <v>72.276778575020899</v>
      </c>
      <c r="H80" s="19">
        <v>71.659461325261901</v>
      </c>
      <c r="I80" s="19">
        <v>68.603221319372295</v>
      </c>
      <c r="J80" s="19">
        <v>67.008222974798699</v>
      </c>
      <c r="K80" s="19">
        <v>61.074744445149697</v>
      </c>
      <c r="L80" s="19">
        <v>59.577054966250103</v>
      </c>
      <c r="M80" s="19">
        <v>57.953056218938798</v>
      </c>
      <c r="N80" s="19">
        <v>59.377579133472601</v>
      </c>
      <c r="O80" s="19">
        <v>66.184230253784506</v>
      </c>
    </row>
    <row r="81" spans="1:15" x14ac:dyDescent="0.25">
      <c r="A81" s="10" t="s">
        <v>698</v>
      </c>
      <c r="B81" s="10" t="s">
        <v>105</v>
      </c>
      <c r="C81" s="13">
        <v>0.12236038833896599</v>
      </c>
      <c r="D81" s="13">
        <v>0.11541117343887899</v>
      </c>
      <c r="E81" s="13">
        <v>0</v>
      </c>
      <c r="F81" s="13">
        <v>6.5588414379836299E-2</v>
      </c>
      <c r="G81" s="13">
        <v>8.3283209607196707E-2</v>
      </c>
      <c r="H81" s="13">
        <v>0.100116338456092</v>
      </c>
      <c r="I81" s="13">
        <v>0.10267948783098201</v>
      </c>
      <c r="J81" s="13">
        <v>9.63991077014998E-2</v>
      </c>
      <c r="K81" s="13">
        <v>9.7106363302794096E-2</v>
      </c>
      <c r="L81" s="13">
        <v>0.12000268325681</v>
      </c>
      <c r="M81" s="13">
        <v>0.136483827458586</v>
      </c>
      <c r="N81" s="13">
        <v>6.4101291983961306E-2</v>
      </c>
      <c r="O81" s="13">
        <v>6.5445393792210302E-2</v>
      </c>
    </row>
    <row r="82" spans="1:15" x14ac:dyDescent="0.25">
      <c r="A82" s="6" t="s">
        <v>89</v>
      </c>
      <c r="B82" s="6" t="s">
        <v>90</v>
      </c>
      <c r="C82" s="19">
        <v>18.417023368396102</v>
      </c>
      <c r="D82" s="19">
        <v>28.523620340194</v>
      </c>
      <c r="E82" s="19">
        <v>32.611083628462303</v>
      </c>
      <c r="F82" s="19">
        <v>61.400069037901801</v>
      </c>
      <c r="G82" s="19">
        <v>72.360061784628101</v>
      </c>
      <c r="H82" s="19">
        <v>71.759577663718005</v>
      </c>
      <c r="I82" s="19">
        <v>68.705900807203307</v>
      </c>
      <c r="J82" s="19">
        <v>67.1046220825002</v>
      </c>
      <c r="K82" s="19">
        <v>61.171850808452497</v>
      </c>
      <c r="L82" s="19">
        <v>59.697057649506903</v>
      </c>
      <c r="M82" s="19">
        <v>58.089540046397403</v>
      </c>
      <c r="N82" s="19">
        <v>59.441680425456497</v>
      </c>
      <c r="O82" s="19">
        <v>66.249675647576694</v>
      </c>
    </row>
    <row r="83" spans="1:15" x14ac:dyDescent="0.25">
      <c r="A83" s="6" t="s">
        <v>699</v>
      </c>
      <c r="B83" s="6" t="s">
        <v>700</v>
      </c>
      <c r="C83" s="19">
        <v>48.413181892605401</v>
      </c>
      <c r="D83" s="19">
        <v>55.7543839581786</v>
      </c>
      <c r="E83" s="19">
        <v>71.407657821170602</v>
      </c>
      <c r="F83" s="19">
        <v>100</v>
      </c>
      <c r="G83" s="19">
        <v>100</v>
      </c>
      <c r="H83" s="19">
        <v>100</v>
      </c>
      <c r="I83" s="19">
        <v>100</v>
      </c>
      <c r="J83" s="19">
        <v>100</v>
      </c>
      <c r="K83" s="19">
        <v>100</v>
      </c>
      <c r="L83" s="19">
        <v>100</v>
      </c>
      <c r="M83" s="19">
        <v>100</v>
      </c>
      <c r="N83" s="19">
        <v>100</v>
      </c>
      <c r="O83" s="19">
        <v>100</v>
      </c>
    </row>
    <row r="84" spans="1:15" x14ac:dyDescent="0.25">
      <c r="A84" s="6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</row>
    <row r="85" spans="1:15" x14ac:dyDescent="0.25">
      <c r="A85" s="6" t="s">
        <v>3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</row>
    <row r="86" spans="1:15" x14ac:dyDescent="0.25">
      <c r="A86" s="10" t="s">
        <v>284</v>
      </c>
      <c r="B86" s="10" t="s">
        <v>285</v>
      </c>
      <c r="C86" s="12" t="s">
        <v>286</v>
      </c>
      <c r="D86" s="12" t="s">
        <v>286</v>
      </c>
      <c r="E86" s="12" t="s">
        <v>286</v>
      </c>
      <c r="F86" s="12" t="s">
        <v>286</v>
      </c>
      <c r="G86" s="12" t="s">
        <v>286</v>
      </c>
      <c r="H86" s="12" t="s">
        <v>286</v>
      </c>
      <c r="I86" s="12" t="s">
        <v>286</v>
      </c>
      <c r="J86" s="12" t="s">
        <v>286</v>
      </c>
      <c r="K86" s="12" t="s">
        <v>286</v>
      </c>
      <c r="L86" s="12" t="s">
        <v>286</v>
      </c>
      <c r="M86" s="12" t="s">
        <v>286</v>
      </c>
      <c r="N86" s="12" t="s">
        <v>286</v>
      </c>
      <c r="O86" s="12" t="s">
        <v>286</v>
      </c>
    </row>
    <row r="87" spans="1:15" x14ac:dyDescent="0.25">
      <c r="A87" s="10" t="s">
        <v>701</v>
      </c>
      <c r="B87" s="10" t="s">
        <v>92</v>
      </c>
      <c r="C87" s="13">
        <v>16.894512537188699</v>
      </c>
      <c r="D87" s="13">
        <v>14.4902931089491</v>
      </c>
      <c r="E87" s="13">
        <v>9.27244368077967</v>
      </c>
      <c r="F87" s="13">
        <v>7.9978198429445699</v>
      </c>
      <c r="G87" s="13">
        <v>5.5299913636676097</v>
      </c>
      <c r="H87" s="13">
        <v>5.37076317058846</v>
      </c>
      <c r="I87" s="13">
        <v>5.0733542091393096</v>
      </c>
      <c r="J87" s="13">
        <v>4.4019402753569601</v>
      </c>
      <c r="K87" s="13">
        <v>3.7588366539400702</v>
      </c>
      <c r="L87" s="13">
        <v>3.6694776329444698</v>
      </c>
      <c r="M87" s="13">
        <v>3.6192273761245701</v>
      </c>
      <c r="N87" s="13">
        <v>3.1958329141103601</v>
      </c>
      <c r="O87" s="13">
        <v>3.3845902534014698</v>
      </c>
    </row>
    <row r="88" spans="1:15" x14ac:dyDescent="0.25">
      <c r="A88" s="10" t="s">
        <v>702</v>
      </c>
      <c r="B88" s="10" t="s">
        <v>703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 spans="1:15" x14ac:dyDescent="0.25">
      <c r="A89" s="10" t="s">
        <v>704</v>
      </c>
      <c r="B89" s="10" t="s">
        <v>705</v>
      </c>
      <c r="C89" s="13">
        <v>0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</row>
    <row r="90" spans="1:15" x14ac:dyDescent="0.25">
      <c r="A90" s="10" t="s">
        <v>706</v>
      </c>
      <c r="B90" s="10" t="s">
        <v>707</v>
      </c>
      <c r="C90" s="13">
        <v>0</v>
      </c>
      <c r="D90" s="13">
        <v>0</v>
      </c>
      <c r="E90" s="13">
        <v>1.1359284908293601</v>
      </c>
      <c r="F90" s="13">
        <v>1.2808476598871901</v>
      </c>
      <c r="G90" s="13">
        <v>1.35294019083402</v>
      </c>
      <c r="H90" s="13" t="s">
        <v>198</v>
      </c>
      <c r="I90" s="13" t="s">
        <v>198</v>
      </c>
      <c r="J90" s="13" t="s">
        <v>198</v>
      </c>
      <c r="K90" s="13" t="s">
        <v>198</v>
      </c>
      <c r="L90" s="13" t="s">
        <v>198</v>
      </c>
      <c r="M90" s="13" t="s">
        <v>198</v>
      </c>
      <c r="N90" s="13" t="s">
        <v>198</v>
      </c>
      <c r="O90" s="13" t="s">
        <v>198</v>
      </c>
    </row>
    <row r="91" spans="1:15" x14ac:dyDescent="0.25">
      <c r="A91" s="10" t="s">
        <v>708</v>
      </c>
      <c r="B91" s="10" t="s">
        <v>709</v>
      </c>
      <c r="C91" s="13" t="s">
        <v>198</v>
      </c>
      <c r="D91" s="13" t="s">
        <v>198</v>
      </c>
      <c r="E91" s="13">
        <v>0</v>
      </c>
      <c r="F91" s="13">
        <v>0</v>
      </c>
      <c r="G91" s="13">
        <v>0</v>
      </c>
      <c r="H91" s="13" t="s">
        <v>198</v>
      </c>
      <c r="I91" s="13" t="s">
        <v>198</v>
      </c>
      <c r="J91" s="13" t="s">
        <v>198</v>
      </c>
      <c r="K91" s="13" t="s">
        <v>198</v>
      </c>
      <c r="L91" s="13" t="s">
        <v>198</v>
      </c>
      <c r="M91" s="13" t="s">
        <v>198</v>
      </c>
      <c r="N91" s="13" t="s">
        <v>198</v>
      </c>
      <c r="O91" s="13" t="s">
        <v>198</v>
      </c>
    </row>
    <row r="92" spans="1:15" x14ac:dyDescent="0.25">
      <c r="A92" s="10" t="s">
        <v>710</v>
      </c>
      <c r="B92" s="10" t="s">
        <v>711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 t="s">
        <v>198</v>
      </c>
      <c r="I92" s="13" t="s">
        <v>198</v>
      </c>
      <c r="J92" s="13" t="s">
        <v>198</v>
      </c>
      <c r="K92" s="13" t="s">
        <v>198</v>
      </c>
      <c r="L92" s="13" t="s">
        <v>198</v>
      </c>
      <c r="M92" s="13" t="s">
        <v>198</v>
      </c>
      <c r="N92" s="13" t="s">
        <v>198</v>
      </c>
      <c r="O92" s="13" t="s">
        <v>198</v>
      </c>
    </row>
    <row r="93" spans="1:15" x14ac:dyDescent="0.25">
      <c r="A93" s="10" t="s">
        <v>712</v>
      </c>
      <c r="B93" s="10" t="s">
        <v>713</v>
      </c>
      <c r="C93" s="13">
        <v>-6.4875622200240404</v>
      </c>
      <c r="D93" s="13">
        <v>-12.6141330515209</v>
      </c>
      <c r="E93" s="13">
        <v>11.379234956045099</v>
      </c>
      <c r="F93" s="13">
        <v>11.232386957549201</v>
      </c>
      <c r="G93" s="13">
        <v>-15.657848648606</v>
      </c>
      <c r="H93" s="13">
        <v>-3.34985529981995</v>
      </c>
      <c r="I93" s="13">
        <v>2.7020498880917998</v>
      </c>
      <c r="J93" s="13">
        <v>5.4754850072445196</v>
      </c>
      <c r="K93" s="13">
        <v>8.8281820575114995</v>
      </c>
      <c r="L93" s="13">
        <v>16.4687420762308</v>
      </c>
      <c r="M93" s="13">
        <v>12.3363386562994</v>
      </c>
      <c r="N93" s="13">
        <v>16.314809773624901</v>
      </c>
      <c r="O93" s="13">
        <v>9.1584372665374101</v>
      </c>
    </row>
    <row r="94" spans="1:15" x14ac:dyDescent="0.25">
      <c r="A94" s="10" t="s">
        <v>714</v>
      </c>
      <c r="B94" s="10" t="s">
        <v>715</v>
      </c>
      <c r="C94" s="13">
        <v>-0.16611765535859899</v>
      </c>
      <c r="D94" s="13">
        <v>-0.17887018552505901</v>
      </c>
      <c r="E94" s="13">
        <v>9.03129577035435E-2</v>
      </c>
      <c r="F94" s="13">
        <v>4.0040689506140398E-2</v>
      </c>
      <c r="G94" s="13">
        <v>-3.3324986737028002E-2</v>
      </c>
      <c r="H94" s="13">
        <v>-6.9975532963344501E-3</v>
      </c>
      <c r="I94" s="13">
        <v>5.56066549316257E-3</v>
      </c>
      <c r="J94" s="13">
        <v>1.0001786185592601E-2</v>
      </c>
      <c r="K94" s="13">
        <v>1.5105544542550199E-2</v>
      </c>
      <c r="L94" s="13">
        <v>2.8188697940436901E-2</v>
      </c>
      <c r="M94" s="13">
        <v>2.14026467115229E-2</v>
      </c>
      <c r="N94" s="13">
        <v>2.4425208588830901E-2</v>
      </c>
      <c r="O94" s="13">
        <v>1.3028877289924299E-2</v>
      </c>
    </row>
    <row r="95" spans="1:15" x14ac:dyDescent="0.25">
      <c r="A95" s="10" t="s">
        <v>716</v>
      </c>
      <c r="B95" s="10" t="s">
        <v>717</v>
      </c>
      <c r="C95" s="13">
        <v>-7.3436624043545104E-2</v>
      </c>
      <c r="D95" s="13">
        <v>1.52828192586763E-2</v>
      </c>
      <c r="E95" s="13">
        <v>-3.7706858481147597E-2</v>
      </c>
      <c r="F95" s="13">
        <v>8.0411072093040201E-2</v>
      </c>
      <c r="G95" s="13">
        <v>9.5386296842685694E-2</v>
      </c>
      <c r="H95" s="13">
        <v>8.7876962058157704E-2</v>
      </c>
      <c r="I95" s="13">
        <v>7.8901619052765701E-2</v>
      </c>
      <c r="J95" s="13">
        <v>6.6887934921850301E-2</v>
      </c>
      <c r="K95" s="13">
        <v>4.7358321737439701E-2</v>
      </c>
      <c r="L95" s="13">
        <v>4.68030083334742E-2</v>
      </c>
      <c r="M95" s="13">
        <v>4.6011311893623397E-2</v>
      </c>
      <c r="N95" s="13">
        <v>4.1612096189937199E-2</v>
      </c>
      <c r="O95" s="13">
        <v>5.2558143011078501E-2</v>
      </c>
    </row>
    <row r="96" spans="1:15" x14ac:dyDescent="0.25">
      <c r="A96" s="10" t="s">
        <v>718</v>
      </c>
      <c r="B96" s="10" t="s">
        <v>719</v>
      </c>
      <c r="C96" s="13">
        <v>1.07966502104748E-2</v>
      </c>
      <c r="D96" s="13">
        <v>1.1087238454190801E-2</v>
      </c>
      <c r="E96" s="13">
        <v>9.6384198785712891E-3</v>
      </c>
      <c r="F96" s="13">
        <v>9.6875440693362808E-3</v>
      </c>
      <c r="G96" s="13">
        <v>1.1044897039172399E-2</v>
      </c>
      <c r="H96" s="13">
        <v>9.1937420160746498E-3</v>
      </c>
      <c r="I96" s="13">
        <v>6.6918224342210099E-3</v>
      </c>
      <c r="J96" s="13">
        <v>4.4520908790440499E-3</v>
      </c>
      <c r="K96" s="13">
        <v>3.28527233868171E-3</v>
      </c>
      <c r="L96" s="13">
        <v>2.6025659843861202E-3</v>
      </c>
      <c r="M96" s="13">
        <v>3.2519786884634399E-3</v>
      </c>
      <c r="N96" s="13">
        <v>2.3490523632562601E-3</v>
      </c>
      <c r="O96" s="13">
        <v>3.0445076555465698E-3</v>
      </c>
    </row>
    <row r="97" spans="1:15" x14ac:dyDescent="0.25">
      <c r="A97" s="10" t="s">
        <v>720</v>
      </c>
      <c r="B97" s="10" t="s">
        <v>721</v>
      </c>
      <c r="C97" s="13" t="s">
        <v>198</v>
      </c>
      <c r="D97" s="13">
        <v>1.0129567465746301</v>
      </c>
      <c r="E97" s="13">
        <v>0.620712381315916</v>
      </c>
      <c r="F97" s="13">
        <v>0.46583170173963001</v>
      </c>
      <c r="G97" s="13">
        <v>0.42058649810967202</v>
      </c>
      <c r="H97" s="13">
        <v>0.40941976489201898</v>
      </c>
      <c r="I97" s="13">
        <v>0.419155187900211</v>
      </c>
      <c r="J97" s="13">
        <v>0.34230544170781102</v>
      </c>
      <c r="K97" s="13">
        <v>0.27591409456655702</v>
      </c>
      <c r="L97" s="13">
        <v>0.29391578671051199</v>
      </c>
      <c r="M97" s="13">
        <v>0.278038940269283</v>
      </c>
      <c r="N97" s="13">
        <v>0.26395281185228298</v>
      </c>
      <c r="O97" s="13">
        <v>0.25286098535052398</v>
      </c>
    </row>
    <row r="98" spans="1:15" x14ac:dyDescent="0.25">
      <c r="A98" s="10" t="s">
        <v>722</v>
      </c>
      <c r="B98" s="10" t="s">
        <v>723</v>
      </c>
      <c r="C98" s="13" t="s">
        <v>198</v>
      </c>
      <c r="D98" s="13" t="s">
        <v>198</v>
      </c>
      <c r="E98" s="13">
        <v>5467</v>
      </c>
      <c r="F98" s="13">
        <v>5467</v>
      </c>
      <c r="G98" s="13">
        <v>5908</v>
      </c>
      <c r="H98" s="13">
        <v>5805</v>
      </c>
      <c r="I98" s="13">
        <v>6836</v>
      </c>
      <c r="J98" s="13">
        <v>8080</v>
      </c>
      <c r="K98" s="13">
        <v>8422</v>
      </c>
      <c r="L98" s="13">
        <v>9759</v>
      </c>
      <c r="M98" s="13">
        <v>10281</v>
      </c>
      <c r="N98" s="13">
        <v>8893</v>
      </c>
      <c r="O98" s="13" t="s">
        <v>198</v>
      </c>
    </row>
    <row r="99" spans="1:15" x14ac:dyDescent="0.25">
      <c r="A99" s="7" t="s">
        <v>65</v>
      </c>
      <c r="B99" s="7"/>
      <c r="C99" s="7" t="s">
        <v>4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70"/>
  <sheetViews>
    <sheetView workbookViewId="0">
      <selection activeCell="J12" sqref="J12"/>
    </sheetView>
  </sheetViews>
  <sheetFormatPr baseColWidth="10" defaultRowHeight="15" x14ac:dyDescent="0.25"/>
  <cols>
    <col min="1" max="1" width="35.140625" customWidth="1"/>
    <col min="2" max="2" width="0" hidden="1" customWidth="1"/>
    <col min="3" max="16" width="11.855468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0.25" x14ac:dyDescent="0.25">
      <c r="A2" s="8" t="s">
        <v>566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25">
      <c r="A4" s="3" t="s">
        <v>67</v>
      </c>
      <c r="B4" s="3"/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196</v>
      </c>
    </row>
    <row r="5" spans="1:16" x14ac:dyDescent="0.25">
      <c r="A5" s="9" t="s">
        <v>21</v>
      </c>
      <c r="B5" s="9"/>
      <c r="C5" s="5" t="s">
        <v>22</v>
      </c>
      <c r="D5" s="5" t="s">
        <v>23</v>
      </c>
      <c r="E5" s="5" t="s">
        <v>24</v>
      </c>
      <c r="F5" s="5" t="s">
        <v>25</v>
      </c>
      <c r="G5" s="5" t="s">
        <v>26</v>
      </c>
      <c r="H5" s="5" t="s">
        <v>27</v>
      </c>
      <c r="I5" s="5" t="s">
        <v>28</v>
      </c>
      <c r="J5" s="5" t="s">
        <v>29</v>
      </c>
      <c r="K5" s="5" t="s">
        <v>30</v>
      </c>
      <c r="L5" s="5" t="s">
        <v>31</v>
      </c>
      <c r="M5" s="5" t="s">
        <v>32</v>
      </c>
      <c r="N5" s="5" t="s">
        <v>33</v>
      </c>
      <c r="O5" s="5" t="s">
        <v>34</v>
      </c>
      <c r="P5" s="5" t="s">
        <v>34</v>
      </c>
    </row>
    <row r="6" spans="1:16" x14ac:dyDescent="0.25">
      <c r="A6" s="6" t="s">
        <v>987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21"/>
    </row>
    <row r="7" spans="1:16" x14ac:dyDescent="0.25">
      <c r="A7" s="10" t="s">
        <v>988</v>
      </c>
      <c r="B7" s="10" t="s">
        <v>989</v>
      </c>
      <c r="C7" s="13">
        <v>1551.7629999999999</v>
      </c>
      <c r="D7" s="13">
        <v>2635.768</v>
      </c>
      <c r="E7" s="13">
        <v>5308.4530000000004</v>
      </c>
      <c r="F7" s="13">
        <v>3147.748</v>
      </c>
      <c r="G7" s="13">
        <v>5193.1850000000004</v>
      </c>
      <c r="H7" s="13">
        <v>4024.8789999999999</v>
      </c>
      <c r="I7" s="13">
        <v>3712.0219999999999</v>
      </c>
      <c r="J7" s="13">
        <v>5146.0200000000004</v>
      </c>
      <c r="K7" s="13">
        <v>5019.732</v>
      </c>
      <c r="L7" s="13">
        <v>5856.2950000000001</v>
      </c>
      <c r="M7" s="13">
        <v>4715.7370000000001</v>
      </c>
      <c r="N7" s="13">
        <v>3949.723</v>
      </c>
      <c r="O7" s="13">
        <v>8646.3970000000008</v>
      </c>
      <c r="P7" s="16">
        <v>8646.3970000000008</v>
      </c>
    </row>
    <row r="8" spans="1:16" x14ac:dyDescent="0.25">
      <c r="A8" s="10" t="s">
        <v>514</v>
      </c>
      <c r="B8" s="10" t="s">
        <v>990</v>
      </c>
      <c r="C8" s="13">
        <v>186.85900000000001</v>
      </c>
      <c r="D8" s="13">
        <v>283.91199999999998</v>
      </c>
      <c r="E8" s="13">
        <v>249.28800000000001</v>
      </c>
      <c r="F8" s="13">
        <v>451.47</v>
      </c>
      <c r="G8" s="13">
        <v>435.01499999999999</v>
      </c>
      <c r="H8" s="13">
        <v>530.68799999999999</v>
      </c>
      <c r="I8" s="13">
        <v>685.42499999999995</v>
      </c>
      <c r="J8" s="13">
        <v>714.45899999999995</v>
      </c>
      <c r="K8" s="13">
        <v>816.96900000000005</v>
      </c>
      <c r="L8" s="13">
        <v>953.39300000000003</v>
      </c>
      <c r="M8" s="13">
        <v>1073.7929999999999</v>
      </c>
      <c r="N8" s="13">
        <v>1137.1110000000001</v>
      </c>
      <c r="O8" s="13">
        <v>1349.4760000000001</v>
      </c>
      <c r="P8" s="16">
        <v>1349.4760000000001</v>
      </c>
    </row>
    <row r="9" spans="1:16" x14ac:dyDescent="0.25">
      <c r="A9" s="10" t="s">
        <v>991</v>
      </c>
      <c r="B9" s="10" t="s">
        <v>992</v>
      </c>
      <c r="C9" s="13">
        <v>1898.154</v>
      </c>
      <c r="D9" s="13">
        <v>1358.444</v>
      </c>
      <c r="E9" s="13">
        <v>-54.438000000000002</v>
      </c>
      <c r="F9" s="13">
        <v>3219.3319999999999</v>
      </c>
      <c r="G9" s="13">
        <v>777.91300000000001</v>
      </c>
      <c r="H9" s="13">
        <v>-73.031999999999996</v>
      </c>
      <c r="I9" s="13">
        <v>842.72400000000005</v>
      </c>
      <c r="J9" s="13">
        <v>738.45399999999995</v>
      </c>
      <c r="K9" s="13">
        <v>-1524.7139999999999</v>
      </c>
      <c r="L9" s="13">
        <v>-1094.0709999999999</v>
      </c>
      <c r="M9" s="13">
        <v>-2522.6149999999998</v>
      </c>
      <c r="N9" s="13">
        <v>1632.8119999999999</v>
      </c>
      <c r="O9" s="13">
        <v>-1969.78</v>
      </c>
      <c r="P9" s="16">
        <v>-1969.78</v>
      </c>
    </row>
    <row r="10" spans="1:16" x14ac:dyDescent="0.25">
      <c r="A10" s="10" t="s">
        <v>993</v>
      </c>
      <c r="B10" s="10" t="s">
        <v>994</v>
      </c>
      <c r="C10" s="13">
        <v>-3.819</v>
      </c>
      <c r="D10" s="13">
        <v>3.9409999999999998</v>
      </c>
      <c r="E10" s="13">
        <v>-0.39600000000000002</v>
      </c>
      <c r="F10" s="13" t="s">
        <v>198</v>
      </c>
      <c r="G10" s="13" t="s">
        <v>198</v>
      </c>
      <c r="H10" s="13" t="s">
        <v>198</v>
      </c>
      <c r="I10" s="13" t="s">
        <v>198</v>
      </c>
      <c r="J10" s="13" t="s">
        <v>198</v>
      </c>
      <c r="K10" s="13" t="s">
        <v>198</v>
      </c>
      <c r="L10" s="13" t="s">
        <v>198</v>
      </c>
      <c r="M10" s="13" t="s">
        <v>198</v>
      </c>
      <c r="N10" s="13" t="s">
        <v>198</v>
      </c>
      <c r="O10" s="13" t="s">
        <v>198</v>
      </c>
      <c r="P10" s="16"/>
    </row>
    <row r="11" spans="1:16" x14ac:dyDescent="0.25">
      <c r="A11" s="10" t="s">
        <v>995</v>
      </c>
      <c r="B11" s="10" t="s">
        <v>996</v>
      </c>
      <c r="C11" s="13">
        <v>1901.973</v>
      </c>
      <c r="D11" s="13">
        <v>1354.5029999999999</v>
      </c>
      <c r="E11" s="13">
        <v>-54.042000000000002</v>
      </c>
      <c r="F11" s="13">
        <v>3219.3319999999999</v>
      </c>
      <c r="G11" s="13">
        <v>777.91300000000001</v>
      </c>
      <c r="H11" s="13">
        <v>-73.031999999999996</v>
      </c>
      <c r="I11" s="13">
        <v>842.72400000000005</v>
      </c>
      <c r="J11" s="13">
        <v>738.45399999999995</v>
      </c>
      <c r="K11" s="13">
        <v>-1524.7139999999999</v>
      </c>
      <c r="L11" s="13">
        <v>-1094.0709999999999</v>
      </c>
      <c r="M11" s="13">
        <v>-2522.6149999999998</v>
      </c>
      <c r="N11" s="13">
        <v>1632.8119999999999</v>
      </c>
      <c r="O11" s="13">
        <v>-1969.78</v>
      </c>
      <c r="P11" s="16">
        <v>-1969.78</v>
      </c>
    </row>
    <row r="12" spans="1:16" x14ac:dyDescent="0.25">
      <c r="A12" s="10" t="s">
        <v>997</v>
      </c>
      <c r="B12" s="10" t="s">
        <v>998</v>
      </c>
      <c r="C12" s="13">
        <v>-1969.258</v>
      </c>
      <c r="D12" s="13">
        <v>-1294.009</v>
      </c>
      <c r="E12" s="13">
        <v>-3362.674</v>
      </c>
      <c r="F12" s="13">
        <v>-3688.2979999999998</v>
      </c>
      <c r="G12" s="13">
        <v>-4255.1719999999996</v>
      </c>
      <c r="H12" s="13">
        <v>-4900.3450000000003</v>
      </c>
      <c r="I12" s="13">
        <v>-3210.1289999999999</v>
      </c>
      <c r="J12" s="13">
        <v>-3126.1030000000001</v>
      </c>
      <c r="K12" s="13">
        <v>-177.57499999999999</v>
      </c>
      <c r="L12" s="13">
        <v>-7831.8019999999997</v>
      </c>
      <c r="M12" s="13">
        <v>-2992.5509999999999</v>
      </c>
      <c r="N12" s="13">
        <v>3709.6080000000002</v>
      </c>
      <c r="O12" s="13">
        <v>-432.02</v>
      </c>
      <c r="P12" s="16">
        <v>-432.02</v>
      </c>
    </row>
    <row r="13" spans="1:16" x14ac:dyDescent="0.25">
      <c r="A13" s="10" t="s">
        <v>999</v>
      </c>
      <c r="B13" s="10" t="s">
        <v>1000</v>
      </c>
      <c r="C13" s="13">
        <v>-463.11599999999999</v>
      </c>
      <c r="D13" s="13">
        <v>-914.73299999999995</v>
      </c>
      <c r="E13" s="13">
        <v>-1034.1579999999999</v>
      </c>
      <c r="F13" s="13">
        <v>-1103.8320000000001</v>
      </c>
      <c r="G13" s="13">
        <v>-716.03399999999999</v>
      </c>
      <c r="H13" s="13">
        <v>-1426.0450000000001</v>
      </c>
      <c r="I13" s="13">
        <v>-1064.0889999999999</v>
      </c>
      <c r="J13" s="13">
        <v>-4.9569999999999999</v>
      </c>
      <c r="K13" s="13">
        <v>-1043.202</v>
      </c>
      <c r="L13" s="13">
        <v>-1900.087</v>
      </c>
      <c r="M13" s="13">
        <v>-12.435</v>
      </c>
      <c r="N13" s="13">
        <v>6.5960000000000001</v>
      </c>
      <c r="O13" s="13">
        <v>-434.86700000000002</v>
      </c>
      <c r="P13" s="16">
        <v>-434.86700000000002</v>
      </c>
    </row>
    <row r="14" spans="1:16" x14ac:dyDescent="0.25">
      <c r="A14" s="10" t="s">
        <v>1001</v>
      </c>
      <c r="B14" s="10" t="s">
        <v>1002</v>
      </c>
      <c r="C14" s="13">
        <v>-1038.9269999999999</v>
      </c>
      <c r="D14" s="13">
        <v>-799.952</v>
      </c>
      <c r="E14" s="13">
        <v>-966.39800000000002</v>
      </c>
      <c r="F14" s="13">
        <v>-1555.886</v>
      </c>
      <c r="G14" s="13">
        <v>-2103.078</v>
      </c>
      <c r="H14" s="13">
        <v>-2861.3620000000001</v>
      </c>
      <c r="I14" s="13">
        <v>-3461.145</v>
      </c>
      <c r="J14" s="13">
        <v>-2041.5719999999999</v>
      </c>
      <c r="K14" s="13">
        <v>-1467.95</v>
      </c>
      <c r="L14" s="13">
        <v>-6938.1620000000003</v>
      </c>
      <c r="M14" s="13">
        <v>220.29499999999999</v>
      </c>
      <c r="N14" s="13">
        <v>3711.0410000000002</v>
      </c>
      <c r="O14" s="13">
        <v>141.72</v>
      </c>
      <c r="P14" s="16">
        <v>141.72</v>
      </c>
    </row>
    <row r="15" spans="1:16" x14ac:dyDescent="0.25">
      <c r="A15" s="10" t="s">
        <v>1003</v>
      </c>
      <c r="B15" s="10" t="s">
        <v>1004</v>
      </c>
      <c r="C15" s="13">
        <v>76.231999999999999</v>
      </c>
      <c r="D15" s="13">
        <v>11.701000000000001</v>
      </c>
      <c r="E15" s="13">
        <v>817.28599999999994</v>
      </c>
      <c r="F15" s="13" t="s">
        <v>198</v>
      </c>
      <c r="G15" s="13" t="s">
        <v>198</v>
      </c>
      <c r="H15" s="13">
        <v>-934.69799999999998</v>
      </c>
      <c r="I15" s="13">
        <v>1506.8589999999999</v>
      </c>
      <c r="J15" s="13">
        <v>138.98500000000001</v>
      </c>
      <c r="K15" s="13">
        <v>1795.7239999999999</v>
      </c>
      <c r="L15" s="13">
        <v>-353.55099999999999</v>
      </c>
      <c r="M15" s="13">
        <v>972.96100000000001</v>
      </c>
      <c r="N15" s="13">
        <v>152.649</v>
      </c>
      <c r="O15" s="13">
        <v>-77.266999999999996</v>
      </c>
      <c r="P15" s="16">
        <v>-77.267000000000095</v>
      </c>
    </row>
    <row r="16" spans="1:16" x14ac:dyDescent="0.25">
      <c r="A16" s="10" t="s">
        <v>1005</v>
      </c>
      <c r="B16" s="10" t="s">
        <v>1006</v>
      </c>
      <c r="C16" s="13">
        <v>-543.447</v>
      </c>
      <c r="D16" s="13">
        <v>408.97500000000002</v>
      </c>
      <c r="E16" s="13">
        <v>-2179.404</v>
      </c>
      <c r="F16" s="13">
        <v>-1028.58</v>
      </c>
      <c r="G16" s="13">
        <v>-1436.06</v>
      </c>
      <c r="H16" s="13">
        <v>321.76</v>
      </c>
      <c r="I16" s="13">
        <v>-191.75399999999999</v>
      </c>
      <c r="J16" s="13">
        <v>-1218.559</v>
      </c>
      <c r="K16" s="13">
        <v>537.85299999999995</v>
      </c>
      <c r="L16" s="13">
        <v>1359.998</v>
      </c>
      <c r="M16" s="13">
        <v>-4173.3720000000003</v>
      </c>
      <c r="N16" s="13">
        <v>-160.678</v>
      </c>
      <c r="O16" s="13">
        <v>-61.606000000000002</v>
      </c>
      <c r="P16" s="16">
        <v>-61.605999999999803</v>
      </c>
    </row>
    <row r="17" spans="1:16" x14ac:dyDescent="0.25">
      <c r="A17" s="10" t="s">
        <v>1007</v>
      </c>
      <c r="B17" s="10" t="s">
        <v>1008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6">
        <v>0</v>
      </c>
    </row>
    <row r="18" spans="1:16" x14ac:dyDescent="0.25">
      <c r="A18" s="6" t="s">
        <v>987</v>
      </c>
      <c r="B18" s="6" t="s">
        <v>60</v>
      </c>
      <c r="C18" s="19">
        <v>1667.518</v>
      </c>
      <c r="D18" s="19">
        <v>2984.1149999999998</v>
      </c>
      <c r="E18" s="19">
        <v>2140.6289999999999</v>
      </c>
      <c r="F18" s="19">
        <v>3130.252</v>
      </c>
      <c r="G18" s="19">
        <v>2150.9409999999998</v>
      </c>
      <c r="H18" s="19">
        <v>-417.81</v>
      </c>
      <c r="I18" s="19">
        <v>2030.0419999999999</v>
      </c>
      <c r="J18" s="19">
        <v>3472.83</v>
      </c>
      <c r="K18" s="19">
        <v>4134.4120000000003</v>
      </c>
      <c r="L18" s="19">
        <v>-2116.1849999999999</v>
      </c>
      <c r="M18" s="19">
        <v>274.36399999999998</v>
      </c>
      <c r="N18" s="19">
        <v>10429.254000000001</v>
      </c>
      <c r="O18" s="19">
        <v>7594.0730000000003</v>
      </c>
      <c r="P18" s="22">
        <v>7594.0730000000003</v>
      </c>
    </row>
    <row r="19" spans="1:16" x14ac:dyDescent="0.25">
      <c r="A19" s="6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21"/>
    </row>
    <row r="20" spans="1:16" x14ac:dyDescent="0.25">
      <c r="A20" s="6" t="s">
        <v>1009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21"/>
    </row>
    <row r="21" spans="1:16" x14ac:dyDescent="0.25">
      <c r="A21" s="10" t="s">
        <v>1010</v>
      </c>
      <c r="B21" s="10" t="s">
        <v>1011</v>
      </c>
      <c r="C21" s="13">
        <v>-680.98800000000006</v>
      </c>
      <c r="D21" s="13">
        <v>-819.07299999999998</v>
      </c>
      <c r="E21" s="13">
        <v>-584.71699999999998</v>
      </c>
      <c r="F21" s="13">
        <v>-1034.3599999999999</v>
      </c>
      <c r="G21" s="13">
        <v>-1044.7670000000001</v>
      </c>
      <c r="H21" s="13">
        <v>-992.21299999999997</v>
      </c>
      <c r="I21" s="13">
        <v>-2215.288</v>
      </c>
      <c r="J21" s="13">
        <v>-3620.4639999999999</v>
      </c>
      <c r="K21" s="13">
        <v>-5239.7250000000004</v>
      </c>
      <c r="L21" s="13">
        <v>-3924.1819999999998</v>
      </c>
      <c r="M21" s="13">
        <v>-3211.7669999999998</v>
      </c>
      <c r="N21" s="13">
        <v>-2206.0549999999998</v>
      </c>
      <c r="O21" s="13">
        <v>-1712.566</v>
      </c>
      <c r="P21" s="16">
        <v>-1712.566</v>
      </c>
    </row>
    <row r="22" spans="1:16" x14ac:dyDescent="0.25">
      <c r="A22" s="10" t="s">
        <v>1012</v>
      </c>
      <c r="B22" s="10" t="s">
        <v>1013</v>
      </c>
      <c r="C22" s="13">
        <v>4.367</v>
      </c>
      <c r="D22" s="13">
        <v>26.324000000000002</v>
      </c>
      <c r="E22" s="13">
        <v>0</v>
      </c>
      <c r="F22" s="13">
        <v>0</v>
      </c>
      <c r="G22" s="13">
        <v>21.247</v>
      </c>
      <c r="H22" s="13">
        <v>7.7779999999999996</v>
      </c>
      <c r="I22" s="13">
        <v>12.006</v>
      </c>
      <c r="J22" s="13">
        <v>15.653</v>
      </c>
      <c r="K22" s="13">
        <v>10.42</v>
      </c>
      <c r="L22" s="13">
        <v>0</v>
      </c>
      <c r="M22" s="13">
        <v>0</v>
      </c>
      <c r="N22" s="13">
        <v>0</v>
      </c>
      <c r="O22" s="13">
        <v>0</v>
      </c>
      <c r="P22" s="16">
        <v>0</v>
      </c>
    </row>
    <row r="23" spans="1:16" x14ac:dyDescent="0.25">
      <c r="A23" s="11" t="s">
        <v>1014</v>
      </c>
      <c r="B23" s="11" t="s">
        <v>1015</v>
      </c>
      <c r="C23" s="25">
        <v>4.367</v>
      </c>
      <c r="D23" s="25">
        <v>26.324000000000002</v>
      </c>
      <c r="E23" s="25">
        <v>0</v>
      </c>
      <c r="F23" s="25">
        <v>0</v>
      </c>
      <c r="G23" s="25">
        <v>3.9820000000000002</v>
      </c>
      <c r="H23" s="25">
        <v>7.7779999999999996</v>
      </c>
      <c r="I23" s="25">
        <v>12.006</v>
      </c>
      <c r="J23" s="25">
        <v>15.653</v>
      </c>
      <c r="K23" s="25">
        <v>10.42</v>
      </c>
      <c r="L23" s="25">
        <v>0</v>
      </c>
      <c r="M23" s="25" t="s">
        <v>198</v>
      </c>
      <c r="N23" s="25" t="s">
        <v>198</v>
      </c>
      <c r="O23" s="25">
        <v>0</v>
      </c>
      <c r="P23" s="28">
        <v>0</v>
      </c>
    </row>
    <row r="24" spans="1:16" x14ac:dyDescent="0.25">
      <c r="A24" s="11" t="s">
        <v>1016</v>
      </c>
      <c r="B24" s="11" t="s">
        <v>1017</v>
      </c>
      <c r="C24" s="25">
        <v>0</v>
      </c>
      <c r="D24" s="25">
        <v>0</v>
      </c>
      <c r="E24" s="25">
        <v>0</v>
      </c>
      <c r="F24" s="25">
        <v>0</v>
      </c>
      <c r="G24" s="25">
        <v>17.265000000000001</v>
      </c>
      <c r="H24" s="25">
        <v>0</v>
      </c>
      <c r="I24" s="25">
        <v>0</v>
      </c>
      <c r="J24" s="25">
        <v>0</v>
      </c>
      <c r="K24" s="25">
        <v>0</v>
      </c>
      <c r="L24" s="25">
        <v>0</v>
      </c>
      <c r="M24" s="25" t="s">
        <v>198</v>
      </c>
      <c r="N24" s="25" t="s">
        <v>198</v>
      </c>
      <c r="O24" s="25">
        <v>0</v>
      </c>
      <c r="P24" s="28">
        <v>0</v>
      </c>
    </row>
    <row r="25" spans="1:16" x14ac:dyDescent="0.25">
      <c r="A25" s="10" t="s">
        <v>1018</v>
      </c>
      <c r="B25" s="10" t="s">
        <v>1019</v>
      </c>
      <c r="C25" s="13">
        <v>-685.35500000000002</v>
      </c>
      <c r="D25" s="13">
        <v>-845.39700000000005</v>
      </c>
      <c r="E25" s="13">
        <v>-584.71699999999998</v>
      </c>
      <c r="F25" s="13">
        <v>-1034.3599999999999</v>
      </c>
      <c r="G25" s="13">
        <v>-1066.0139999999999</v>
      </c>
      <c r="H25" s="13">
        <v>-999.99099999999999</v>
      </c>
      <c r="I25" s="13">
        <v>-2227.2939999999999</v>
      </c>
      <c r="J25" s="13">
        <v>-3636.1170000000002</v>
      </c>
      <c r="K25" s="13">
        <v>-5250.1450000000004</v>
      </c>
      <c r="L25" s="13">
        <v>-3924.1819999999998</v>
      </c>
      <c r="M25" s="13">
        <v>-3211.7669999999998</v>
      </c>
      <c r="N25" s="13">
        <v>-2206.0549999999998</v>
      </c>
      <c r="O25" s="13">
        <v>-1712.566</v>
      </c>
      <c r="P25" s="16">
        <v>-1712.566</v>
      </c>
    </row>
    <row r="26" spans="1:16" x14ac:dyDescent="0.25">
      <c r="A26" s="11" t="s">
        <v>1020</v>
      </c>
      <c r="B26" s="11" t="s">
        <v>1021</v>
      </c>
      <c r="C26" s="25">
        <v>-655.09500000000003</v>
      </c>
      <c r="D26" s="25">
        <v>-840.22699999999998</v>
      </c>
      <c r="E26" s="25">
        <v>-543.69200000000001</v>
      </c>
      <c r="F26" s="25">
        <v>-828.93100000000004</v>
      </c>
      <c r="G26" s="25">
        <v>-1066.0139999999999</v>
      </c>
      <c r="H26" s="25">
        <v>-811.423</v>
      </c>
      <c r="I26" s="25">
        <v>-2038.09</v>
      </c>
      <c r="J26" s="25">
        <v>-3544.31</v>
      </c>
      <c r="K26" s="25">
        <v>-2197.4560000000001</v>
      </c>
      <c r="L26" s="25">
        <v>-3728.2510000000002</v>
      </c>
      <c r="M26" s="25">
        <v>-3115.16</v>
      </c>
      <c r="N26" s="25">
        <v>-2041.038</v>
      </c>
      <c r="O26" s="25">
        <v>-1506.249</v>
      </c>
      <c r="P26" s="28"/>
    </row>
    <row r="27" spans="1:16" x14ac:dyDescent="0.25">
      <c r="A27" s="11" t="s">
        <v>1022</v>
      </c>
      <c r="B27" s="11" t="s">
        <v>1023</v>
      </c>
      <c r="C27" s="25">
        <v>-30.26</v>
      </c>
      <c r="D27" s="25">
        <v>-5.17</v>
      </c>
      <c r="E27" s="25">
        <v>-41.024999999999999</v>
      </c>
      <c r="F27" s="25">
        <v>-205.429</v>
      </c>
      <c r="G27" s="25">
        <v>0</v>
      </c>
      <c r="H27" s="25">
        <v>-188.56800000000001</v>
      </c>
      <c r="I27" s="25">
        <v>-189.20400000000001</v>
      </c>
      <c r="J27" s="25">
        <v>-91.807000000000002</v>
      </c>
      <c r="K27" s="25">
        <v>-3052.6889999999999</v>
      </c>
      <c r="L27" s="25">
        <v>-195.93100000000001</v>
      </c>
      <c r="M27" s="25">
        <v>-96.606999999999999</v>
      </c>
      <c r="N27" s="25">
        <v>-165.017</v>
      </c>
      <c r="O27" s="25">
        <v>-206.31700000000001</v>
      </c>
      <c r="P27" s="28"/>
    </row>
    <row r="28" spans="1:16" x14ac:dyDescent="0.25">
      <c r="A28" s="10" t="s">
        <v>1024</v>
      </c>
      <c r="B28" s="10" t="s">
        <v>1025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6">
        <v>0</v>
      </c>
    </row>
    <row r="29" spans="1:16" x14ac:dyDescent="0.25">
      <c r="A29" s="10" t="s">
        <v>1026</v>
      </c>
      <c r="B29" s="10" t="s">
        <v>1027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6">
        <v>0</v>
      </c>
    </row>
    <row r="30" spans="1:16" x14ac:dyDescent="0.25">
      <c r="A30" s="10" t="s">
        <v>1028</v>
      </c>
      <c r="B30" s="10" t="s">
        <v>1029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6">
        <v>0</v>
      </c>
    </row>
    <row r="31" spans="1:16" x14ac:dyDescent="0.25">
      <c r="A31" s="10" t="s">
        <v>1030</v>
      </c>
      <c r="B31" s="10" t="s">
        <v>1031</v>
      </c>
      <c r="C31" s="13">
        <v>0</v>
      </c>
      <c r="D31" s="13">
        <v>0</v>
      </c>
      <c r="E31" s="13">
        <v>-6008.5209999999997</v>
      </c>
      <c r="F31" s="13">
        <v>-66.364000000000004</v>
      </c>
      <c r="G31" s="13">
        <v>-220.74199999999999</v>
      </c>
      <c r="H31" s="13">
        <v>-4448.8779999999997</v>
      </c>
      <c r="I31" s="13">
        <v>0</v>
      </c>
      <c r="J31" s="13">
        <v>-1592.9960000000001</v>
      </c>
      <c r="K31" s="13">
        <v>-475.97399999999999</v>
      </c>
      <c r="L31" s="13">
        <v>-7.6310000000000002</v>
      </c>
      <c r="M31" s="13">
        <v>-584.03599999999994</v>
      </c>
      <c r="N31" s="13">
        <v>-155.011</v>
      </c>
      <c r="O31" s="13">
        <v>2358.154</v>
      </c>
      <c r="P31" s="16">
        <v>2358.154</v>
      </c>
    </row>
    <row r="32" spans="1:16" x14ac:dyDescent="0.25">
      <c r="A32" s="10" t="s">
        <v>1032</v>
      </c>
      <c r="B32" s="10" t="s">
        <v>1033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6">
        <v>0</v>
      </c>
    </row>
    <row r="33" spans="1:16" x14ac:dyDescent="0.25">
      <c r="A33" s="10" t="s">
        <v>1034</v>
      </c>
      <c r="B33" s="10" t="s">
        <v>1035</v>
      </c>
      <c r="C33" s="13">
        <v>0</v>
      </c>
      <c r="D33" s="13">
        <v>0</v>
      </c>
      <c r="E33" s="13">
        <v>-10664.772999999999</v>
      </c>
      <c r="F33" s="13">
        <v>-66.364000000000004</v>
      </c>
      <c r="G33" s="13">
        <v>-220.74199999999999</v>
      </c>
      <c r="H33" s="13">
        <v>-4448.8779999999997</v>
      </c>
      <c r="I33" s="13">
        <v>0</v>
      </c>
      <c r="J33" s="13">
        <v>-1592.9960000000001</v>
      </c>
      <c r="K33" s="13">
        <v>-475.97399999999999</v>
      </c>
      <c r="L33" s="13">
        <v>-7.6310000000000002</v>
      </c>
      <c r="M33" s="13">
        <v>-556.70399999999995</v>
      </c>
      <c r="N33" s="13">
        <v>-155.011</v>
      </c>
      <c r="O33" s="13">
        <v>0</v>
      </c>
      <c r="P33" s="16">
        <v>0</v>
      </c>
    </row>
    <row r="34" spans="1:16" x14ac:dyDescent="0.25">
      <c r="A34" s="10" t="s">
        <v>1036</v>
      </c>
      <c r="B34" s="10" t="s">
        <v>1037</v>
      </c>
      <c r="C34" s="13">
        <v>0</v>
      </c>
      <c r="D34" s="13">
        <v>0</v>
      </c>
      <c r="E34" s="13">
        <v>4656.2520000000004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-27.332000000000001</v>
      </c>
      <c r="N34" s="13">
        <v>0</v>
      </c>
      <c r="O34" s="13">
        <v>2358.154</v>
      </c>
      <c r="P34" s="16">
        <v>2358.154</v>
      </c>
    </row>
    <row r="35" spans="1:16" x14ac:dyDescent="0.25">
      <c r="A35" s="10" t="s">
        <v>1038</v>
      </c>
      <c r="B35" s="10" t="s">
        <v>1039</v>
      </c>
      <c r="C35" s="13">
        <v>0</v>
      </c>
      <c r="D35" s="13">
        <v>27.3</v>
      </c>
      <c r="E35" s="13">
        <v>-181.84</v>
      </c>
      <c r="F35" s="13">
        <v>-75.325000000000003</v>
      </c>
      <c r="G35" s="13">
        <v>1.1839999999999999</v>
      </c>
      <c r="H35" s="13">
        <v>3.258</v>
      </c>
      <c r="I35" s="13">
        <v>265.93799999999999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6">
        <v>0</v>
      </c>
    </row>
    <row r="36" spans="1:16" x14ac:dyDescent="0.25">
      <c r="A36" s="10" t="s">
        <v>1007</v>
      </c>
      <c r="B36" s="10" t="s">
        <v>1040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6">
        <v>0</v>
      </c>
    </row>
    <row r="37" spans="1:16" x14ac:dyDescent="0.25">
      <c r="A37" s="6" t="s">
        <v>1009</v>
      </c>
      <c r="B37" s="6" t="s">
        <v>95</v>
      </c>
      <c r="C37" s="19">
        <v>-680.98800000000006</v>
      </c>
      <c r="D37" s="19">
        <v>-791.77300000000002</v>
      </c>
      <c r="E37" s="19">
        <v>-6775.0780000000004</v>
      </c>
      <c r="F37" s="19">
        <v>-1176.049</v>
      </c>
      <c r="G37" s="19">
        <v>-1264.325</v>
      </c>
      <c r="H37" s="19">
        <v>-5437.8329999999996</v>
      </c>
      <c r="I37" s="19">
        <v>-1949.35</v>
      </c>
      <c r="J37" s="19">
        <v>-5213.46</v>
      </c>
      <c r="K37" s="19">
        <v>-5715.6989999999996</v>
      </c>
      <c r="L37" s="19">
        <v>-3931.8130000000001</v>
      </c>
      <c r="M37" s="19">
        <v>-3795.8029999999999</v>
      </c>
      <c r="N37" s="19">
        <v>-2361.0659999999998</v>
      </c>
      <c r="O37" s="19">
        <v>645.58799999999997</v>
      </c>
      <c r="P37" s="22">
        <v>645.58799999999997</v>
      </c>
    </row>
    <row r="38" spans="1:16" x14ac:dyDescent="0.25">
      <c r="A38" s="6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21"/>
    </row>
    <row r="39" spans="1:16" x14ac:dyDescent="0.25">
      <c r="A39" s="6" t="s">
        <v>1041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21"/>
    </row>
    <row r="40" spans="1:16" x14ac:dyDescent="0.25">
      <c r="A40" s="10" t="s">
        <v>1042</v>
      </c>
      <c r="B40" s="10" t="s">
        <v>1043</v>
      </c>
      <c r="C40" s="13">
        <v>-8005.7809999999999</v>
      </c>
      <c r="D40" s="13">
        <v>-208.833</v>
      </c>
      <c r="E40" s="13">
        <v>-2057.0920000000001</v>
      </c>
      <c r="F40" s="13">
        <v>0</v>
      </c>
      <c r="G40" s="13">
        <v>-2599.7159999999999</v>
      </c>
      <c r="H40" s="13">
        <v>-1819.1210000000001</v>
      </c>
      <c r="I40" s="13">
        <v>-1962.221</v>
      </c>
      <c r="J40" s="13">
        <v>-543.53499999999997</v>
      </c>
      <c r="K40" s="13">
        <v>-1545.606</v>
      </c>
      <c r="L40" s="13">
        <v>-1510.126</v>
      </c>
      <c r="M40" s="13">
        <v>-1764.2729999999999</v>
      </c>
      <c r="N40" s="13">
        <v>-1420.095</v>
      </c>
      <c r="O40" s="13">
        <v>-1436.6020000000001</v>
      </c>
      <c r="P40" s="16">
        <v>-1436.6020000000001</v>
      </c>
    </row>
    <row r="41" spans="1:16" x14ac:dyDescent="0.25">
      <c r="A41" s="10" t="s">
        <v>1044</v>
      </c>
      <c r="B41" s="10" t="s">
        <v>1045</v>
      </c>
      <c r="C41" s="13">
        <v>885.20799999999997</v>
      </c>
      <c r="D41" s="13">
        <v>-44.975000000000001</v>
      </c>
      <c r="E41" s="13">
        <v>6594.3109999999997</v>
      </c>
      <c r="F41" s="13">
        <v>0</v>
      </c>
      <c r="G41" s="13">
        <v>0</v>
      </c>
      <c r="H41" s="13">
        <v>0</v>
      </c>
      <c r="I41" s="13">
        <v>-251.04499999999999</v>
      </c>
      <c r="J41" s="13">
        <v>-473.15199999999999</v>
      </c>
      <c r="K41" s="13">
        <v>7793.3779999999997</v>
      </c>
      <c r="L41" s="13">
        <v>-806.38300000000004</v>
      </c>
      <c r="M41" s="13">
        <v>7684.415</v>
      </c>
      <c r="N41" s="13">
        <v>-3373.7719999999999</v>
      </c>
      <c r="O41" s="13">
        <v>-5695.7020000000002</v>
      </c>
      <c r="P41" s="16">
        <v>-5695.7020000000002</v>
      </c>
    </row>
    <row r="42" spans="1:16" x14ac:dyDescent="0.25">
      <c r="A42" s="10" t="s">
        <v>1046</v>
      </c>
      <c r="B42" s="10" t="s">
        <v>1047</v>
      </c>
      <c r="C42" s="13" t="s">
        <v>198</v>
      </c>
      <c r="D42" s="13" t="s">
        <v>198</v>
      </c>
      <c r="E42" s="13" t="s">
        <v>198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 t="s">
        <v>198</v>
      </c>
      <c r="L42" s="13" t="s">
        <v>198</v>
      </c>
      <c r="M42" s="13" t="s">
        <v>198</v>
      </c>
      <c r="N42" s="13" t="s">
        <v>198</v>
      </c>
      <c r="O42" s="13" t="s">
        <v>198</v>
      </c>
      <c r="P42" s="16"/>
    </row>
    <row r="43" spans="1:16" x14ac:dyDescent="0.25">
      <c r="A43" s="10" t="s">
        <v>1048</v>
      </c>
      <c r="B43" s="10" t="s">
        <v>1049</v>
      </c>
      <c r="C43" s="13" t="s">
        <v>198</v>
      </c>
      <c r="D43" s="13" t="s">
        <v>198</v>
      </c>
      <c r="E43" s="13" t="s">
        <v>198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 t="s">
        <v>198</v>
      </c>
      <c r="L43" s="13" t="s">
        <v>198</v>
      </c>
      <c r="M43" s="13" t="s">
        <v>198</v>
      </c>
      <c r="N43" s="13" t="s">
        <v>198</v>
      </c>
      <c r="O43" s="13" t="s">
        <v>198</v>
      </c>
      <c r="P43" s="16"/>
    </row>
    <row r="44" spans="1:16" x14ac:dyDescent="0.25">
      <c r="A44" s="10" t="s">
        <v>1050</v>
      </c>
      <c r="B44" s="10" t="s">
        <v>1051</v>
      </c>
      <c r="C44" s="13" t="s">
        <v>198</v>
      </c>
      <c r="D44" s="13" t="s">
        <v>198</v>
      </c>
      <c r="E44" s="13" t="s">
        <v>198</v>
      </c>
      <c r="F44" s="13">
        <v>0</v>
      </c>
      <c r="G44" s="13">
        <v>0</v>
      </c>
      <c r="H44" s="13" t="s">
        <v>198</v>
      </c>
      <c r="I44" s="13">
        <v>-251.04499999999999</v>
      </c>
      <c r="J44" s="13">
        <v>-473.15199999999999</v>
      </c>
      <c r="K44" s="13" t="s">
        <v>198</v>
      </c>
      <c r="L44" s="13" t="s">
        <v>198</v>
      </c>
      <c r="M44" s="13" t="s">
        <v>198</v>
      </c>
      <c r="N44" s="13" t="s">
        <v>198</v>
      </c>
      <c r="O44" s="13" t="s">
        <v>198</v>
      </c>
      <c r="P44" s="16"/>
    </row>
    <row r="45" spans="1:16" x14ac:dyDescent="0.25">
      <c r="A45" s="10" t="s">
        <v>1052</v>
      </c>
      <c r="B45" s="10" t="s">
        <v>1053</v>
      </c>
      <c r="C45" s="13">
        <v>5750</v>
      </c>
      <c r="D45" s="13">
        <v>-152.261</v>
      </c>
      <c r="E45" s="13">
        <v>0</v>
      </c>
      <c r="F45" s="13">
        <v>1206.491</v>
      </c>
      <c r="G45" s="13">
        <v>16049.582</v>
      </c>
      <c r="H45" s="13">
        <v>-230.702</v>
      </c>
      <c r="I45" s="13">
        <v>155.27799999999999</v>
      </c>
      <c r="J45" s="13">
        <v>114.98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6">
        <v>0</v>
      </c>
    </row>
    <row r="46" spans="1:16" x14ac:dyDescent="0.25">
      <c r="A46" s="10" t="s">
        <v>1054</v>
      </c>
      <c r="B46" s="10" t="s">
        <v>1055</v>
      </c>
      <c r="C46" s="13">
        <v>5750</v>
      </c>
      <c r="D46" s="13">
        <v>0</v>
      </c>
      <c r="E46" s="13">
        <v>0</v>
      </c>
      <c r="F46" s="13">
        <v>1206.491</v>
      </c>
      <c r="G46" s="13">
        <v>17997.293000000001</v>
      </c>
      <c r="H46" s="13">
        <v>0</v>
      </c>
      <c r="I46" s="13">
        <v>155.27799999999999</v>
      </c>
      <c r="J46" s="13">
        <v>114.98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6">
        <v>0</v>
      </c>
    </row>
    <row r="47" spans="1:16" x14ac:dyDescent="0.25">
      <c r="A47" s="10" t="s">
        <v>1056</v>
      </c>
      <c r="B47" s="10" t="s">
        <v>1057</v>
      </c>
      <c r="C47" s="13">
        <v>0</v>
      </c>
      <c r="D47" s="13">
        <v>-152.261</v>
      </c>
      <c r="E47" s="13">
        <v>0</v>
      </c>
      <c r="F47" s="13">
        <v>0</v>
      </c>
      <c r="G47" s="13">
        <v>-1947.711</v>
      </c>
      <c r="H47" s="13">
        <v>-230.702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6">
        <v>0</v>
      </c>
    </row>
    <row r="48" spans="1:16" x14ac:dyDescent="0.25">
      <c r="A48" s="10" t="s">
        <v>1058</v>
      </c>
      <c r="B48" s="10" t="s">
        <v>1059</v>
      </c>
      <c r="C48" s="13">
        <v>0</v>
      </c>
      <c r="D48" s="13">
        <v>0</v>
      </c>
      <c r="E48" s="13">
        <v>0</v>
      </c>
      <c r="F48" s="13">
        <v>-2171.9389999999999</v>
      </c>
      <c r="G48" s="13">
        <v>0</v>
      </c>
      <c r="H48" s="13">
        <v>0</v>
      </c>
      <c r="I48" s="13">
        <v>-20.966999999999999</v>
      </c>
      <c r="J48" s="13">
        <v>0</v>
      </c>
      <c r="K48" s="13">
        <v>0</v>
      </c>
      <c r="L48" s="13">
        <v>0</v>
      </c>
      <c r="M48" s="13">
        <v>0</v>
      </c>
      <c r="N48" s="13">
        <v>-76.088999999999999</v>
      </c>
      <c r="O48" s="13">
        <v>0</v>
      </c>
      <c r="P48" s="16">
        <v>0</v>
      </c>
    </row>
    <row r="49" spans="1:16" x14ac:dyDescent="0.25">
      <c r="A49" s="10" t="s">
        <v>1007</v>
      </c>
      <c r="B49" s="10" t="s">
        <v>1060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6">
        <v>0</v>
      </c>
    </row>
    <row r="50" spans="1:16" x14ac:dyDescent="0.25">
      <c r="A50" s="6" t="s">
        <v>1041</v>
      </c>
      <c r="B50" s="6" t="s">
        <v>1061</v>
      </c>
      <c r="C50" s="19">
        <v>-1370.5730000000001</v>
      </c>
      <c r="D50" s="19">
        <v>-406.06900000000002</v>
      </c>
      <c r="E50" s="19">
        <v>4537.2190000000001</v>
      </c>
      <c r="F50" s="19">
        <v>-965.44799999999998</v>
      </c>
      <c r="G50" s="19">
        <v>13449.866</v>
      </c>
      <c r="H50" s="19">
        <v>-2049.8229999999999</v>
      </c>
      <c r="I50" s="19">
        <v>-2078.9549999999999</v>
      </c>
      <c r="J50" s="19">
        <v>-901.70699999999999</v>
      </c>
      <c r="K50" s="19">
        <v>6247.7719999999999</v>
      </c>
      <c r="L50" s="19">
        <v>-2316.509</v>
      </c>
      <c r="M50" s="19">
        <v>5920.1419999999998</v>
      </c>
      <c r="N50" s="19">
        <v>-4869.9560000000001</v>
      </c>
      <c r="O50" s="19">
        <v>-7132.3040000000001</v>
      </c>
      <c r="P50" s="22">
        <v>-7132.3040000000001</v>
      </c>
    </row>
    <row r="51" spans="1:16" x14ac:dyDescent="0.25">
      <c r="A51" s="6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21"/>
    </row>
    <row r="52" spans="1:16" x14ac:dyDescent="0.25">
      <c r="A52" s="10" t="s">
        <v>1062</v>
      </c>
      <c r="B52" s="10" t="s">
        <v>1063</v>
      </c>
      <c r="C52" s="13">
        <v>0</v>
      </c>
      <c r="D52" s="13">
        <v>0</v>
      </c>
      <c r="E52" s="13">
        <v>78.751000000000005</v>
      </c>
      <c r="F52" s="13">
        <v>0</v>
      </c>
      <c r="G52" s="13">
        <v>527.84500000000003</v>
      </c>
      <c r="H52" s="13">
        <v>-62.494</v>
      </c>
      <c r="I52" s="13">
        <v>-401.49900000000002</v>
      </c>
      <c r="J52" s="13">
        <v>660.48599999999999</v>
      </c>
      <c r="K52" s="13">
        <v>478.48</v>
      </c>
      <c r="L52" s="13">
        <v>94.063000000000002</v>
      </c>
      <c r="M52" s="13">
        <v>-552.87199999999996</v>
      </c>
      <c r="N52" s="13">
        <v>1119.607</v>
      </c>
      <c r="O52" s="13">
        <v>-678.99599999999998</v>
      </c>
      <c r="P52" s="16">
        <v>-678.99599999999998</v>
      </c>
    </row>
    <row r="53" spans="1:16" x14ac:dyDescent="0.25">
      <c r="A53" s="6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21"/>
    </row>
    <row r="54" spans="1:16" x14ac:dyDescent="0.25">
      <c r="A54" s="6" t="s">
        <v>1064</v>
      </c>
      <c r="B54" s="6" t="s">
        <v>1065</v>
      </c>
      <c r="C54" s="19">
        <v>-384.04300000000001</v>
      </c>
      <c r="D54" s="19">
        <v>1786.2729999999999</v>
      </c>
      <c r="E54" s="19">
        <v>-18.478999999999999</v>
      </c>
      <c r="F54" s="19">
        <v>988.755</v>
      </c>
      <c r="G54" s="19">
        <v>14864.326999999999</v>
      </c>
      <c r="H54" s="19">
        <v>-7967.96</v>
      </c>
      <c r="I54" s="19">
        <v>-2399.7620000000002</v>
      </c>
      <c r="J54" s="19">
        <v>-1981.8510000000001</v>
      </c>
      <c r="K54" s="19">
        <v>5144.9650000000001</v>
      </c>
      <c r="L54" s="19">
        <v>-8270.4439999999995</v>
      </c>
      <c r="M54" s="19">
        <v>1845.8309999999999</v>
      </c>
      <c r="N54" s="19">
        <v>4317.8389999999999</v>
      </c>
      <c r="O54" s="19">
        <v>428.36099999999999</v>
      </c>
      <c r="P54" s="22">
        <v>428.36099999999999</v>
      </c>
    </row>
    <row r="55" spans="1:16" x14ac:dyDescent="0.25">
      <c r="A55" s="6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21"/>
    </row>
    <row r="56" spans="1:16" x14ac:dyDescent="0.25">
      <c r="A56" s="6" t="s">
        <v>1066</v>
      </c>
      <c r="B56" s="6" t="s">
        <v>1067</v>
      </c>
      <c r="C56" s="19" t="s">
        <v>198</v>
      </c>
      <c r="D56" s="19" t="s">
        <v>198</v>
      </c>
      <c r="E56" s="19" t="s">
        <v>198</v>
      </c>
      <c r="F56" s="19" t="s">
        <v>198</v>
      </c>
      <c r="G56" s="19" t="s">
        <v>198</v>
      </c>
      <c r="H56" s="19">
        <v>-1113.4739999999999</v>
      </c>
      <c r="I56" s="19">
        <v>-1429.518</v>
      </c>
      <c r="J56" s="19" t="s">
        <v>198</v>
      </c>
      <c r="K56" s="19" t="s">
        <v>198</v>
      </c>
      <c r="L56" s="19">
        <v>3193.4209999999998</v>
      </c>
      <c r="M56" s="19">
        <v>3116.2669999999998</v>
      </c>
      <c r="N56" s="19">
        <v>2532.009</v>
      </c>
      <c r="O56" s="19">
        <v>1468.9870000000001</v>
      </c>
      <c r="P56" s="22">
        <v>1468.9870000000001</v>
      </c>
    </row>
    <row r="57" spans="1:16" x14ac:dyDescent="0.25">
      <c r="A57" s="6" t="s">
        <v>1068</v>
      </c>
      <c r="B57" s="6" t="s">
        <v>1069</v>
      </c>
      <c r="C57" s="19">
        <v>65.138999999999996</v>
      </c>
      <c r="D57" s="19">
        <v>61.591999999999999</v>
      </c>
      <c r="E57" s="19">
        <v>90.751000000000005</v>
      </c>
      <c r="F57" s="19">
        <v>361.72899999999998</v>
      </c>
      <c r="G57" s="19">
        <v>380.38200000000001</v>
      </c>
      <c r="H57" s="19">
        <v>431.68700000000001</v>
      </c>
      <c r="I57" s="19">
        <v>530.46900000000005</v>
      </c>
      <c r="J57" s="19">
        <v>416.68599999999998</v>
      </c>
      <c r="K57" s="19">
        <v>263.24299999999999</v>
      </c>
      <c r="L57" s="19">
        <v>515.44000000000005</v>
      </c>
      <c r="M57" s="19">
        <v>743.19899999999996</v>
      </c>
      <c r="N57" s="19">
        <v>1041.2829999999999</v>
      </c>
      <c r="O57" s="19">
        <v>1351.6590000000001</v>
      </c>
      <c r="P57" s="22">
        <v>1351.6590000000001</v>
      </c>
    </row>
    <row r="58" spans="1:16" x14ac:dyDescent="0.25">
      <c r="A58" s="6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21"/>
    </row>
    <row r="59" spans="1:16" x14ac:dyDescent="0.25">
      <c r="A59" s="6" t="s">
        <v>3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21"/>
    </row>
    <row r="60" spans="1:16" x14ac:dyDescent="0.25">
      <c r="A60" s="10" t="s">
        <v>53</v>
      </c>
      <c r="B60" s="10" t="s">
        <v>53</v>
      </c>
      <c r="C60" s="13">
        <v>2678.9110000000001</v>
      </c>
      <c r="D60" s="13">
        <v>3659.4549999999999</v>
      </c>
      <c r="E60" s="13">
        <v>4869.4960000000001</v>
      </c>
      <c r="F60" s="13">
        <v>6075.3770000000004</v>
      </c>
      <c r="G60" s="13">
        <v>7170.5709999999999</v>
      </c>
      <c r="H60" s="13">
        <v>6073.6289999999999</v>
      </c>
      <c r="I60" s="13">
        <v>6095.5649999999996</v>
      </c>
      <c r="J60" s="13">
        <v>7607.0720000000001</v>
      </c>
      <c r="K60" s="13">
        <v>7938.1710000000003</v>
      </c>
      <c r="L60" s="13">
        <v>9843.2289999999994</v>
      </c>
      <c r="M60" s="13">
        <v>7312.1180000000004</v>
      </c>
      <c r="N60" s="13">
        <v>8901.7819999999992</v>
      </c>
      <c r="O60" s="13">
        <v>11013.638999999999</v>
      </c>
      <c r="P60" s="16">
        <v>11013.638999999999</v>
      </c>
    </row>
    <row r="61" spans="1:16" x14ac:dyDescent="0.25">
      <c r="A61" s="10" t="s">
        <v>1070</v>
      </c>
      <c r="B61" s="10" t="s">
        <v>288</v>
      </c>
      <c r="C61" s="14">
        <v>21.770900000000001</v>
      </c>
      <c r="D61" s="14">
        <v>23.8965</v>
      </c>
      <c r="E61" s="14">
        <v>26.357399999999998</v>
      </c>
      <c r="F61" s="14">
        <v>24.902999999999999</v>
      </c>
      <c r="G61" s="14">
        <v>27.623799999999999</v>
      </c>
      <c r="H61" s="14">
        <v>21.569700000000001</v>
      </c>
      <c r="I61" s="14">
        <v>20.520499999999998</v>
      </c>
      <c r="J61" s="14">
        <v>21.7121</v>
      </c>
      <c r="K61" s="14">
        <v>20.137699999999999</v>
      </c>
      <c r="L61" s="14">
        <v>21.524899999999999</v>
      </c>
      <c r="M61" s="14">
        <v>16.485600000000002</v>
      </c>
      <c r="N61" s="14">
        <v>20.248999999999999</v>
      </c>
      <c r="O61" s="14">
        <v>25.561199999999999</v>
      </c>
      <c r="P61" s="17">
        <v>25.561177801318099</v>
      </c>
    </row>
    <row r="62" spans="1:16" x14ac:dyDescent="0.25">
      <c r="A62" s="10" t="s">
        <v>1071</v>
      </c>
      <c r="B62" s="10" t="s">
        <v>1072</v>
      </c>
      <c r="C62" s="13">
        <v>71.347999999999999</v>
      </c>
      <c r="D62" s="13">
        <v>70.593999999999994</v>
      </c>
      <c r="E62" s="13">
        <v>144.339</v>
      </c>
      <c r="F62" s="13">
        <v>443.56299999999999</v>
      </c>
      <c r="G62" s="13">
        <v>595.25199999999995</v>
      </c>
      <c r="H62" s="13">
        <v>624.65499999999997</v>
      </c>
      <c r="I62" s="13">
        <v>734.56399999999996</v>
      </c>
      <c r="J62" s="13">
        <v>562.71</v>
      </c>
      <c r="K62" s="13">
        <v>488.49700000000001</v>
      </c>
      <c r="L62" s="13">
        <v>661.97400000000005</v>
      </c>
      <c r="M62" s="13">
        <v>1026.1199999999999</v>
      </c>
      <c r="N62" s="13">
        <v>1471.0070000000001</v>
      </c>
      <c r="O62" s="13">
        <v>1221.672</v>
      </c>
      <c r="P62" s="16">
        <v>1221.672</v>
      </c>
    </row>
    <row r="63" spans="1:16" x14ac:dyDescent="0.25">
      <c r="A63" s="10" t="s">
        <v>1073</v>
      </c>
      <c r="B63" s="10" t="s">
        <v>1074</v>
      </c>
      <c r="C63" s="13" t="s">
        <v>198</v>
      </c>
      <c r="D63" s="13" t="s">
        <v>198</v>
      </c>
      <c r="E63" s="13">
        <v>10664.772999999999</v>
      </c>
      <c r="F63" s="13">
        <v>66.364000000000004</v>
      </c>
      <c r="G63" s="13">
        <v>220.74199999999999</v>
      </c>
      <c r="H63" s="13">
        <v>4448.8779999999997</v>
      </c>
      <c r="I63" s="13" t="s">
        <v>198</v>
      </c>
      <c r="J63" s="13">
        <v>1592.9960000000001</v>
      </c>
      <c r="K63" s="13">
        <v>475.97399999999999</v>
      </c>
      <c r="L63" s="13">
        <v>7.6310000000000002</v>
      </c>
      <c r="M63" s="13">
        <v>556.70399999999995</v>
      </c>
      <c r="N63" s="13">
        <v>155.011</v>
      </c>
      <c r="O63" s="13" t="s">
        <v>198</v>
      </c>
      <c r="P63" s="16"/>
    </row>
    <row r="64" spans="1:16" x14ac:dyDescent="0.25">
      <c r="A64" s="10" t="s">
        <v>63</v>
      </c>
      <c r="B64" s="10" t="s">
        <v>64</v>
      </c>
      <c r="C64" s="13">
        <v>1012.423</v>
      </c>
      <c r="D64" s="13">
        <v>2143.8879999999999</v>
      </c>
      <c r="E64" s="13">
        <v>1596.9369999999999</v>
      </c>
      <c r="F64" s="13">
        <v>2301.3209999999999</v>
      </c>
      <c r="G64" s="13">
        <v>1084.9269999999999</v>
      </c>
      <c r="H64" s="13">
        <v>-1229.2329999999999</v>
      </c>
      <c r="I64" s="13">
        <v>-8.048</v>
      </c>
      <c r="J64" s="13">
        <v>-71.48</v>
      </c>
      <c r="K64" s="13">
        <v>1936.9559999999999</v>
      </c>
      <c r="L64" s="13">
        <v>-5844.4359999999997</v>
      </c>
      <c r="M64" s="13">
        <v>-2840.7959999999998</v>
      </c>
      <c r="N64" s="13">
        <v>8388.2160000000003</v>
      </c>
      <c r="O64" s="13">
        <v>6087.8239999999996</v>
      </c>
      <c r="P64" s="16">
        <v>6087.8239999999996</v>
      </c>
    </row>
    <row r="65" spans="1:16" x14ac:dyDescent="0.25">
      <c r="A65" s="10" t="s">
        <v>1075</v>
      </c>
      <c r="B65" s="10" t="s">
        <v>1076</v>
      </c>
      <c r="C65" s="13">
        <v>1040.8795</v>
      </c>
      <c r="D65" s="13">
        <v>2170.7845000000002</v>
      </c>
      <c r="E65" s="13">
        <v>1692.0209</v>
      </c>
      <c r="F65" s="13">
        <v>2565.9953999999998</v>
      </c>
      <c r="G65" s="13">
        <v>1508.6443999999999</v>
      </c>
      <c r="H65" s="13">
        <v>-891.04549999999995</v>
      </c>
      <c r="I65" s="13">
        <v>373.71480000000003</v>
      </c>
      <c r="J65" s="13">
        <v>338.03199999999998</v>
      </c>
      <c r="K65" s="13">
        <v>2446.1332000000002</v>
      </c>
      <c r="L65" s="13">
        <v>-5237.4750999999997</v>
      </c>
      <c r="M65" s="13">
        <v>-2002.0485000000001</v>
      </c>
      <c r="N65" s="13">
        <v>9413.4901000000009</v>
      </c>
      <c r="O65" s="13">
        <v>6920.9134000000004</v>
      </c>
      <c r="P65" s="16">
        <v>8638.2387397462408</v>
      </c>
    </row>
    <row r="66" spans="1:16" x14ac:dyDescent="0.25">
      <c r="A66" s="10" t="s">
        <v>1077</v>
      </c>
      <c r="B66" s="10" t="s">
        <v>1078</v>
      </c>
      <c r="C66" s="13" t="s">
        <v>198</v>
      </c>
      <c r="D66" s="13">
        <v>2125.2370000000001</v>
      </c>
      <c r="E66" s="13">
        <v>8191.2479999999996</v>
      </c>
      <c r="F66" s="13">
        <v>2301.3209999999999</v>
      </c>
      <c r="G66" s="13">
        <v>1088.9090000000001</v>
      </c>
      <c r="H66" s="13">
        <v>-1221.4549999999999</v>
      </c>
      <c r="I66" s="13">
        <v>-247.08699999999999</v>
      </c>
      <c r="J66" s="13">
        <v>-528.97900000000004</v>
      </c>
      <c r="K66" s="13">
        <v>9740.7540000000008</v>
      </c>
      <c r="L66" s="13">
        <v>-6650.8190000000004</v>
      </c>
      <c r="M66" s="13">
        <v>4843.6189999999997</v>
      </c>
      <c r="N66" s="13">
        <v>5014.4440000000004</v>
      </c>
      <c r="O66" s="13">
        <v>392.12200000000001</v>
      </c>
      <c r="P66" s="16">
        <v>392.12200000000001</v>
      </c>
    </row>
    <row r="67" spans="1:16" x14ac:dyDescent="0.25">
      <c r="A67" s="10" t="s">
        <v>1079</v>
      </c>
      <c r="B67" s="10" t="s">
        <v>1080</v>
      </c>
      <c r="C67" s="14" t="s">
        <v>198</v>
      </c>
      <c r="D67" s="14">
        <v>0.5867</v>
      </c>
      <c r="E67" s="14">
        <v>0.44579999999999997</v>
      </c>
      <c r="F67" s="14">
        <v>0.24510000000000001</v>
      </c>
      <c r="G67" s="14">
        <v>0.30859999999999999</v>
      </c>
      <c r="H67" s="14">
        <v>-0.34310000000000002</v>
      </c>
      <c r="I67" s="14">
        <v>-2.2000000000000001E-3</v>
      </c>
      <c r="J67" s="14">
        <v>-1.9900000000000001E-2</v>
      </c>
      <c r="K67" s="14">
        <v>0.53939999999999999</v>
      </c>
      <c r="L67" s="14">
        <v>-1.6274</v>
      </c>
      <c r="M67" s="14">
        <v>-0.79100000000000004</v>
      </c>
      <c r="N67" s="14">
        <v>2.3357999999999999</v>
      </c>
      <c r="O67" s="14">
        <v>1.6952</v>
      </c>
      <c r="P67" s="17">
        <v>1.6952172463114099</v>
      </c>
    </row>
    <row r="68" spans="1:16" x14ac:dyDescent="0.25">
      <c r="A68" s="10" t="s">
        <v>1081</v>
      </c>
      <c r="B68" s="10" t="s">
        <v>175</v>
      </c>
      <c r="C68" s="14" t="s">
        <v>198</v>
      </c>
      <c r="D68" s="14" t="s">
        <v>198</v>
      </c>
      <c r="E68" s="14" t="s">
        <v>198</v>
      </c>
      <c r="F68" s="14" t="s">
        <v>198</v>
      </c>
      <c r="G68" s="14">
        <v>102.05840000000001</v>
      </c>
      <c r="H68" s="14" t="s">
        <v>198</v>
      </c>
      <c r="I68" s="14" t="s">
        <v>198</v>
      </c>
      <c r="J68" s="14" t="s">
        <v>198</v>
      </c>
      <c r="K68" s="14">
        <v>95.222999999999999</v>
      </c>
      <c r="L68" s="14" t="s">
        <v>198</v>
      </c>
      <c r="M68" s="14" t="s">
        <v>198</v>
      </c>
      <c r="N68" s="14">
        <v>10.030900000000001</v>
      </c>
      <c r="O68" s="14">
        <v>12.210800000000001</v>
      </c>
      <c r="P68" s="17">
        <v>8.7835351933338703</v>
      </c>
    </row>
    <row r="69" spans="1:16" x14ac:dyDescent="0.25">
      <c r="A69" s="10" t="s">
        <v>1082</v>
      </c>
      <c r="B69" s="10" t="s">
        <v>1083</v>
      </c>
      <c r="C69" s="14">
        <v>1.0746</v>
      </c>
      <c r="D69" s="14">
        <v>1.1322000000000001</v>
      </c>
      <c r="E69" s="14">
        <v>0.4032</v>
      </c>
      <c r="F69" s="14">
        <v>0.99439999999999995</v>
      </c>
      <c r="G69" s="14">
        <v>0.41420000000000001</v>
      </c>
      <c r="H69" s="14">
        <v>-0.1038</v>
      </c>
      <c r="I69" s="14">
        <v>0.54690000000000005</v>
      </c>
      <c r="J69" s="14">
        <v>0.67490000000000006</v>
      </c>
      <c r="K69" s="14">
        <v>0.8236</v>
      </c>
      <c r="L69" s="14">
        <v>-0.3614</v>
      </c>
      <c r="M69" s="14">
        <v>5.8200000000000002E-2</v>
      </c>
      <c r="N69" s="14">
        <v>2.6404999999999998</v>
      </c>
      <c r="O69" s="14">
        <v>0.87829999999999997</v>
      </c>
      <c r="P69" s="17">
        <v>1.0315712790095399</v>
      </c>
    </row>
    <row r="70" spans="1:16" x14ac:dyDescent="0.25">
      <c r="A70" s="7" t="s">
        <v>65</v>
      </c>
      <c r="B70" s="7"/>
      <c r="C70" s="7" t="s">
        <v>4</v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78"/>
  <sheetViews>
    <sheetView workbookViewId="0">
      <selection activeCell="J8" sqref="J8"/>
    </sheetView>
  </sheetViews>
  <sheetFormatPr baseColWidth="10" defaultRowHeight="15" x14ac:dyDescent="0.25"/>
  <cols>
    <col min="1" max="1" width="35.140625" customWidth="1"/>
    <col min="2" max="2" width="0" hidden="1" customWidth="1"/>
    <col min="3" max="15" width="11.85546875" customWidth="1"/>
  </cols>
  <sheetData>
    <row r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.25" x14ac:dyDescent="0.25">
      <c r="A2" s="8" t="s">
        <v>314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3" t="s">
        <v>67</v>
      </c>
      <c r="B4" s="3"/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</row>
    <row r="5" spans="1:15" x14ac:dyDescent="0.25">
      <c r="A5" s="9" t="s">
        <v>21</v>
      </c>
      <c r="B5" s="9"/>
      <c r="C5" s="5" t="s">
        <v>22</v>
      </c>
      <c r="D5" s="5" t="s">
        <v>23</v>
      </c>
      <c r="E5" s="5" t="s">
        <v>24</v>
      </c>
      <c r="F5" s="5" t="s">
        <v>25</v>
      </c>
      <c r="G5" s="5" t="s">
        <v>26</v>
      </c>
      <c r="H5" s="5" t="s">
        <v>27</v>
      </c>
      <c r="I5" s="5" t="s">
        <v>28</v>
      </c>
      <c r="J5" s="5" t="s">
        <v>29</v>
      </c>
      <c r="K5" s="5" t="s">
        <v>30</v>
      </c>
      <c r="L5" s="5" t="s">
        <v>31</v>
      </c>
      <c r="M5" s="5" t="s">
        <v>32</v>
      </c>
      <c r="N5" s="5" t="s">
        <v>33</v>
      </c>
      <c r="O5" s="5" t="s">
        <v>34</v>
      </c>
    </row>
    <row r="6" spans="1:15" x14ac:dyDescent="0.25">
      <c r="A6" s="6" t="s">
        <v>1084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</row>
    <row r="7" spans="1:15" x14ac:dyDescent="0.25">
      <c r="A7" s="10" t="s">
        <v>1085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spans="1:15" x14ac:dyDescent="0.25">
      <c r="A8" s="10" t="s">
        <v>1086</v>
      </c>
      <c r="B8" s="10" t="s">
        <v>1087</v>
      </c>
      <c r="C8" s="13" t="s">
        <v>198</v>
      </c>
      <c r="D8" s="13" t="s">
        <v>198</v>
      </c>
      <c r="E8" s="13" t="s">
        <v>198</v>
      </c>
      <c r="F8" s="13" t="s">
        <v>198</v>
      </c>
      <c r="G8" s="13" t="s">
        <v>198</v>
      </c>
      <c r="H8" s="13">
        <v>4033</v>
      </c>
      <c r="I8" s="13">
        <v>3717.8530000000001</v>
      </c>
      <c r="J8" s="13">
        <v>6854.2060000000001</v>
      </c>
      <c r="K8" s="13">
        <v>6907.6059999999998</v>
      </c>
      <c r="L8" s="13">
        <v>8231.223</v>
      </c>
      <c r="M8" s="13">
        <v>6187.8710000000001</v>
      </c>
      <c r="N8" s="13">
        <v>5223.1819999999998</v>
      </c>
      <c r="O8" s="13">
        <v>8653.9560000000001</v>
      </c>
    </row>
    <row r="9" spans="1:15" x14ac:dyDescent="0.25">
      <c r="A9" s="10" t="s">
        <v>1088</v>
      </c>
      <c r="B9" s="10" t="s">
        <v>1089</v>
      </c>
      <c r="C9" s="13" t="s">
        <v>198</v>
      </c>
      <c r="D9" s="13" t="s">
        <v>198</v>
      </c>
      <c r="E9" s="13">
        <v>5.1589999999999998</v>
      </c>
      <c r="F9" s="13" t="s">
        <v>198</v>
      </c>
      <c r="G9" s="13" t="s">
        <v>198</v>
      </c>
      <c r="H9" s="13" t="s">
        <v>198</v>
      </c>
      <c r="I9" s="13" t="s">
        <v>198</v>
      </c>
      <c r="J9" s="13" t="s">
        <v>198</v>
      </c>
      <c r="K9" s="13" t="s">
        <v>198</v>
      </c>
      <c r="L9" s="13" t="s">
        <v>198</v>
      </c>
      <c r="M9" s="13" t="s">
        <v>198</v>
      </c>
      <c r="N9" s="13" t="s">
        <v>198</v>
      </c>
      <c r="O9" s="13" t="s">
        <v>198</v>
      </c>
    </row>
    <row r="10" spans="1:15" x14ac:dyDescent="0.25">
      <c r="A10" s="10" t="s">
        <v>1090</v>
      </c>
      <c r="B10" s="10" t="s">
        <v>1091</v>
      </c>
      <c r="C10" s="13">
        <v>186.85900000000001</v>
      </c>
      <c r="D10" s="13">
        <v>283.91199999999998</v>
      </c>
      <c r="E10" s="13">
        <v>244.12899999999999</v>
      </c>
      <c r="F10" s="13">
        <v>451.47</v>
      </c>
      <c r="G10" s="13">
        <v>435.01499999999999</v>
      </c>
      <c r="H10" s="13">
        <v>530.68799999999999</v>
      </c>
      <c r="I10" s="13">
        <v>685.42499999999995</v>
      </c>
      <c r="J10" s="13">
        <v>714.45899999999995</v>
      </c>
      <c r="K10" s="13">
        <v>816.96900000000005</v>
      </c>
      <c r="L10" s="13">
        <v>953.39300000000003</v>
      </c>
      <c r="M10" s="13">
        <v>1073.7929999999999</v>
      </c>
      <c r="N10" s="13">
        <v>1137.1110000000001</v>
      </c>
      <c r="O10" s="13">
        <v>1349.4760000000001</v>
      </c>
    </row>
    <row r="11" spans="1:15" x14ac:dyDescent="0.25">
      <c r="A11" s="10" t="s">
        <v>1092</v>
      </c>
      <c r="B11" s="10" t="s">
        <v>1093</v>
      </c>
      <c r="C11" s="13">
        <v>-3.403</v>
      </c>
      <c r="D11" s="13">
        <v>-13.162000000000001</v>
      </c>
      <c r="E11" s="13">
        <v>10.564</v>
      </c>
      <c r="F11" s="13">
        <v>17.12</v>
      </c>
      <c r="G11" s="13">
        <v>4.2889999999999997</v>
      </c>
      <c r="H11" s="13">
        <v>56.747</v>
      </c>
      <c r="I11" s="13">
        <v>94.625</v>
      </c>
      <c r="J11" s="13">
        <v>54.929000000000002</v>
      </c>
      <c r="K11" s="13">
        <v>7.65</v>
      </c>
      <c r="L11" s="13">
        <v>68.483999999999995</v>
      </c>
      <c r="M11" s="13">
        <v>65.605000000000004</v>
      </c>
      <c r="N11" s="13">
        <v>184.06200000000001</v>
      </c>
      <c r="O11" s="13">
        <v>68.438000000000002</v>
      </c>
    </row>
    <row r="12" spans="1:15" x14ac:dyDescent="0.25">
      <c r="A12" s="10" t="s">
        <v>551</v>
      </c>
      <c r="B12" s="10" t="s">
        <v>1094</v>
      </c>
      <c r="C12" s="13">
        <v>-3.819</v>
      </c>
      <c r="D12" s="13">
        <v>3.9409999999999998</v>
      </c>
      <c r="E12" s="13">
        <v>-0.39600000000000002</v>
      </c>
      <c r="F12" s="13" t="s">
        <v>198</v>
      </c>
      <c r="G12" s="13" t="s">
        <v>198</v>
      </c>
      <c r="H12" s="13" t="s">
        <v>198</v>
      </c>
      <c r="I12" s="13" t="s">
        <v>198</v>
      </c>
      <c r="J12" s="13" t="s">
        <v>198</v>
      </c>
      <c r="K12" s="13" t="s">
        <v>198</v>
      </c>
      <c r="L12" s="13" t="s">
        <v>198</v>
      </c>
      <c r="M12" s="13" t="s">
        <v>198</v>
      </c>
      <c r="N12" s="13" t="s">
        <v>198</v>
      </c>
      <c r="O12" s="13" t="s">
        <v>198</v>
      </c>
    </row>
    <row r="13" spans="1:15" x14ac:dyDescent="0.25">
      <c r="A13" s="10" t="s">
        <v>1095</v>
      </c>
      <c r="B13" s="10" t="s">
        <v>1096</v>
      </c>
      <c r="C13" s="13">
        <v>4.3120000000000003</v>
      </c>
      <c r="D13" s="13">
        <v>69.971999999999994</v>
      </c>
      <c r="E13" s="13">
        <v>696.78599999999994</v>
      </c>
      <c r="F13" s="13" t="s">
        <v>198</v>
      </c>
      <c r="G13" s="13" t="s">
        <v>198</v>
      </c>
      <c r="H13" s="13">
        <v>1.8160000000000001</v>
      </c>
      <c r="I13" s="13">
        <v>-21.565999999999999</v>
      </c>
      <c r="J13" s="13">
        <v>549.10400000000004</v>
      </c>
      <c r="K13" s="13">
        <v>-120.36499999999999</v>
      </c>
      <c r="L13" s="13">
        <v>-54.673999999999999</v>
      </c>
      <c r="M13" s="13">
        <v>96.650999999999996</v>
      </c>
      <c r="N13" s="13">
        <v>253.239</v>
      </c>
      <c r="O13" s="13">
        <v>-2910.2649999999999</v>
      </c>
    </row>
    <row r="14" spans="1:15" x14ac:dyDescent="0.25">
      <c r="A14" s="10" t="s">
        <v>1097</v>
      </c>
      <c r="B14" s="10" t="s">
        <v>1098</v>
      </c>
      <c r="C14" s="13">
        <v>-1038.9269999999999</v>
      </c>
      <c r="D14" s="13">
        <v>-799.952</v>
      </c>
      <c r="E14" s="13">
        <v>-966.39800000000002</v>
      </c>
      <c r="F14" s="13">
        <v>-1555.886</v>
      </c>
      <c r="G14" s="13">
        <v>-2103.078</v>
      </c>
      <c r="H14" s="13">
        <v>-2861.3620000000001</v>
      </c>
      <c r="I14" s="13">
        <v>-3461.145</v>
      </c>
      <c r="J14" s="13">
        <v>-2041.5719999999999</v>
      </c>
      <c r="K14" s="13">
        <v>-1467.95</v>
      </c>
      <c r="L14" s="13">
        <v>-6938.1620000000003</v>
      </c>
      <c r="M14" s="13">
        <v>220.29499999999999</v>
      </c>
      <c r="N14" s="13">
        <v>3711.0410000000002</v>
      </c>
      <c r="O14" s="13">
        <v>141.72</v>
      </c>
    </row>
    <row r="15" spans="1:15" x14ac:dyDescent="0.25">
      <c r="A15" s="10" t="s">
        <v>1099</v>
      </c>
      <c r="B15" s="10" t="s">
        <v>1100</v>
      </c>
      <c r="C15" s="13">
        <v>76.231999999999999</v>
      </c>
      <c r="D15" s="13">
        <v>11.701000000000001</v>
      </c>
      <c r="E15" s="13">
        <v>817.28599999999994</v>
      </c>
      <c r="F15" s="13" t="s">
        <v>198</v>
      </c>
      <c r="G15" s="13" t="s">
        <v>198</v>
      </c>
      <c r="H15" s="13">
        <v>-934.69799999999998</v>
      </c>
      <c r="I15" s="13">
        <v>1506.8589999999999</v>
      </c>
      <c r="J15" s="13">
        <v>138.98500000000001</v>
      </c>
      <c r="K15" s="13">
        <v>1795.7239999999999</v>
      </c>
      <c r="L15" s="13">
        <v>-353.55099999999999</v>
      </c>
      <c r="M15" s="13">
        <v>972.96100000000001</v>
      </c>
      <c r="N15" s="13">
        <v>152.649</v>
      </c>
      <c r="O15" s="13">
        <v>-77.266999999999996</v>
      </c>
    </row>
    <row r="16" spans="1:15" x14ac:dyDescent="0.25">
      <c r="A16" s="10" t="s">
        <v>1101</v>
      </c>
      <c r="B16" s="10" t="s">
        <v>1102</v>
      </c>
      <c r="C16" s="13">
        <v>-463.11599999999999</v>
      </c>
      <c r="D16" s="13">
        <v>-914.73299999999995</v>
      </c>
      <c r="E16" s="13">
        <v>-1034.1579999999999</v>
      </c>
      <c r="F16" s="13">
        <v>-1103.8320000000001</v>
      </c>
      <c r="G16" s="13">
        <v>-716.03399999999999</v>
      </c>
      <c r="H16" s="13">
        <v>-1426.0450000000001</v>
      </c>
      <c r="I16" s="13">
        <v>-1064.0889999999999</v>
      </c>
      <c r="J16" s="13">
        <v>-4.9569999999999999</v>
      </c>
      <c r="K16" s="13">
        <v>-1043.202</v>
      </c>
      <c r="L16" s="13">
        <v>-1900.087</v>
      </c>
      <c r="M16" s="13">
        <v>-12.435</v>
      </c>
      <c r="N16" s="13">
        <v>6.5960000000000001</v>
      </c>
      <c r="O16" s="13">
        <v>-434.86700000000002</v>
      </c>
    </row>
    <row r="17" spans="1:15" x14ac:dyDescent="0.25">
      <c r="A17" s="10" t="s">
        <v>1103</v>
      </c>
      <c r="B17" s="10" t="s">
        <v>1104</v>
      </c>
      <c r="C17" s="13" t="s">
        <v>198</v>
      </c>
      <c r="D17" s="13" t="s">
        <v>198</v>
      </c>
      <c r="E17" s="13" t="s">
        <v>198</v>
      </c>
      <c r="F17" s="13">
        <v>-243.14699999999999</v>
      </c>
      <c r="G17" s="13">
        <v>4.4660000000000002</v>
      </c>
      <c r="H17" s="13" t="s">
        <v>198</v>
      </c>
      <c r="I17" s="13" t="s">
        <v>198</v>
      </c>
      <c r="J17" s="13" t="s">
        <v>198</v>
      </c>
      <c r="K17" s="13" t="s">
        <v>198</v>
      </c>
      <c r="L17" s="13" t="s">
        <v>198</v>
      </c>
      <c r="M17" s="13" t="s">
        <v>198</v>
      </c>
      <c r="N17" s="13" t="s">
        <v>198</v>
      </c>
      <c r="O17" s="13" t="s">
        <v>198</v>
      </c>
    </row>
    <row r="18" spans="1:15" x14ac:dyDescent="0.25">
      <c r="A18" s="10" t="s">
        <v>1105</v>
      </c>
      <c r="B18" s="10" t="s">
        <v>1106</v>
      </c>
      <c r="C18" s="13">
        <v>-748.97</v>
      </c>
      <c r="D18" s="13">
        <v>-1033.566</v>
      </c>
      <c r="E18" s="13">
        <v>-1889.4290000000001</v>
      </c>
      <c r="F18" s="13">
        <v>-1137.9280000000001</v>
      </c>
      <c r="G18" s="13">
        <v>-1677.287</v>
      </c>
      <c r="H18" s="13" t="s">
        <v>198</v>
      </c>
      <c r="I18" s="13" t="s">
        <v>198</v>
      </c>
      <c r="J18" s="13" t="s">
        <v>198</v>
      </c>
      <c r="K18" s="13" t="s">
        <v>198</v>
      </c>
      <c r="L18" s="13" t="s">
        <v>198</v>
      </c>
      <c r="M18" s="13" t="s">
        <v>198</v>
      </c>
      <c r="N18" s="13" t="s">
        <v>198</v>
      </c>
      <c r="O18" s="13" t="s">
        <v>198</v>
      </c>
    </row>
    <row r="19" spans="1:15" x14ac:dyDescent="0.25">
      <c r="A19" s="10" t="s">
        <v>1107</v>
      </c>
      <c r="B19" s="10" t="s">
        <v>1108</v>
      </c>
      <c r="C19" s="13">
        <v>-122.18</v>
      </c>
      <c r="D19" s="13">
        <v>-90.997</v>
      </c>
      <c r="E19" s="13">
        <v>200.77099999999999</v>
      </c>
      <c r="F19" s="13" t="s">
        <v>198</v>
      </c>
      <c r="G19" s="13" t="s">
        <v>198</v>
      </c>
      <c r="H19" s="13" t="s">
        <v>198</v>
      </c>
      <c r="I19" s="13" t="s">
        <v>198</v>
      </c>
      <c r="J19" s="13">
        <v>-1348.5319999999999</v>
      </c>
      <c r="K19" s="13">
        <v>-1176.7629999999999</v>
      </c>
      <c r="L19" s="13">
        <v>-1316.904</v>
      </c>
      <c r="M19" s="13">
        <v>-1682.23</v>
      </c>
      <c r="N19" s="13">
        <v>-1906.8109999999999</v>
      </c>
      <c r="O19" s="13" t="s">
        <v>198</v>
      </c>
    </row>
    <row r="20" spans="1:15" x14ac:dyDescent="0.25">
      <c r="A20" s="10" t="s">
        <v>1109</v>
      </c>
      <c r="B20" s="10" t="s">
        <v>1110</v>
      </c>
      <c r="C20" s="13">
        <v>125.13500000000001</v>
      </c>
      <c r="D20" s="13">
        <v>37.951000000000001</v>
      </c>
      <c r="E20" s="13">
        <v>-536.67200000000003</v>
      </c>
      <c r="F20" s="13" t="s">
        <v>198</v>
      </c>
      <c r="G20" s="13" t="s">
        <v>198</v>
      </c>
      <c r="H20" s="13" t="s">
        <v>198</v>
      </c>
      <c r="I20" s="13" t="s">
        <v>198</v>
      </c>
      <c r="J20" s="13">
        <v>-42.817</v>
      </c>
      <c r="K20" s="13">
        <v>1.615</v>
      </c>
      <c r="L20" s="13">
        <v>-142.41200000000001</v>
      </c>
      <c r="M20" s="13">
        <v>-117.801</v>
      </c>
      <c r="N20" s="13">
        <v>-47.194000000000003</v>
      </c>
      <c r="O20" s="13" t="s">
        <v>198</v>
      </c>
    </row>
    <row r="21" spans="1:15" x14ac:dyDescent="0.25">
      <c r="A21" s="10" t="s">
        <v>1111</v>
      </c>
      <c r="B21" s="10" t="s">
        <v>1112</v>
      </c>
      <c r="C21" s="13">
        <v>-116.057</v>
      </c>
      <c r="D21" s="13">
        <v>0</v>
      </c>
      <c r="E21" s="13" t="s">
        <v>198</v>
      </c>
      <c r="F21" s="13" t="s">
        <v>198</v>
      </c>
      <c r="G21" s="13" t="s">
        <v>198</v>
      </c>
      <c r="H21" s="13" t="s">
        <v>198</v>
      </c>
      <c r="I21" s="13" t="s">
        <v>198</v>
      </c>
      <c r="J21" s="13" t="s">
        <v>198</v>
      </c>
      <c r="K21" s="13" t="s">
        <v>198</v>
      </c>
      <c r="L21" s="13" t="s">
        <v>198</v>
      </c>
      <c r="M21" s="13" t="s">
        <v>198</v>
      </c>
      <c r="N21" s="13" t="s">
        <v>198</v>
      </c>
      <c r="O21" s="13">
        <v>37.054000000000002</v>
      </c>
    </row>
    <row r="22" spans="1:15" x14ac:dyDescent="0.25">
      <c r="A22" s="10" t="s">
        <v>1113</v>
      </c>
      <c r="B22" s="10" t="s">
        <v>1114</v>
      </c>
      <c r="C22" s="13" t="s">
        <v>198</v>
      </c>
      <c r="D22" s="13" t="s">
        <v>198</v>
      </c>
      <c r="E22" s="13" t="s">
        <v>198</v>
      </c>
      <c r="F22" s="13" t="s">
        <v>198</v>
      </c>
      <c r="G22" s="13" t="s">
        <v>198</v>
      </c>
      <c r="H22" s="13" t="s">
        <v>198</v>
      </c>
      <c r="I22" s="13" t="s">
        <v>198</v>
      </c>
      <c r="J22" s="13" t="s">
        <v>198</v>
      </c>
      <c r="K22" s="13">
        <v>0</v>
      </c>
      <c r="L22" s="13" t="s">
        <v>198</v>
      </c>
      <c r="M22" s="13" t="s">
        <v>198</v>
      </c>
      <c r="N22" s="13" t="s">
        <v>198</v>
      </c>
      <c r="O22" s="13" t="s">
        <v>198</v>
      </c>
    </row>
    <row r="23" spans="1:15" x14ac:dyDescent="0.25">
      <c r="A23" s="10" t="s">
        <v>1115</v>
      </c>
      <c r="B23" s="10" t="s">
        <v>1116</v>
      </c>
      <c r="C23" s="13" t="s">
        <v>198</v>
      </c>
      <c r="D23" s="13" t="s">
        <v>198</v>
      </c>
      <c r="E23" s="13" t="s">
        <v>198</v>
      </c>
      <c r="F23" s="13" t="s">
        <v>198</v>
      </c>
      <c r="G23" s="13" t="s">
        <v>198</v>
      </c>
      <c r="H23" s="13" t="s">
        <v>198</v>
      </c>
      <c r="I23" s="13" t="s">
        <v>198</v>
      </c>
      <c r="J23" s="13">
        <v>70.328000000000003</v>
      </c>
      <c r="K23" s="13">
        <v>19.555</v>
      </c>
      <c r="L23" s="13">
        <v>54.42</v>
      </c>
      <c r="M23" s="13">
        <v>28.64</v>
      </c>
      <c r="N23" s="13">
        <v>19.414000000000001</v>
      </c>
      <c r="O23" s="13" t="s">
        <v>198</v>
      </c>
    </row>
    <row r="24" spans="1:15" x14ac:dyDescent="0.25">
      <c r="A24" s="10" t="s">
        <v>1117</v>
      </c>
      <c r="B24" s="10" t="s">
        <v>1118</v>
      </c>
      <c r="C24" s="13">
        <v>-24.702000000000002</v>
      </c>
      <c r="D24" s="13">
        <v>-31.94</v>
      </c>
      <c r="E24" s="13" t="s">
        <v>198</v>
      </c>
      <c r="F24" s="13" t="s">
        <v>198</v>
      </c>
      <c r="G24" s="13" t="s">
        <v>198</v>
      </c>
      <c r="H24" s="13" t="s">
        <v>198</v>
      </c>
      <c r="I24" s="13" t="s">
        <v>198</v>
      </c>
      <c r="J24" s="13" t="s">
        <v>198</v>
      </c>
      <c r="K24" s="13" t="s">
        <v>198</v>
      </c>
      <c r="L24" s="13" t="s">
        <v>198</v>
      </c>
      <c r="M24" s="13" t="s">
        <v>198</v>
      </c>
      <c r="N24" s="13" t="s">
        <v>198</v>
      </c>
      <c r="O24" s="13">
        <v>-393.39699999999999</v>
      </c>
    </row>
    <row r="25" spans="1:15" x14ac:dyDescent="0.25">
      <c r="A25" s="10" t="s">
        <v>1119</v>
      </c>
      <c r="B25" s="10" t="s">
        <v>1120</v>
      </c>
      <c r="C25" s="13" t="s">
        <v>198</v>
      </c>
      <c r="D25" s="13" t="s">
        <v>198</v>
      </c>
      <c r="E25" s="13" t="s">
        <v>198</v>
      </c>
      <c r="F25" s="13">
        <v>80.197999999999993</v>
      </c>
      <c r="G25" s="13">
        <v>-183.006</v>
      </c>
      <c r="H25" s="13" t="s">
        <v>198</v>
      </c>
      <c r="I25" s="13" t="s">
        <v>198</v>
      </c>
      <c r="J25" s="13" t="s">
        <v>198</v>
      </c>
      <c r="K25" s="13" t="s">
        <v>198</v>
      </c>
      <c r="L25" s="13" t="s">
        <v>198</v>
      </c>
      <c r="M25" s="13" t="s">
        <v>198</v>
      </c>
      <c r="N25" s="13" t="s">
        <v>198</v>
      </c>
      <c r="O25" s="13" t="s">
        <v>198</v>
      </c>
    </row>
    <row r="26" spans="1:15" x14ac:dyDescent="0.25">
      <c r="A26" s="10" t="s">
        <v>1121</v>
      </c>
      <c r="B26" s="10" t="s">
        <v>1122</v>
      </c>
      <c r="C26" s="13" t="s">
        <v>198</v>
      </c>
      <c r="D26" s="13" t="s">
        <v>198</v>
      </c>
      <c r="E26" s="13" t="s">
        <v>198</v>
      </c>
      <c r="F26" s="13">
        <v>-510.089</v>
      </c>
      <c r="G26" s="13">
        <v>542.71100000000001</v>
      </c>
      <c r="H26" s="13" t="s">
        <v>198</v>
      </c>
      <c r="I26" s="13" t="s">
        <v>198</v>
      </c>
      <c r="J26" s="13" t="s">
        <v>198</v>
      </c>
      <c r="K26" s="13" t="s">
        <v>198</v>
      </c>
      <c r="L26" s="13" t="s">
        <v>198</v>
      </c>
      <c r="M26" s="13" t="s">
        <v>198</v>
      </c>
      <c r="N26" s="13" t="s">
        <v>198</v>
      </c>
      <c r="O26" s="13" t="s">
        <v>198</v>
      </c>
    </row>
    <row r="27" spans="1:15" x14ac:dyDescent="0.25">
      <c r="A27" s="10" t="s">
        <v>1123</v>
      </c>
      <c r="B27" s="10" t="s">
        <v>1124</v>
      </c>
      <c r="C27" s="13">
        <v>1683.2529999999999</v>
      </c>
      <c r="D27" s="13">
        <v>2981.8270000000002</v>
      </c>
      <c r="E27" s="13">
        <v>2223.5059999999999</v>
      </c>
      <c r="F27" s="13">
        <v>3442.6190000000001</v>
      </c>
      <c r="G27" s="13">
        <v>2421.5630000000001</v>
      </c>
      <c r="H27" s="13">
        <v>-179.22</v>
      </c>
      <c r="I27" s="13">
        <v>2369.19</v>
      </c>
      <c r="J27" s="13">
        <v>3745.85</v>
      </c>
      <c r="K27" s="13">
        <v>4338.9870000000001</v>
      </c>
      <c r="L27" s="13">
        <v>-1743.7929999999999</v>
      </c>
      <c r="M27" s="13">
        <v>777.93399999999997</v>
      </c>
      <c r="N27" s="13">
        <v>11019.125</v>
      </c>
      <c r="O27" s="13">
        <v>8158.9380000000001</v>
      </c>
    </row>
    <row r="28" spans="1:15" x14ac:dyDescent="0.25">
      <c r="A28" s="10" t="s">
        <v>1125</v>
      </c>
      <c r="B28" s="10" t="s">
        <v>1126</v>
      </c>
      <c r="C28" s="13" t="s">
        <v>198</v>
      </c>
      <c r="D28" s="13" t="s">
        <v>198</v>
      </c>
      <c r="E28" s="13" t="s">
        <v>198</v>
      </c>
      <c r="F28" s="13">
        <v>60.850999999999999</v>
      </c>
      <c r="G28" s="13">
        <v>-10.430999999999999</v>
      </c>
      <c r="H28" s="13" t="s">
        <v>198</v>
      </c>
      <c r="I28" s="13" t="s">
        <v>198</v>
      </c>
      <c r="J28" s="13" t="s">
        <v>198</v>
      </c>
      <c r="K28" s="13" t="s">
        <v>198</v>
      </c>
      <c r="L28" s="13" t="s">
        <v>198</v>
      </c>
      <c r="M28" s="13" t="s">
        <v>198</v>
      </c>
      <c r="N28" s="13" t="s">
        <v>198</v>
      </c>
      <c r="O28" s="13" t="s">
        <v>198</v>
      </c>
    </row>
    <row r="29" spans="1:15" x14ac:dyDescent="0.25">
      <c r="A29" s="10" t="s">
        <v>1071</v>
      </c>
      <c r="B29" s="10" t="s">
        <v>1127</v>
      </c>
      <c r="C29" s="13">
        <v>46.646000000000001</v>
      </c>
      <c r="D29" s="13">
        <v>38.654000000000003</v>
      </c>
      <c r="E29" s="13">
        <v>136.465</v>
      </c>
      <c r="F29" s="13">
        <v>394.20100000000002</v>
      </c>
      <c r="G29" s="13">
        <v>485.49200000000002</v>
      </c>
      <c r="H29" s="13">
        <v>431.55799999999999</v>
      </c>
      <c r="I29" s="13">
        <v>543.24300000000005</v>
      </c>
      <c r="J29" s="13">
        <v>419.04399999999998</v>
      </c>
      <c r="K29" s="13">
        <v>429.82900000000001</v>
      </c>
      <c r="L29" s="13">
        <v>518.92600000000004</v>
      </c>
      <c r="M29" s="13">
        <v>786.49099999999999</v>
      </c>
      <c r="N29" s="13">
        <v>1019.595</v>
      </c>
      <c r="O29" s="13">
        <v>828.27499999999998</v>
      </c>
    </row>
    <row r="30" spans="1:15" x14ac:dyDescent="0.25">
      <c r="A30" s="10" t="s">
        <v>1128</v>
      </c>
      <c r="B30" s="10" t="s">
        <v>1129</v>
      </c>
      <c r="C30" s="13">
        <v>15.847</v>
      </c>
      <c r="D30" s="13">
        <v>92.382000000000005</v>
      </c>
      <c r="E30" s="13">
        <v>362.947</v>
      </c>
      <c r="F30" s="13">
        <v>2048.5830000000001</v>
      </c>
      <c r="G30" s="13">
        <v>-472.65100000000001</v>
      </c>
      <c r="H30" s="13">
        <v>-151.30099999999999</v>
      </c>
      <c r="I30" s="13">
        <v>-217.91</v>
      </c>
      <c r="J30" s="13">
        <v>-233.17500000000001</v>
      </c>
      <c r="K30" s="13">
        <v>-597.33199999999999</v>
      </c>
      <c r="L30" s="13">
        <v>-386.31400000000002</v>
      </c>
      <c r="M30" s="13">
        <v>-1155.722</v>
      </c>
      <c r="N30" s="13">
        <v>2409.6089999999999</v>
      </c>
      <c r="O30" s="13">
        <v>-1572.202</v>
      </c>
    </row>
    <row r="31" spans="1:15" x14ac:dyDescent="0.25">
      <c r="A31" s="10" t="s">
        <v>1130</v>
      </c>
      <c r="B31" s="10" t="s">
        <v>1131</v>
      </c>
      <c r="C31" s="13" t="s">
        <v>198</v>
      </c>
      <c r="D31" s="13" t="s">
        <v>198</v>
      </c>
      <c r="E31" s="13" t="s">
        <v>198</v>
      </c>
      <c r="F31" s="13" t="s">
        <v>198</v>
      </c>
      <c r="G31" s="13" t="s">
        <v>198</v>
      </c>
      <c r="H31" s="13" t="s">
        <v>198</v>
      </c>
      <c r="I31" s="13" t="s">
        <v>198</v>
      </c>
      <c r="J31" s="13" t="s">
        <v>198</v>
      </c>
      <c r="K31" s="13" t="s">
        <v>198</v>
      </c>
      <c r="L31" s="13" t="s">
        <v>198</v>
      </c>
      <c r="M31" s="13" t="s">
        <v>198</v>
      </c>
      <c r="N31" s="13" t="s">
        <v>198</v>
      </c>
      <c r="O31" s="13">
        <v>793.36900000000003</v>
      </c>
    </row>
    <row r="32" spans="1:15" x14ac:dyDescent="0.25">
      <c r="A32" s="10" t="s">
        <v>1132</v>
      </c>
      <c r="B32" s="10" t="s">
        <v>1133</v>
      </c>
      <c r="C32" s="13" t="s">
        <v>198</v>
      </c>
      <c r="D32" s="13" t="s">
        <v>198</v>
      </c>
      <c r="E32" s="13" t="s">
        <v>198</v>
      </c>
      <c r="F32" s="13" t="s">
        <v>198</v>
      </c>
      <c r="G32" s="13" t="s">
        <v>198</v>
      </c>
      <c r="H32" s="13">
        <v>-1122.671</v>
      </c>
      <c r="I32" s="13">
        <v>-460.548</v>
      </c>
      <c r="J32" s="13">
        <v>-1028.1980000000001</v>
      </c>
      <c r="K32" s="13">
        <v>-2864.0210000000002</v>
      </c>
      <c r="L32" s="13" t="s">
        <v>198</v>
      </c>
      <c r="M32" s="13" t="s">
        <v>198</v>
      </c>
      <c r="N32" s="13" t="s">
        <v>198</v>
      </c>
      <c r="O32" s="13">
        <v>3205.241</v>
      </c>
    </row>
    <row r="33" spans="1:15" x14ac:dyDescent="0.25">
      <c r="A33" s="10" t="s">
        <v>337</v>
      </c>
      <c r="B33" s="10" t="s">
        <v>1134</v>
      </c>
      <c r="C33" s="13" t="s">
        <v>198</v>
      </c>
      <c r="D33" s="13" t="s">
        <v>198</v>
      </c>
      <c r="E33" s="13">
        <v>-7.8739999999999997</v>
      </c>
      <c r="F33" s="13">
        <v>-49.362000000000002</v>
      </c>
      <c r="G33" s="13">
        <v>-109.76</v>
      </c>
      <c r="H33" s="13">
        <v>-193.09700000000001</v>
      </c>
      <c r="I33" s="13">
        <v>-191.321</v>
      </c>
      <c r="J33" s="13">
        <v>-143.666</v>
      </c>
      <c r="K33" s="13">
        <v>-58.667999999999999</v>
      </c>
      <c r="L33" s="13">
        <v>-143.048</v>
      </c>
      <c r="M33" s="13">
        <v>-239.62899999999999</v>
      </c>
      <c r="N33" s="13">
        <v>-451.41199999999998</v>
      </c>
      <c r="O33" s="13" t="s">
        <v>198</v>
      </c>
    </row>
    <row r="34" spans="1:15" x14ac:dyDescent="0.25">
      <c r="A34" s="10" t="s">
        <v>1135</v>
      </c>
      <c r="B34" s="10" t="s">
        <v>1136</v>
      </c>
      <c r="C34" s="13">
        <v>12.593999999999999</v>
      </c>
      <c r="D34" s="13">
        <v>-106.581</v>
      </c>
      <c r="E34" s="13">
        <v>-34.01</v>
      </c>
      <c r="F34" s="13" t="s">
        <v>198</v>
      </c>
      <c r="G34" s="13" t="s">
        <v>198</v>
      </c>
      <c r="H34" s="13" t="s">
        <v>198</v>
      </c>
      <c r="I34" s="13" t="s">
        <v>198</v>
      </c>
      <c r="J34" s="13" t="s">
        <v>198</v>
      </c>
      <c r="K34" s="13" t="s">
        <v>198</v>
      </c>
      <c r="L34" s="13" t="s">
        <v>198</v>
      </c>
      <c r="M34" s="13" t="s">
        <v>198</v>
      </c>
      <c r="N34" s="13" t="s">
        <v>198</v>
      </c>
      <c r="O34" s="13" t="s">
        <v>198</v>
      </c>
    </row>
    <row r="35" spans="1:15" x14ac:dyDescent="0.25">
      <c r="A35" s="10" t="s">
        <v>1137</v>
      </c>
      <c r="B35" s="10" t="s">
        <v>1138</v>
      </c>
      <c r="C35" s="13">
        <v>-42.351999999999997</v>
      </c>
      <c r="D35" s="13">
        <v>1645.9649999999999</v>
      </c>
      <c r="E35" s="13">
        <v>-140.75399999999999</v>
      </c>
      <c r="F35" s="13">
        <v>-894.51099999999997</v>
      </c>
      <c r="G35" s="13">
        <v>359.45299999999997</v>
      </c>
      <c r="H35" s="13">
        <v>-358.50700000000001</v>
      </c>
      <c r="I35" s="13">
        <v>178.964</v>
      </c>
      <c r="J35" s="13">
        <v>-565.06799999999998</v>
      </c>
      <c r="K35" s="13">
        <v>464.7</v>
      </c>
      <c r="L35" s="13">
        <v>-894.173</v>
      </c>
      <c r="M35" s="13">
        <v>1263.816</v>
      </c>
      <c r="N35" s="13">
        <v>930.63199999999995</v>
      </c>
      <c r="O35" s="13">
        <v>399.964</v>
      </c>
    </row>
    <row r="36" spans="1:15" x14ac:dyDescent="0.25">
      <c r="A36" s="10" t="s">
        <v>1139</v>
      </c>
      <c r="B36" s="10" t="s">
        <v>1140</v>
      </c>
      <c r="C36" s="13" t="s">
        <v>198</v>
      </c>
      <c r="D36" s="13" t="s">
        <v>198</v>
      </c>
      <c r="E36" s="13" t="s">
        <v>198</v>
      </c>
      <c r="F36" s="13">
        <v>631.91999999999996</v>
      </c>
      <c r="G36" s="13">
        <v>-355.9</v>
      </c>
      <c r="H36" s="13">
        <v>284.12</v>
      </c>
      <c r="I36" s="13">
        <v>-370.71800000000002</v>
      </c>
      <c r="J36" s="13">
        <v>738.87300000000005</v>
      </c>
      <c r="K36" s="13">
        <v>1345.0419999999999</v>
      </c>
      <c r="L36" s="13">
        <v>3914.366</v>
      </c>
      <c r="M36" s="13">
        <v>-3771.241</v>
      </c>
      <c r="N36" s="13">
        <v>897.14700000000005</v>
      </c>
      <c r="O36" s="13">
        <v>-461.57</v>
      </c>
    </row>
    <row r="37" spans="1:15" x14ac:dyDescent="0.25">
      <c r="A37" s="10" t="s">
        <v>1141</v>
      </c>
      <c r="B37" s="10" t="s">
        <v>1142</v>
      </c>
      <c r="C37" s="13">
        <v>981.721</v>
      </c>
      <c r="D37" s="13">
        <v>146.97300000000001</v>
      </c>
      <c r="E37" s="13" t="s">
        <v>198</v>
      </c>
      <c r="F37" s="13" t="s">
        <v>198</v>
      </c>
      <c r="G37" s="13" t="s">
        <v>198</v>
      </c>
      <c r="H37" s="13" t="s">
        <v>198</v>
      </c>
      <c r="I37" s="13" t="s">
        <v>198</v>
      </c>
      <c r="J37" s="13" t="s">
        <v>198</v>
      </c>
      <c r="K37" s="13" t="s">
        <v>198</v>
      </c>
      <c r="L37" s="13" t="s">
        <v>198</v>
      </c>
      <c r="M37" s="13" t="s">
        <v>198</v>
      </c>
      <c r="N37" s="13" t="s">
        <v>198</v>
      </c>
      <c r="O37" s="13" t="s">
        <v>198</v>
      </c>
    </row>
    <row r="38" spans="1:15" x14ac:dyDescent="0.25">
      <c r="A38" s="10" t="s">
        <v>1143</v>
      </c>
      <c r="B38" s="10" t="s">
        <v>1144</v>
      </c>
      <c r="C38" s="13" t="s">
        <v>198</v>
      </c>
      <c r="D38" s="13" t="s">
        <v>198</v>
      </c>
      <c r="E38" s="13">
        <v>-3446.3119999999999</v>
      </c>
      <c r="F38" s="13">
        <v>0</v>
      </c>
      <c r="G38" s="13">
        <v>7.5220000000000002</v>
      </c>
      <c r="H38" s="13">
        <v>9.4450000000000003</v>
      </c>
      <c r="I38" s="13" t="s">
        <v>198</v>
      </c>
      <c r="J38" s="13">
        <v>-81.338999999999999</v>
      </c>
      <c r="K38" s="13">
        <v>-24.661000000000001</v>
      </c>
      <c r="L38" s="13">
        <v>39.020000000000003</v>
      </c>
      <c r="M38" s="13">
        <v>43.052</v>
      </c>
      <c r="N38" s="13">
        <v>46.725999999999999</v>
      </c>
      <c r="O38" s="13" t="s">
        <v>198</v>
      </c>
    </row>
    <row r="39" spans="1:15" x14ac:dyDescent="0.25">
      <c r="A39" s="10" t="s">
        <v>1145</v>
      </c>
      <c r="B39" s="10" t="s">
        <v>1146</v>
      </c>
      <c r="C39" s="13">
        <v>45.268000000000001</v>
      </c>
      <c r="D39" s="13">
        <v>-163.66800000000001</v>
      </c>
      <c r="E39" s="13">
        <v>160.328</v>
      </c>
      <c r="F39" s="13" t="s">
        <v>198</v>
      </c>
      <c r="G39" s="13" t="s">
        <v>198</v>
      </c>
      <c r="H39" s="13" t="s">
        <v>198</v>
      </c>
      <c r="I39" s="13" t="s">
        <v>198</v>
      </c>
      <c r="J39" s="13" t="s">
        <v>198</v>
      </c>
      <c r="K39" s="13" t="s">
        <v>198</v>
      </c>
      <c r="L39" s="13" t="s">
        <v>198</v>
      </c>
      <c r="M39" s="13" t="s">
        <v>198</v>
      </c>
      <c r="N39" s="13" t="s">
        <v>198</v>
      </c>
      <c r="O39" s="13" t="s">
        <v>198</v>
      </c>
    </row>
    <row r="40" spans="1:15" x14ac:dyDescent="0.25">
      <c r="A40" s="10" t="s">
        <v>1147</v>
      </c>
      <c r="B40" s="10" t="s">
        <v>1148</v>
      </c>
      <c r="C40" s="13" t="s">
        <v>198</v>
      </c>
      <c r="D40" s="13" t="s">
        <v>198</v>
      </c>
      <c r="E40" s="13" t="s">
        <v>198</v>
      </c>
      <c r="F40" s="13" t="s">
        <v>198</v>
      </c>
      <c r="G40" s="13" t="s">
        <v>198</v>
      </c>
      <c r="H40" s="13" t="s">
        <v>198</v>
      </c>
      <c r="I40" s="13" t="s">
        <v>198</v>
      </c>
      <c r="J40" s="13">
        <v>99.602000000000004</v>
      </c>
      <c r="K40" s="13">
        <v>-55.505000000000003</v>
      </c>
      <c r="L40" s="13">
        <v>30.164000000000001</v>
      </c>
      <c r="M40" s="13">
        <v>-33.529000000000003</v>
      </c>
      <c r="N40" s="13">
        <v>-15.599</v>
      </c>
      <c r="O40" s="13" t="s">
        <v>198</v>
      </c>
    </row>
    <row r="41" spans="1:15" x14ac:dyDescent="0.25">
      <c r="A41" s="10" t="s">
        <v>1149</v>
      </c>
      <c r="B41" s="10" t="s">
        <v>1150</v>
      </c>
      <c r="C41" s="13" t="s">
        <v>198</v>
      </c>
      <c r="D41" s="13" t="s">
        <v>198</v>
      </c>
      <c r="E41" s="13">
        <v>-98.74</v>
      </c>
      <c r="F41" s="13" t="s">
        <v>198</v>
      </c>
      <c r="G41" s="13" t="s">
        <v>198</v>
      </c>
      <c r="H41" s="13" t="s">
        <v>198</v>
      </c>
      <c r="I41" s="13" t="s">
        <v>198</v>
      </c>
      <c r="J41" s="13" t="s">
        <v>198</v>
      </c>
      <c r="K41" s="13" t="s">
        <v>198</v>
      </c>
      <c r="L41" s="13" t="s">
        <v>198</v>
      </c>
      <c r="M41" s="13" t="s">
        <v>198</v>
      </c>
      <c r="N41" s="13" t="s">
        <v>198</v>
      </c>
      <c r="O41" s="13" t="s">
        <v>198</v>
      </c>
    </row>
    <row r="42" spans="1:15" x14ac:dyDescent="0.25">
      <c r="A42" s="10" t="s">
        <v>1151</v>
      </c>
      <c r="B42" s="10" t="s">
        <v>1152</v>
      </c>
      <c r="C42" s="13">
        <v>2552.5129999999999</v>
      </c>
      <c r="D42" s="13">
        <v>3791.6849999999999</v>
      </c>
      <c r="E42" s="13">
        <v>7618.7219999999998</v>
      </c>
      <c r="F42" s="13">
        <v>4688.1949999999997</v>
      </c>
      <c r="G42" s="13">
        <v>5955.241</v>
      </c>
      <c r="H42" s="13" t="s">
        <v>198</v>
      </c>
      <c r="I42" s="13" t="s">
        <v>198</v>
      </c>
      <c r="J42" s="13" t="s">
        <v>198</v>
      </c>
      <c r="K42" s="13" t="s">
        <v>198</v>
      </c>
      <c r="L42" s="13" t="s">
        <v>198</v>
      </c>
      <c r="M42" s="13" t="s">
        <v>198</v>
      </c>
      <c r="N42" s="13" t="s">
        <v>198</v>
      </c>
      <c r="O42" s="13" t="s">
        <v>198</v>
      </c>
    </row>
    <row r="43" spans="1:15" x14ac:dyDescent="0.25">
      <c r="A43" s="10" t="s">
        <v>1153</v>
      </c>
      <c r="B43" s="10" t="s">
        <v>1154</v>
      </c>
      <c r="C43" s="13" t="s">
        <v>198</v>
      </c>
      <c r="D43" s="13" t="s">
        <v>198</v>
      </c>
      <c r="E43" s="13" t="s">
        <v>198</v>
      </c>
      <c r="F43" s="13" t="s">
        <v>198</v>
      </c>
      <c r="G43" s="13" t="s">
        <v>198</v>
      </c>
      <c r="H43" s="13" t="s">
        <v>198</v>
      </c>
      <c r="I43" s="13" t="s">
        <v>198</v>
      </c>
      <c r="J43" s="13" t="s">
        <v>198</v>
      </c>
      <c r="K43" s="13" t="s">
        <v>198</v>
      </c>
      <c r="L43" s="13">
        <v>-3193.4209999999998</v>
      </c>
      <c r="M43" s="13">
        <v>-3116.2669999999998</v>
      </c>
      <c r="N43" s="13">
        <v>-2532.009</v>
      </c>
      <c r="O43" s="13">
        <v>-1468.9870000000001</v>
      </c>
    </row>
    <row r="44" spans="1:15" x14ac:dyDescent="0.25">
      <c r="A44" s="10" t="s">
        <v>1155</v>
      </c>
      <c r="B44" s="10" t="s">
        <v>1156</v>
      </c>
      <c r="C44" s="13" t="s">
        <v>198</v>
      </c>
      <c r="D44" s="13" t="s">
        <v>198</v>
      </c>
      <c r="E44" s="13" t="s">
        <v>198</v>
      </c>
      <c r="F44" s="13" t="s">
        <v>198</v>
      </c>
      <c r="G44" s="13" t="s">
        <v>198</v>
      </c>
      <c r="H44" s="13">
        <v>1113.4739999999999</v>
      </c>
      <c r="I44" s="13">
        <v>1429.518</v>
      </c>
      <c r="J44" s="13" t="s">
        <v>198</v>
      </c>
      <c r="K44" s="13" t="s">
        <v>198</v>
      </c>
      <c r="L44" s="13" t="s">
        <v>198</v>
      </c>
      <c r="M44" s="13" t="s">
        <v>198</v>
      </c>
      <c r="N44" s="13" t="s">
        <v>198</v>
      </c>
      <c r="O44" s="13" t="s">
        <v>198</v>
      </c>
    </row>
    <row r="45" spans="1:15" x14ac:dyDescent="0.25">
      <c r="A45" s="10" t="s">
        <v>1157</v>
      </c>
      <c r="B45" s="10" t="s">
        <v>1158</v>
      </c>
      <c r="C45" s="13" t="s">
        <v>198</v>
      </c>
      <c r="D45" s="13" t="s">
        <v>198</v>
      </c>
      <c r="E45" s="13" t="s">
        <v>198</v>
      </c>
      <c r="F45" s="13">
        <v>10.601000000000001</v>
      </c>
      <c r="G45" s="13">
        <v>11.882</v>
      </c>
      <c r="H45" s="13" t="s">
        <v>198</v>
      </c>
      <c r="I45" s="13" t="s">
        <v>198</v>
      </c>
      <c r="J45" s="13" t="s">
        <v>198</v>
      </c>
      <c r="K45" s="13" t="s">
        <v>198</v>
      </c>
      <c r="L45" s="13" t="s">
        <v>198</v>
      </c>
      <c r="M45" s="13" t="s">
        <v>198</v>
      </c>
      <c r="N45" s="13" t="s">
        <v>198</v>
      </c>
      <c r="O45" s="13" t="s">
        <v>198</v>
      </c>
    </row>
    <row r="46" spans="1:15" x14ac:dyDescent="0.25">
      <c r="A46" s="10" t="s">
        <v>1159</v>
      </c>
      <c r="B46" s="10" t="s">
        <v>1160</v>
      </c>
      <c r="C46" s="13" t="s">
        <v>198</v>
      </c>
      <c r="D46" s="13" t="s">
        <v>198</v>
      </c>
      <c r="E46" s="13" t="s">
        <v>198</v>
      </c>
      <c r="F46" s="13" t="s">
        <v>198</v>
      </c>
      <c r="G46" s="13" t="s">
        <v>198</v>
      </c>
      <c r="H46" s="13">
        <v>11.465999999999999</v>
      </c>
      <c r="I46" s="13" t="s">
        <v>198</v>
      </c>
      <c r="J46" s="13" t="s">
        <v>198</v>
      </c>
      <c r="K46" s="13" t="s">
        <v>198</v>
      </c>
      <c r="L46" s="13" t="s">
        <v>198</v>
      </c>
      <c r="M46" s="13" t="s">
        <v>198</v>
      </c>
      <c r="N46" s="13" t="s">
        <v>198</v>
      </c>
      <c r="O46" s="13" t="s">
        <v>198</v>
      </c>
    </row>
    <row r="47" spans="1:15" x14ac:dyDescent="0.25">
      <c r="A47" s="10" t="s">
        <v>1161</v>
      </c>
      <c r="B47" s="10" t="s">
        <v>1162</v>
      </c>
      <c r="C47" s="13" t="s">
        <v>198</v>
      </c>
      <c r="D47" s="13" t="s">
        <v>198</v>
      </c>
      <c r="E47" s="13" t="s">
        <v>198</v>
      </c>
      <c r="F47" s="13" t="s">
        <v>198</v>
      </c>
      <c r="G47" s="13" t="s">
        <v>198</v>
      </c>
      <c r="H47" s="13" t="s">
        <v>198</v>
      </c>
      <c r="I47" s="13" t="s">
        <v>198</v>
      </c>
      <c r="J47" s="13">
        <v>-100.617</v>
      </c>
      <c r="K47" s="13">
        <v>-41.235999999999997</v>
      </c>
      <c r="L47" s="13">
        <v>-231.04300000000001</v>
      </c>
      <c r="M47" s="13">
        <v>167.613</v>
      </c>
      <c r="N47" s="13">
        <v>-18.853000000000002</v>
      </c>
      <c r="O47" s="13" t="s">
        <v>198</v>
      </c>
    </row>
    <row r="48" spans="1:15" x14ac:dyDescent="0.25">
      <c r="A48" s="10" t="s">
        <v>1163</v>
      </c>
      <c r="B48" s="10" t="s">
        <v>1164</v>
      </c>
      <c r="C48" s="13">
        <v>-179.107</v>
      </c>
      <c r="D48" s="13">
        <v>-46.387</v>
      </c>
      <c r="E48" s="13" t="s">
        <v>198</v>
      </c>
      <c r="F48" s="13" t="s">
        <v>198</v>
      </c>
      <c r="G48" s="13" t="s">
        <v>198</v>
      </c>
      <c r="H48" s="13" t="s">
        <v>198</v>
      </c>
      <c r="I48" s="13" t="s">
        <v>198</v>
      </c>
      <c r="J48" s="13" t="s">
        <v>198</v>
      </c>
      <c r="K48" s="13" t="s">
        <v>198</v>
      </c>
      <c r="L48" s="13" t="s">
        <v>198</v>
      </c>
      <c r="M48" s="13" t="s">
        <v>198</v>
      </c>
      <c r="N48" s="13" t="s">
        <v>198</v>
      </c>
      <c r="O48" s="13" t="s">
        <v>198</v>
      </c>
    </row>
    <row r="49" spans="1:15" x14ac:dyDescent="0.25">
      <c r="A49" s="10" t="s">
        <v>1165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r="50" spans="1:15" x14ac:dyDescent="0.25">
      <c r="A50" s="10" t="s">
        <v>1166</v>
      </c>
      <c r="B50" s="10" t="s">
        <v>1167</v>
      </c>
      <c r="C50" s="13">
        <v>4.367</v>
      </c>
      <c r="D50" s="13">
        <v>26.324000000000002</v>
      </c>
      <c r="E50" s="13" t="s">
        <v>198</v>
      </c>
      <c r="F50" s="13">
        <v>0</v>
      </c>
      <c r="G50" s="13">
        <v>3.9820000000000002</v>
      </c>
      <c r="H50" s="13">
        <v>7.7779999999999996</v>
      </c>
      <c r="I50" s="13">
        <v>12.006</v>
      </c>
      <c r="J50" s="13">
        <v>15.653</v>
      </c>
      <c r="K50" s="13">
        <v>10.42</v>
      </c>
      <c r="L50" s="13">
        <v>0</v>
      </c>
      <c r="M50" s="13" t="s">
        <v>198</v>
      </c>
      <c r="N50" s="13" t="s">
        <v>198</v>
      </c>
      <c r="O50" s="13" t="s">
        <v>198</v>
      </c>
    </row>
    <row r="51" spans="1:15" x14ac:dyDescent="0.25">
      <c r="A51" s="10" t="s">
        <v>61</v>
      </c>
      <c r="B51" s="10" t="s">
        <v>1168</v>
      </c>
      <c r="C51" s="13" t="s">
        <v>198</v>
      </c>
      <c r="D51" s="13" t="s">
        <v>198</v>
      </c>
      <c r="E51" s="13" t="s">
        <v>198</v>
      </c>
      <c r="F51" s="13" t="s">
        <v>198</v>
      </c>
      <c r="G51" s="13" t="s">
        <v>198</v>
      </c>
      <c r="H51" s="13">
        <v>-811.423</v>
      </c>
      <c r="I51" s="13">
        <v>-2038.09</v>
      </c>
      <c r="J51" s="13">
        <v>-3544.31</v>
      </c>
      <c r="K51" s="13">
        <v>-2197.4560000000001</v>
      </c>
      <c r="L51" s="13">
        <v>-3728.2510000000002</v>
      </c>
      <c r="M51" s="13">
        <v>-3115.16</v>
      </c>
      <c r="N51" s="13">
        <v>-2041.038</v>
      </c>
      <c r="O51" s="13">
        <v>-1506.249</v>
      </c>
    </row>
    <row r="52" spans="1:15" x14ac:dyDescent="0.25">
      <c r="A52" s="10" t="s">
        <v>1169</v>
      </c>
      <c r="B52" s="10" t="s">
        <v>1170</v>
      </c>
      <c r="C52" s="13" t="s">
        <v>198</v>
      </c>
      <c r="D52" s="13" t="s">
        <v>198</v>
      </c>
      <c r="E52" s="13">
        <v>0</v>
      </c>
      <c r="F52" s="13" t="s">
        <v>198</v>
      </c>
      <c r="G52" s="13" t="s">
        <v>198</v>
      </c>
      <c r="H52" s="13" t="s">
        <v>198</v>
      </c>
      <c r="I52" s="13" t="s">
        <v>198</v>
      </c>
      <c r="J52" s="13" t="s">
        <v>198</v>
      </c>
      <c r="K52" s="13" t="s">
        <v>198</v>
      </c>
      <c r="L52" s="13" t="s">
        <v>198</v>
      </c>
      <c r="M52" s="13" t="s">
        <v>198</v>
      </c>
      <c r="N52" s="13" t="s">
        <v>198</v>
      </c>
      <c r="O52" s="13" t="s">
        <v>198</v>
      </c>
    </row>
    <row r="53" spans="1:15" x14ac:dyDescent="0.25">
      <c r="A53" s="10" t="s">
        <v>1171</v>
      </c>
      <c r="B53" s="10" t="s">
        <v>1172</v>
      </c>
      <c r="C53" s="13" t="s">
        <v>198</v>
      </c>
      <c r="D53" s="13" t="s">
        <v>198</v>
      </c>
      <c r="E53" s="13">
        <v>-10664.772999999999</v>
      </c>
      <c r="F53" s="13">
        <v>0</v>
      </c>
      <c r="G53" s="13">
        <v>-189.57599999999999</v>
      </c>
      <c r="H53" s="13">
        <v>-4218.0439999999999</v>
      </c>
      <c r="I53" s="13" t="s">
        <v>198</v>
      </c>
      <c r="J53" s="13">
        <v>-1592.9960000000001</v>
      </c>
      <c r="K53" s="13">
        <v>-475.97399999999999</v>
      </c>
      <c r="L53" s="13">
        <v>-7.6310000000000002</v>
      </c>
      <c r="M53" s="13">
        <v>-556.70399999999995</v>
      </c>
      <c r="N53" s="13">
        <v>-155.011</v>
      </c>
      <c r="O53" s="13" t="s">
        <v>198</v>
      </c>
    </row>
    <row r="54" spans="1:15" x14ac:dyDescent="0.25">
      <c r="A54" s="10" t="s">
        <v>1173</v>
      </c>
      <c r="B54" s="10" t="s">
        <v>1174</v>
      </c>
      <c r="C54" s="13" t="s">
        <v>198</v>
      </c>
      <c r="D54" s="13">
        <v>27.3</v>
      </c>
      <c r="E54" s="13">
        <v>-181.84</v>
      </c>
      <c r="F54" s="13">
        <v>-75.325000000000003</v>
      </c>
      <c r="G54" s="13">
        <v>1.1839999999999999</v>
      </c>
      <c r="H54" s="13">
        <v>3.258</v>
      </c>
      <c r="I54" s="13">
        <v>265.93799999999999</v>
      </c>
      <c r="J54" s="13" t="s">
        <v>198</v>
      </c>
      <c r="K54" s="13">
        <v>0</v>
      </c>
      <c r="L54" s="13" t="s">
        <v>198</v>
      </c>
      <c r="M54" s="13" t="s">
        <v>198</v>
      </c>
      <c r="N54" s="13" t="s">
        <v>198</v>
      </c>
      <c r="O54" s="13" t="s">
        <v>198</v>
      </c>
    </row>
    <row r="55" spans="1:15" x14ac:dyDescent="0.25">
      <c r="A55" s="10" t="s">
        <v>1175</v>
      </c>
      <c r="B55" s="10" t="s">
        <v>1176</v>
      </c>
      <c r="C55" s="13">
        <v>-30.26</v>
      </c>
      <c r="D55" s="13">
        <v>-5.17</v>
      </c>
      <c r="E55" s="13">
        <v>-41.024999999999999</v>
      </c>
      <c r="F55" s="13">
        <v>-205.429</v>
      </c>
      <c r="G55" s="13" t="s">
        <v>198</v>
      </c>
      <c r="H55" s="13">
        <v>-188.56800000000001</v>
      </c>
      <c r="I55" s="13">
        <v>-189.20400000000001</v>
      </c>
      <c r="J55" s="13">
        <v>-91.807000000000002</v>
      </c>
      <c r="K55" s="13">
        <v>-3052.6889999999999</v>
      </c>
      <c r="L55" s="13">
        <v>-195.93100000000001</v>
      </c>
      <c r="M55" s="13">
        <v>-96.606999999999999</v>
      </c>
      <c r="N55" s="13">
        <v>-165.017</v>
      </c>
      <c r="O55" s="13">
        <v>-206.31700000000001</v>
      </c>
    </row>
    <row r="56" spans="1:15" x14ac:dyDescent="0.25">
      <c r="A56" s="10" t="s">
        <v>1177</v>
      </c>
      <c r="B56" s="10" t="s">
        <v>1178</v>
      </c>
      <c r="C56" s="13" t="s">
        <v>198</v>
      </c>
      <c r="D56" s="13" t="s">
        <v>198</v>
      </c>
      <c r="E56" s="13" t="s">
        <v>198</v>
      </c>
      <c r="F56" s="13" t="s">
        <v>198</v>
      </c>
      <c r="G56" s="13">
        <v>17.265000000000001</v>
      </c>
      <c r="H56" s="13" t="s">
        <v>198</v>
      </c>
      <c r="I56" s="13" t="s">
        <v>198</v>
      </c>
      <c r="J56" s="13" t="s">
        <v>198</v>
      </c>
      <c r="K56" s="13" t="s">
        <v>198</v>
      </c>
      <c r="L56" s="13" t="s">
        <v>198</v>
      </c>
      <c r="M56" s="13" t="s">
        <v>198</v>
      </c>
      <c r="N56" s="13" t="s">
        <v>198</v>
      </c>
      <c r="O56" s="13" t="s">
        <v>198</v>
      </c>
    </row>
    <row r="57" spans="1:15" x14ac:dyDescent="0.25">
      <c r="A57" s="10" t="s">
        <v>1179</v>
      </c>
      <c r="B57" s="10" t="s">
        <v>1180</v>
      </c>
      <c r="C57" s="13" t="s">
        <v>198</v>
      </c>
      <c r="D57" s="13" t="s">
        <v>198</v>
      </c>
      <c r="E57" s="13">
        <v>4656.2520000000004</v>
      </c>
      <c r="F57" s="13" t="s">
        <v>198</v>
      </c>
      <c r="G57" s="13" t="s">
        <v>198</v>
      </c>
      <c r="H57" s="13" t="s">
        <v>198</v>
      </c>
      <c r="I57" s="13" t="s">
        <v>198</v>
      </c>
      <c r="J57" s="13" t="s">
        <v>198</v>
      </c>
      <c r="K57" s="13" t="s">
        <v>198</v>
      </c>
      <c r="L57" s="13" t="s">
        <v>198</v>
      </c>
      <c r="M57" s="13" t="s">
        <v>198</v>
      </c>
      <c r="N57" s="13" t="s">
        <v>198</v>
      </c>
      <c r="O57" s="13">
        <v>2922.2939999999999</v>
      </c>
    </row>
    <row r="58" spans="1:15" x14ac:dyDescent="0.25">
      <c r="A58" s="10" t="s">
        <v>1181</v>
      </c>
      <c r="B58" s="10" t="s">
        <v>1182</v>
      </c>
      <c r="C58" s="13" t="s">
        <v>198</v>
      </c>
      <c r="D58" s="13" t="s">
        <v>198</v>
      </c>
      <c r="E58" s="13" t="s">
        <v>198</v>
      </c>
      <c r="F58" s="13" t="s">
        <v>198</v>
      </c>
      <c r="G58" s="13" t="s">
        <v>198</v>
      </c>
      <c r="H58" s="13" t="s">
        <v>198</v>
      </c>
      <c r="I58" s="13" t="s">
        <v>198</v>
      </c>
      <c r="J58" s="13" t="s">
        <v>198</v>
      </c>
      <c r="K58" s="13" t="s">
        <v>198</v>
      </c>
      <c r="L58" s="13" t="s">
        <v>198</v>
      </c>
      <c r="M58" s="13">
        <v>-27.332000000000001</v>
      </c>
      <c r="N58" s="13">
        <v>0</v>
      </c>
      <c r="O58" s="13">
        <v>-564.14</v>
      </c>
    </row>
    <row r="59" spans="1:15" x14ac:dyDescent="0.25">
      <c r="A59" s="10" t="s">
        <v>1183</v>
      </c>
      <c r="B59" s="10" t="s">
        <v>1184</v>
      </c>
      <c r="C59" s="13" t="s">
        <v>198</v>
      </c>
      <c r="D59" s="13" t="s">
        <v>198</v>
      </c>
      <c r="E59" s="13" t="s">
        <v>198</v>
      </c>
      <c r="F59" s="13">
        <v>-66.364000000000004</v>
      </c>
      <c r="G59" s="13">
        <v>-31.166</v>
      </c>
      <c r="H59" s="13">
        <v>-230.834</v>
      </c>
      <c r="I59" s="13" t="s">
        <v>198</v>
      </c>
      <c r="J59" s="13" t="s">
        <v>198</v>
      </c>
      <c r="K59" s="13" t="s">
        <v>198</v>
      </c>
      <c r="L59" s="13" t="s">
        <v>198</v>
      </c>
      <c r="M59" s="13" t="s">
        <v>198</v>
      </c>
      <c r="N59" s="13" t="s">
        <v>198</v>
      </c>
      <c r="O59" s="13" t="s">
        <v>198</v>
      </c>
    </row>
    <row r="60" spans="1:15" x14ac:dyDescent="0.25">
      <c r="A60" s="10" t="s">
        <v>1185</v>
      </c>
      <c r="B60" s="10" t="s">
        <v>1186</v>
      </c>
      <c r="C60" s="13">
        <v>-655.09500000000003</v>
      </c>
      <c r="D60" s="13">
        <v>-840.22699999999998</v>
      </c>
      <c r="E60" s="13">
        <v>-543.69200000000001</v>
      </c>
      <c r="F60" s="13">
        <v>-828.93100000000004</v>
      </c>
      <c r="G60" s="13">
        <v>-1066.0139999999999</v>
      </c>
      <c r="H60" s="13" t="s">
        <v>198</v>
      </c>
      <c r="I60" s="13" t="s">
        <v>198</v>
      </c>
      <c r="J60" s="13" t="s">
        <v>198</v>
      </c>
      <c r="K60" s="13" t="s">
        <v>198</v>
      </c>
      <c r="L60" s="13" t="s">
        <v>198</v>
      </c>
      <c r="M60" s="13" t="s">
        <v>198</v>
      </c>
      <c r="N60" s="13" t="s">
        <v>198</v>
      </c>
      <c r="O60" s="13" t="s">
        <v>198</v>
      </c>
    </row>
    <row r="61" spans="1:15" x14ac:dyDescent="0.25">
      <c r="A61" s="10" t="s">
        <v>1187</v>
      </c>
      <c r="B61" s="10" t="s">
        <v>1188</v>
      </c>
      <c r="C61" s="13">
        <v>24.702000000000002</v>
      </c>
      <c r="D61" s="13">
        <v>31.94</v>
      </c>
      <c r="E61" s="13">
        <v>7.8739999999999997</v>
      </c>
      <c r="F61" s="13">
        <v>49.362000000000002</v>
      </c>
      <c r="G61" s="13">
        <v>109.76</v>
      </c>
      <c r="H61" s="13">
        <v>193.09700000000001</v>
      </c>
      <c r="I61" s="13">
        <v>191.321</v>
      </c>
      <c r="J61" s="13">
        <v>143.666</v>
      </c>
      <c r="K61" s="13">
        <v>58.667999999999999</v>
      </c>
      <c r="L61" s="13">
        <v>143.048</v>
      </c>
      <c r="M61" s="13">
        <v>239.62899999999999</v>
      </c>
      <c r="N61" s="13">
        <v>451.41199999999998</v>
      </c>
      <c r="O61" s="13">
        <v>393.39699999999999</v>
      </c>
    </row>
    <row r="62" spans="1:15" x14ac:dyDescent="0.25">
      <c r="A62" s="6" t="s">
        <v>1189</v>
      </c>
      <c r="B62" s="6" t="s">
        <v>1190</v>
      </c>
      <c r="C62" s="19">
        <v>-656.28599999999994</v>
      </c>
      <c r="D62" s="19">
        <v>-759.83299999999997</v>
      </c>
      <c r="E62" s="19">
        <v>-6767.2039999999997</v>
      </c>
      <c r="F62" s="19">
        <v>-1126.6869999999999</v>
      </c>
      <c r="G62" s="19">
        <v>-1154.5650000000001</v>
      </c>
      <c r="H62" s="19">
        <v>-5244.7359999999999</v>
      </c>
      <c r="I62" s="19">
        <v>-1758.029</v>
      </c>
      <c r="J62" s="19">
        <v>-5069.7939999999999</v>
      </c>
      <c r="K62" s="19">
        <v>-5657.0309999999999</v>
      </c>
      <c r="L62" s="19">
        <v>-3788.7649999999999</v>
      </c>
      <c r="M62" s="19">
        <v>-3556.174</v>
      </c>
      <c r="N62" s="19">
        <v>-1909.654</v>
      </c>
      <c r="O62" s="19">
        <v>1038.9849999999999</v>
      </c>
    </row>
    <row r="63" spans="1:15" x14ac:dyDescent="0.25">
      <c r="A63" s="10" t="s">
        <v>1191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</row>
    <row r="64" spans="1:15" x14ac:dyDescent="0.25">
      <c r="A64" s="10" t="s">
        <v>1192</v>
      </c>
      <c r="B64" s="10" t="s">
        <v>1193</v>
      </c>
      <c r="C64" s="13">
        <v>-8005.7809999999999</v>
      </c>
      <c r="D64" s="13">
        <v>-208.833</v>
      </c>
      <c r="E64" s="13">
        <v>-2057.0920000000001</v>
      </c>
      <c r="F64" s="13">
        <v>0</v>
      </c>
      <c r="G64" s="13">
        <v>-2599.7159999999999</v>
      </c>
      <c r="H64" s="13">
        <v>-1819.1210000000001</v>
      </c>
      <c r="I64" s="13">
        <v>-1962.221</v>
      </c>
      <c r="J64" s="13">
        <v>-543.53499999999997</v>
      </c>
      <c r="K64" s="13">
        <v>-1545.606</v>
      </c>
      <c r="L64" s="13">
        <v>-1510.126</v>
      </c>
      <c r="M64" s="13">
        <v>-1764.2729999999999</v>
      </c>
      <c r="N64" s="13">
        <v>-1420.095</v>
      </c>
      <c r="O64" s="13">
        <v>-1436.6020000000001</v>
      </c>
    </row>
    <row r="65" spans="1:15" x14ac:dyDescent="0.25">
      <c r="A65" s="10" t="s">
        <v>1194</v>
      </c>
      <c r="B65" s="10" t="s">
        <v>1195</v>
      </c>
      <c r="C65" s="13" t="s">
        <v>198</v>
      </c>
      <c r="D65" s="13" t="s">
        <v>198</v>
      </c>
      <c r="E65" s="13" t="s">
        <v>198</v>
      </c>
      <c r="F65" s="13" t="s">
        <v>198</v>
      </c>
      <c r="G65" s="13" t="s">
        <v>198</v>
      </c>
      <c r="H65" s="13" t="s">
        <v>198</v>
      </c>
      <c r="I65" s="13" t="s">
        <v>198</v>
      </c>
      <c r="J65" s="13" t="s">
        <v>198</v>
      </c>
      <c r="K65" s="13" t="s">
        <v>198</v>
      </c>
      <c r="L65" s="13" t="s">
        <v>198</v>
      </c>
      <c r="M65" s="13" t="s">
        <v>198</v>
      </c>
      <c r="N65" s="13" t="s">
        <v>198</v>
      </c>
      <c r="O65" s="13">
        <v>0</v>
      </c>
    </row>
    <row r="66" spans="1:15" x14ac:dyDescent="0.25">
      <c r="A66" s="10" t="s">
        <v>1196</v>
      </c>
      <c r="B66" s="10" t="s">
        <v>1197</v>
      </c>
      <c r="C66" s="13">
        <v>5750</v>
      </c>
      <c r="D66" s="13" t="s">
        <v>198</v>
      </c>
      <c r="E66" s="13" t="s">
        <v>198</v>
      </c>
      <c r="F66" s="13">
        <v>1206.491</v>
      </c>
      <c r="G66" s="13">
        <v>17997.293000000001</v>
      </c>
      <c r="H66" s="13" t="s">
        <v>198</v>
      </c>
      <c r="I66" s="13" t="s">
        <v>198</v>
      </c>
      <c r="J66" s="13" t="s">
        <v>198</v>
      </c>
      <c r="K66" s="13" t="s">
        <v>198</v>
      </c>
      <c r="L66" s="13" t="s">
        <v>198</v>
      </c>
      <c r="M66" s="13" t="s">
        <v>198</v>
      </c>
      <c r="N66" s="13" t="s">
        <v>198</v>
      </c>
      <c r="O66" s="13" t="s">
        <v>198</v>
      </c>
    </row>
    <row r="67" spans="1:15" x14ac:dyDescent="0.25">
      <c r="A67" s="10" t="s">
        <v>1198</v>
      </c>
      <c r="B67" s="10" t="s">
        <v>1199</v>
      </c>
      <c r="C67" s="13" t="s">
        <v>198</v>
      </c>
      <c r="D67" s="13" t="s">
        <v>198</v>
      </c>
      <c r="E67" s="13">
        <v>78.751000000000005</v>
      </c>
      <c r="F67" s="13">
        <v>0</v>
      </c>
      <c r="G67" s="13">
        <v>527.84500000000003</v>
      </c>
      <c r="H67" s="13">
        <v>-62.494</v>
      </c>
      <c r="I67" s="13">
        <v>-401.49900000000002</v>
      </c>
      <c r="J67" s="13">
        <v>660.48599999999999</v>
      </c>
      <c r="K67" s="13">
        <v>478.48</v>
      </c>
      <c r="L67" s="13">
        <v>94.063000000000002</v>
      </c>
      <c r="M67" s="13">
        <v>-552.87199999999996</v>
      </c>
      <c r="N67" s="13">
        <v>1119.607</v>
      </c>
      <c r="O67" s="13">
        <v>-678.99599999999998</v>
      </c>
    </row>
    <row r="68" spans="1:15" x14ac:dyDescent="0.25">
      <c r="A68" s="10" t="s">
        <v>1200</v>
      </c>
      <c r="B68" s="10" t="s">
        <v>1201</v>
      </c>
      <c r="C68" s="13" t="s">
        <v>198</v>
      </c>
      <c r="D68" s="13" t="s">
        <v>198</v>
      </c>
      <c r="E68" s="13" t="s">
        <v>198</v>
      </c>
      <c r="F68" s="13">
        <v>-2171.9389999999999</v>
      </c>
      <c r="G68" s="13" t="s">
        <v>198</v>
      </c>
      <c r="H68" s="13" t="s">
        <v>198</v>
      </c>
      <c r="I68" s="13">
        <v>-20.966999999999999</v>
      </c>
      <c r="J68" s="13" t="s">
        <v>198</v>
      </c>
      <c r="K68" s="13" t="s">
        <v>198</v>
      </c>
      <c r="L68" s="13" t="s">
        <v>198</v>
      </c>
      <c r="M68" s="13" t="s">
        <v>198</v>
      </c>
      <c r="N68" s="13">
        <v>-76.088999999999999</v>
      </c>
      <c r="O68" s="13">
        <v>0</v>
      </c>
    </row>
    <row r="69" spans="1:15" x14ac:dyDescent="0.25">
      <c r="A69" s="10" t="s">
        <v>1202</v>
      </c>
      <c r="B69" s="10" t="s">
        <v>1203</v>
      </c>
      <c r="C69" s="13">
        <v>-384.04300000000001</v>
      </c>
      <c r="D69" s="13">
        <v>1786.2729999999999</v>
      </c>
      <c r="E69" s="13">
        <v>-97.23</v>
      </c>
      <c r="F69" s="13">
        <v>988.755</v>
      </c>
      <c r="G69" s="13">
        <v>14336.482</v>
      </c>
      <c r="H69" s="13">
        <v>-7967.96</v>
      </c>
      <c r="I69" s="13">
        <v>-2399.7620000000002</v>
      </c>
      <c r="J69" s="13">
        <v>-2642.337</v>
      </c>
      <c r="K69" s="13">
        <v>4666.4849999999997</v>
      </c>
      <c r="L69" s="13">
        <v>-8364.5069999999996</v>
      </c>
      <c r="M69" s="13">
        <v>2398.703</v>
      </c>
      <c r="N69" s="13">
        <v>3198.232</v>
      </c>
      <c r="O69" s="13">
        <v>428.36099999999999</v>
      </c>
    </row>
    <row r="70" spans="1:15" x14ac:dyDescent="0.25">
      <c r="A70" s="10" t="s">
        <v>1204</v>
      </c>
      <c r="B70" s="10" t="s">
        <v>1205</v>
      </c>
      <c r="C70" s="13" t="s">
        <v>198</v>
      </c>
      <c r="D70" s="13" t="s">
        <v>198</v>
      </c>
      <c r="E70" s="13" t="s">
        <v>198</v>
      </c>
      <c r="F70" s="13" t="s">
        <v>198</v>
      </c>
      <c r="G70" s="13" t="s">
        <v>198</v>
      </c>
      <c r="H70" s="13" t="s">
        <v>198</v>
      </c>
      <c r="I70" s="13">
        <v>155.27799999999999</v>
      </c>
      <c r="J70" s="13">
        <v>114.98</v>
      </c>
      <c r="K70" s="13" t="s">
        <v>198</v>
      </c>
      <c r="L70" s="13" t="s">
        <v>198</v>
      </c>
      <c r="M70" s="13" t="s">
        <v>198</v>
      </c>
      <c r="N70" s="13" t="s">
        <v>198</v>
      </c>
      <c r="O70" s="13" t="s">
        <v>198</v>
      </c>
    </row>
    <row r="71" spans="1:15" x14ac:dyDescent="0.25">
      <c r="A71" s="10" t="s">
        <v>1206</v>
      </c>
      <c r="B71" s="10" t="s">
        <v>1207</v>
      </c>
      <c r="C71" s="13" t="s">
        <v>198</v>
      </c>
      <c r="D71" s="13">
        <v>-152.261</v>
      </c>
      <c r="E71" s="13" t="s">
        <v>198</v>
      </c>
      <c r="F71" s="13">
        <v>0</v>
      </c>
      <c r="G71" s="13">
        <v>-1947.711</v>
      </c>
      <c r="H71" s="13">
        <v>-230.702</v>
      </c>
      <c r="I71" s="13" t="s">
        <v>198</v>
      </c>
      <c r="J71" s="13" t="s">
        <v>198</v>
      </c>
      <c r="K71" s="13" t="s">
        <v>198</v>
      </c>
      <c r="L71" s="13" t="s">
        <v>198</v>
      </c>
      <c r="M71" s="13" t="s">
        <v>198</v>
      </c>
      <c r="N71" s="13" t="s">
        <v>198</v>
      </c>
      <c r="O71" s="13" t="s">
        <v>198</v>
      </c>
    </row>
    <row r="72" spans="1:15" x14ac:dyDescent="0.25">
      <c r="A72" s="10" t="s">
        <v>1208</v>
      </c>
      <c r="B72" s="10" t="s">
        <v>1209</v>
      </c>
      <c r="C72" s="13">
        <v>2371.5880000000002</v>
      </c>
      <c r="D72" s="13">
        <v>4157.8609999999999</v>
      </c>
      <c r="E72" s="13">
        <v>4139.3819999999996</v>
      </c>
      <c r="F72" s="13">
        <v>5128.1369999999997</v>
      </c>
      <c r="G72" s="13">
        <v>19995.891</v>
      </c>
      <c r="H72" s="13">
        <v>12027.931</v>
      </c>
      <c r="I72" s="13">
        <v>9628.1689999999999</v>
      </c>
      <c r="J72" s="13">
        <v>7646.3180000000002</v>
      </c>
      <c r="K72" s="13">
        <v>12791.282999999999</v>
      </c>
      <c r="L72" s="13">
        <v>4520.8389999999999</v>
      </c>
      <c r="M72" s="13">
        <v>6366.67</v>
      </c>
      <c r="N72" s="13">
        <v>10684.509</v>
      </c>
      <c r="O72" s="13">
        <v>11112.87</v>
      </c>
    </row>
    <row r="73" spans="1:15" x14ac:dyDescent="0.25">
      <c r="A73" s="10" t="s">
        <v>1210</v>
      </c>
      <c r="B73" s="10" t="s">
        <v>1211</v>
      </c>
      <c r="C73" s="13">
        <v>2755.6309999999999</v>
      </c>
      <c r="D73" s="13">
        <v>2371.5880000000002</v>
      </c>
      <c r="E73" s="13">
        <v>4157.8609999999999</v>
      </c>
      <c r="F73" s="13">
        <v>4139.3819999999996</v>
      </c>
      <c r="G73" s="13">
        <v>5128.1369999999997</v>
      </c>
      <c r="H73" s="13">
        <v>19995.891</v>
      </c>
      <c r="I73" s="13">
        <v>12027.931</v>
      </c>
      <c r="J73" s="13">
        <v>9628.1689999999999</v>
      </c>
      <c r="K73" s="13">
        <v>7646.3180000000002</v>
      </c>
      <c r="L73" s="13">
        <v>12791.282999999999</v>
      </c>
      <c r="M73" s="13">
        <v>4520.8389999999999</v>
      </c>
      <c r="N73" s="13">
        <v>6366.67</v>
      </c>
      <c r="O73" s="13">
        <v>10684.509</v>
      </c>
    </row>
    <row r="74" spans="1:15" x14ac:dyDescent="0.25">
      <c r="A74" s="10" t="s">
        <v>1212</v>
      </c>
      <c r="B74" s="10" t="s">
        <v>1213</v>
      </c>
      <c r="C74" s="13">
        <v>-6500</v>
      </c>
      <c r="D74" s="13">
        <v>-444.91699999999997</v>
      </c>
      <c r="E74" s="13">
        <v>-1036.8889999999999</v>
      </c>
      <c r="F74" s="13" t="s">
        <v>198</v>
      </c>
      <c r="G74" s="13" t="s">
        <v>198</v>
      </c>
      <c r="H74" s="13" t="s">
        <v>198</v>
      </c>
      <c r="I74" s="13" t="s">
        <v>198</v>
      </c>
      <c r="J74" s="13" t="s">
        <v>198</v>
      </c>
      <c r="K74" s="13">
        <v>-3091.125</v>
      </c>
      <c r="L74" s="13">
        <v>0</v>
      </c>
      <c r="M74" s="13">
        <v>-8614.5249999999996</v>
      </c>
      <c r="N74" s="13">
        <v>-2295.9499999999998</v>
      </c>
      <c r="O74" s="13">
        <v>-4824.79</v>
      </c>
    </row>
    <row r="75" spans="1:15" x14ac:dyDescent="0.25">
      <c r="A75" s="10" t="s">
        <v>1214</v>
      </c>
      <c r="B75" s="10" t="s">
        <v>1215</v>
      </c>
      <c r="C75" s="13">
        <v>7385.2079999999996</v>
      </c>
      <c r="D75" s="13">
        <v>399.94200000000001</v>
      </c>
      <c r="E75" s="13">
        <v>7631.2</v>
      </c>
      <c r="F75" s="13" t="s">
        <v>198</v>
      </c>
      <c r="G75" s="13" t="s">
        <v>198</v>
      </c>
      <c r="H75" s="13" t="s">
        <v>198</v>
      </c>
      <c r="I75" s="13" t="s">
        <v>198</v>
      </c>
      <c r="J75" s="13" t="s">
        <v>198</v>
      </c>
      <c r="K75" s="13">
        <v>11474.022999999999</v>
      </c>
      <c r="L75" s="13">
        <v>0</v>
      </c>
      <c r="M75" s="13">
        <v>17381.255000000001</v>
      </c>
      <c r="N75" s="13">
        <v>0</v>
      </c>
      <c r="O75" s="13" t="s">
        <v>198</v>
      </c>
    </row>
    <row r="76" spans="1:15" x14ac:dyDescent="0.25">
      <c r="A76" s="10" t="s">
        <v>1216</v>
      </c>
      <c r="B76" s="10" t="s">
        <v>1217</v>
      </c>
      <c r="C76" s="13">
        <v>-40.436999999999998</v>
      </c>
      <c r="D76" s="13">
        <v>-29.652000000000001</v>
      </c>
      <c r="E76" s="13">
        <v>-90.751000000000005</v>
      </c>
      <c r="F76" s="13">
        <v>-361.72899999999998</v>
      </c>
      <c r="G76" s="13">
        <v>-380.38200000000001</v>
      </c>
      <c r="H76" s="13">
        <v>-431.68700000000001</v>
      </c>
      <c r="I76" s="13">
        <v>-530.46900000000005</v>
      </c>
      <c r="J76" s="13">
        <v>-416.68599999999998</v>
      </c>
      <c r="K76" s="13">
        <v>-263.24299999999999</v>
      </c>
      <c r="L76" s="13">
        <v>-515.44000000000005</v>
      </c>
      <c r="M76" s="13">
        <v>-743.19899999999996</v>
      </c>
      <c r="N76" s="13">
        <v>-1041.2829999999999</v>
      </c>
      <c r="O76" s="13">
        <v>-958.26199999999994</v>
      </c>
    </row>
    <row r="77" spans="1:15" x14ac:dyDescent="0.25">
      <c r="A77" s="6" t="s">
        <v>1218</v>
      </c>
      <c r="B77" s="6" t="s">
        <v>1219</v>
      </c>
      <c r="C77" s="19">
        <v>-1411.01</v>
      </c>
      <c r="D77" s="19">
        <v>-435.721</v>
      </c>
      <c r="E77" s="19">
        <v>4446.4679999999998</v>
      </c>
      <c r="F77" s="19">
        <v>-1327.1769999999999</v>
      </c>
      <c r="G77" s="19">
        <v>13069.484</v>
      </c>
      <c r="H77" s="19">
        <v>-2481.5100000000002</v>
      </c>
      <c r="I77" s="19">
        <v>-2609.424</v>
      </c>
      <c r="J77" s="19">
        <v>-1318.393</v>
      </c>
      <c r="K77" s="19">
        <v>5984.5290000000005</v>
      </c>
      <c r="L77" s="19">
        <v>-2831.9490000000001</v>
      </c>
      <c r="M77" s="19">
        <v>5176.9430000000002</v>
      </c>
      <c r="N77" s="19">
        <v>-5911.2389999999996</v>
      </c>
      <c r="O77" s="19">
        <v>-8090.5659999999998</v>
      </c>
    </row>
    <row r="78" spans="1:15" x14ac:dyDescent="0.25">
      <c r="A78" s="7" t="s">
        <v>65</v>
      </c>
      <c r="B78" s="7"/>
      <c r="C78" s="7" t="s">
        <v>4</v>
      </c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26"/>
  <sheetViews>
    <sheetView workbookViewId="0">
      <selection activeCell="I14" sqref="I14"/>
    </sheetView>
  </sheetViews>
  <sheetFormatPr baseColWidth="10" defaultRowHeight="15" x14ac:dyDescent="0.25"/>
  <cols>
    <col min="1" max="1" width="35.140625" customWidth="1"/>
    <col min="2" max="2" width="0" hidden="1" customWidth="1"/>
    <col min="3" max="15" width="11.85546875" customWidth="1"/>
  </cols>
  <sheetData>
    <row r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.25" x14ac:dyDescent="0.25">
      <c r="A2" s="8" t="s">
        <v>1220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3" t="s">
        <v>67</v>
      </c>
      <c r="B4" s="3"/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</row>
    <row r="5" spans="1:15" x14ac:dyDescent="0.25">
      <c r="A5" s="9" t="s">
        <v>21</v>
      </c>
      <c r="B5" s="9"/>
      <c r="C5" s="5" t="s">
        <v>22</v>
      </c>
      <c r="D5" s="5" t="s">
        <v>23</v>
      </c>
      <c r="E5" s="5" t="s">
        <v>24</v>
      </c>
      <c r="F5" s="5" t="s">
        <v>25</v>
      </c>
      <c r="G5" s="5" t="s">
        <v>26</v>
      </c>
      <c r="H5" s="5" t="s">
        <v>27</v>
      </c>
      <c r="I5" s="5" t="s">
        <v>28</v>
      </c>
      <c r="J5" s="5" t="s">
        <v>29</v>
      </c>
      <c r="K5" s="5" t="s">
        <v>30</v>
      </c>
      <c r="L5" s="5" t="s">
        <v>31</v>
      </c>
      <c r="M5" s="5" t="s">
        <v>32</v>
      </c>
      <c r="N5" s="5" t="s">
        <v>33</v>
      </c>
      <c r="O5" s="5" t="s">
        <v>34</v>
      </c>
    </row>
    <row r="6" spans="1:15" x14ac:dyDescent="0.25">
      <c r="A6" s="6" t="s">
        <v>1221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</row>
    <row r="7" spans="1:15" x14ac:dyDescent="0.25">
      <c r="A7" s="10" t="s">
        <v>1222</v>
      </c>
      <c r="B7" s="10" t="s">
        <v>1223</v>
      </c>
      <c r="C7" s="14" t="s">
        <v>198</v>
      </c>
      <c r="D7" s="14">
        <v>48.349200000000003</v>
      </c>
      <c r="E7" s="14">
        <v>54.103400000000001</v>
      </c>
      <c r="F7" s="14">
        <v>15.4977</v>
      </c>
      <c r="G7" s="14">
        <v>13.856999999999999</v>
      </c>
      <c r="H7" s="14">
        <v>8.4969999999999999</v>
      </c>
      <c r="I7" s="14">
        <v>7.7073</v>
      </c>
      <c r="J7" s="14">
        <v>9.9742999999999995</v>
      </c>
      <c r="K7" s="14">
        <v>8.8831000000000007</v>
      </c>
      <c r="L7" s="14">
        <v>10.0403</v>
      </c>
      <c r="M7" s="14">
        <v>8.1439000000000004</v>
      </c>
      <c r="N7" s="14">
        <v>6.3589000000000002</v>
      </c>
      <c r="O7" s="14">
        <v>12.6274</v>
      </c>
    </row>
    <row r="8" spans="1:15" x14ac:dyDescent="0.25">
      <c r="A8" s="10" t="s">
        <v>1224</v>
      </c>
      <c r="B8" s="10" t="s">
        <v>1225</v>
      </c>
      <c r="C8" s="14" t="s">
        <v>198</v>
      </c>
      <c r="D8" s="14">
        <v>11.477499999999999</v>
      </c>
      <c r="E8" s="14">
        <v>16.756399999999999</v>
      </c>
      <c r="F8" s="14">
        <v>7.4657999999999998</v>
      </c>
      <c r="G8" s="14">
        <v>9.3892000000000007</v>
      </c>
      <c r="H8" s="14">
        <v>6.1147999999999998</v>
      </c>
      <c r="I8" s="14">
        <v>5.4017999999999997</v>
      </c>
      <c r="J8" s="14">
        <v>6.7573999999999996</v>
      </c>
      <c r="K8" s="14">
        <v>5.6680999999999999</v>
      </c>
      <c r="L8" s="14">
        <v>6.056</v>
      </c>
      <c r="M8" s="14">
        <v>4.7853000000000003</v>
      </c>
      <c r="N8" s="14">
        <v>3.7332999999999998</v>
      </c>
      <c r="O8" s="14">
        <v>7.9153000000000002</v>
      </c>
    </row>
    <row r="9" spans="1:15" x14ac:dyDescent="0.25">
      <c r="A9" s="10" t="s">
        <v>1226</v>
      </c>
      <c r="B9" s="10" t="s">
        <v>1227</v>
      </c>
      <c r="C9" s="14" t="s">
        <v>198</v>
      </c>
      <c r="D9" s="14">
        <v>41.027299999999997</v>
      </c>
      <c r="E9" s="14">
        <v>36.976399999999998</v>
      </c>
      <c r="F9" s="14">
        <v>11.4803</v>
      </c>
      <c r="G9" s="14">
        <v>11.8184</v>
      </c>
      <c r="H9" s="14">
        <v>7.6367000000000003</v>
      </c>
      <c r="I9" s="14">
        <v>6.9604999999999997</v>
      </c>
      <c r="J9" s="14">
        <v>8.7382000000000009</v>
      </c>
      <c r="K9" s="14">
        <v>7.5502000000000002</v>
      </c>
      <c r="L9" s="14">
        <v>8.1747999999999994</v>
      </c>
      <c r="M9" s="14">
        <v>7.1760000000000002</v>
      </c>
      <c r="N9" s="14">
        <v>5.7976000000000001</v>
      </c>
      <c r="O9" s="14">
        <v>10.15</v>
      </c>
    </row>
    <row r="10" spans="1:15" x14ac:dyDescent="0.25">
      <c r="A10" s="10" t="s">
        <v>1228</v>
      </c>
      <c r="B10" s="10" t="s">
        <v>1229</v>
      </c>
      <c r="C10" s="14" t="s">
        <v>198</v>
      </c>
      <c r="D10" s="14">
        <v>28.520900000000001</v>
      </c>
      <c r="E10" s="14">
        <v>18.1815</v>
      </c>
      <c r="F10" s="14">
        <v>11.6112</v>
      </c>
      <c r="G10" s="14">
        <v>11.631500000000001</v>
      </c>
      <c r="H10" s="14">
        <v>7.1089000000000002</v>
      </c>
      <c r="I10" s="14">
        <v>6.1685999999999996</v>
      </c>
      <c r="J10" s="14">
        <v>7.4795999999999996</v>
      </c>
      <c r="K10" s="14">
        <v>6.5575000000000001</v>
      </c>
      <c r="L10" s="14">
        <v>7.5842999999999998</v>
      </c>
      <c r="M10" s="14">
        <v>5.8402000000000003</v>
      </c>
      <c r="N10" s="14">
        <v>6.4911000000000003</v>
      </c>
      <c r="O10" s="14">
        <v>7.2847</v>
      </c>
    </row>
    <row r="11" spans="1:15" x14ac:dyDescent="0.25">
      <c r="A11" s="10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spans="1:15" x14ac:dyDescent="0.25">
      <c r="A12" s="6" t="s">
        <v>1230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</row>
    <row r="13" spans="1:15" x14ac:dyDescent="0.25">
      <c r="A13" s="10" t="s">
        <v>290</v>
      </c>
      <c r="B13" s="10" t="s">
        <v>291</v>
      </c>
      <c r="C13" s="14">
        <v>56.890900000000002</v>
      </c>
      <c r="D13" s="14">
        <v>59.272300000000001</v>
      </c>
      <c r="E13" s="14">
        <v>60.896799999999999</v>
      </c>
      <c r="F13" s="14">
        <v>59.273200000000003</v>
      </c>
      <c r="G13" s="14">
        <v>62.1053</v>
      </c>
      <c r="H13" s="14">
        <v>57.472799999999999</v>
      </c>
      <c r="I13" s="14">
        <v>52.7378</v>
      </c>
      <c r="J13" s="14">
        <v>52.0777</v>
      </c>
      <c r="K13" s="14">
        <v>53.968800000000002</v>
      </c>
      <c r="L13" s="14">
        <v>54.86</v>
      </c>
      <c r="M13" s="14">
        <v>50.682699999999997</v>
      </c>
      <c r="N13" s="14">
        <v>53.481999999999999</v>
      </c>
      <c r="O13" s="14">
        <v>55.963200000000001</v>
      </c>
    </row>
    <row r="14" spans="1:15" x14ac:dyDescent="0.25">
      <c r="A14" s="10" t="s">
        <v>486</v>
      </c>
      <c r="B14" s="10" t="s">
        <v>1231</v>
      </c>
      <c r="C14" s="14">
        <v>21.770900000000001</v>
      </c>
      <c r="D14" s="14">
        <v>23.8965</v>
      </c>
      <c r="E14" s="14">
        <v>26.357399999999998</v>
      </c>
      <c r="F14" s="14">
        <v>24.902999999999999</v>
      </c>
      <c r="G14" s="14">
        <v>27.623799999999999</v>
      </c>
      <c r="H14" s="14">
        <v>21.569700000000001</v>
      </c>
      <c r="I14" s="14">
        <v>20.520499999999998</v>
      </c>
      <c r="J14" s="14">
        <v>21.7121</v>
      </c>
      <c r="K14" s="14">
        <v>20.137699999999999</v>
      </c>
      <c r="L14" s="14">
        <v>21.524899999999999</v>
      </c>
      <c r="M14" s="14">
        <v>16.485600000000002</v>
      </c>
      <c r="N14" s="14">
        <v>20.248999999999999</v>
      </c>
      <c r="O14" s="14">
        <v>25.561199999999999</v>
      </c>
    </row>
    <row r="15" spans="1:15" x14ac:dyDescent="0.25">
      <c r="A15" s="10" t="s">
        <v>292</v>
      </c>
      <c r="B15" s="10" t="s">
        <v>293</v>
      </c>
      <c r="C15" s="14">
        <v>20.252400000000002</v>
      </c>
      <c r="D15" s="14">
        <v>22.0425</v>
      </c>
      <c r="E15" s="14">
        <v>25.008099999999999</v>
      </c>
      <c r="F15" s="14">
        <v>23.052399999999999</v>
      </c>
      <c r="G15" s="14">
        <v>25.948</v>
      </c>
      <c r="H15" s="14">
        <v>19.684999999999999</v>
      </c>
      <c r="I15" s="14">
        <v>18.213000000000001</v>
      </c>
      <c r="J15" s="14">
        <v>19.672899999999998</v>
      </c>
      <c r="K15" s="14">
        <v>18.065200000000001</v>
      </c>
      <c r="L15" s="14">
        <v>19.440000000000001</v>
      </c>
      <c r="M15" s="14">
        <v>14.0647</v>
      </c>
      <c r="N15" s="14">
        <v>17.662400000000002</v>
      </c>
      <c r="O15" s="14">
        <v>22.429200000000002</v>
      </c>
    </row>
    <row r="16" spans="1:15" x14ac:dyDescent="0.25">
      <c r="A16" s="10" t="s">
        <v>1232</v>
      </c>
      <c r="B16" s="10" t="s">
        <v>1233</v>
      </c>
      <c r="C16" s="14" t="s">
        <v>198</v>
      </c>
      <c r="D16" s="14">
        <v>29.363399999999999</v>
      </c>
      <c r="E16" s="14">
        <v>39.375100000000003</v>
      </c>
      <c r="F16" s="14">
        <v>16.950399999999998</v>
      </c>
      <c r="G16" s="14">
        <v>71.180599999999998</v>
      </c>
      <c r="H16" s="14" t="s">
        <v>198</v>
      </c>
      <c r="I16" s="14" t="s">
        <v>198</v>
      </c>
      <c r="J16" s="14">
        <v>27.806699999999999</v>
      </c>
      <c r="K16" s="14">
        <v>5.2149999999999999</v>
      </c>
      <c r="L16" s="14">
        <v>28.028700000000001</v>
      </c>
      <c r="M16" s="14">
        <v>-192.85149999999999</v>
      </c>
      <c r="N16" s="14" t="s">
        <v>198</v>
      </c>
      <c r="O16" s="14" t="s">
        <v>198</v>
      </c>
    </row>
    <row r="17" spans="1:15" x14ac:dyDescent="0.25">
      <c r="A17" s="10" t="s">
        <v>1234</v>
      </c>
      <c r="B17" s="10" t="s">
        <v>1235</v>
      </c>
      <c r="C17" s="14">
        <v>20.7437</v>
      </c>
      <c r="D17" s="14">
        <v>24.759899999999998</v>
      </c>
      <c r="E17" s="14">
        <v>41.238399999999999</v>
      </c>
      <c r="F17" s="14">
        <v>19.216899999999999</v>
      </c>
      <c r="G17" s="14">
        <v>22.9419</v>
      </c>
      <c r="H17" s="14">
        <v>18.277000000000001</v>
      </c>
      <c r="I17" s="14">
        <v>17.328399999999998</v>
      </c>
      <c r="J17" s="14">
        <v>19.563199999999998</v>
      </c>
      <c r="K17" s="14">
        <v>17.523399999999999</v>
      </c>
      <c r="L17" s="14">
        <v>17.9998</v>
      </c>
      <c r="M17" s="14">
        <v>13.950900000000001</v>
      </c>
      <c r="N17" s="14">
        <v>11.8813</v>
      </c>
      <c r="O17" s="14">
        <v>27.523599999999998</v>
      </c>
    </row>
    <row r="18" spans="1:15" x14ac:dyDescent="0.25">
      <c r="A18" s="10" t="s">
        <v>1236</v>
      </c>
      <c r="B18" s="10" t="s">
        <v>1237</v>
      </c>
      <c r="C18" s="14">
        <v>12.6548</v>
      </c>
      <c r="D18" s="14">
        <v>17.2286</v>
      </c>
      <c r="E18" s="14">
        <v>28.7334</v>
      </c>
      <c r="F18" s="14">
        <v>12.9026</v>
      </c>
      <c r="G18" s="14">
        <v>20.0227</v>
      </c>
      <c r="H18" s="14">
        <v>14.3226</v>
      </c>
      <c r="I18" s="14">
        <v>12.516</v>
      </c>
      <c r="J18" s="14">
        <v>14.7049</v>
      </c>
      <c r="K18" s="14">
        <v>12.77</v>
      </c>
      <c r="L18" s="14">
        <v>12.860300000000001</v>
      </c>
      <c r="M18" s="14">
        <v>10.6724</v>
      </c>
      <c r="N18" s="14">
        <v>9.0134000000000007</v>
      </c>
      <c r="O18" s="14">
        <v>20.084700000000002</v>
      </c>
    </row>
    <row r="19" spans="1:15" x14ac:dyDescent="0.25">
      <c r="A19" s="10" t="s">
        <v>1238</v>
      </c>
      <c r="B19" s="10" t="s">
        <v>295</v>
      </c>
      <c r="C19" s="14">
        <v>12.610799999999999</v>
      </c>
      <c r="D19" s="14">
        <v>17.2117</v>
      </c>
      <c r="E19" s="14">
        <v>28.7334</v>
      </c>
      <c r="F19" s="14">
        <v>12.9026</v>
      </c>
      <c r="G19" s="14">
        <v>20.0062</v>
      </c>
      <c r="H19" s="14">
        <v>14.293799999999999</v>
      </c>
      <c r="I19" s="14">
        <v>12.4964</v>
      </c>
      <c r="J19" s="14">
        <v>14.6877</v>
      </c>
      <c r="K19" s="14">
        <v>12.7342</v>
      </c>
      <c r="L19" s="14">
        <v>12.8064</v>
      </c>
      <c r="M19" s="14">
        <v>10.6319</v>
      </c>
      <c r="N19" s="14">
        <v>8.9845000000000006</v>
      </c>
      <c r="O19" s="14">
        <v>20.0671</v>
      </c>
    </row>
    <row r="20" spans="1:15" x14ac:dyDescent="0.25">
      <c r="A20" s="10" t="s">
        <v>1239</v>
      </c>
      <c r="B20" s="10" t="s">
        <v>1240</v>
      </c>
      <c r="C20" s="14">
        <v>12.610799999999999</v>
      </c>
      <c r="D20" s="14">
        <v>17.2117</v>
      </c>
      <c r="E20" s="14">
        <v>28.7334</v>
      </c>
      <c r="F20" s="14">
        <v>12.9026</v>
      </c>
      <c r="G20" s="14">
        <v>20.0062</v>
      </c>
      <c r="H20" s="14">
        <v>14.293799999999999</v>
      </c>
      <c r="I20" s="14">
        <v>12.4964</v>
      </c>
      <c r="J20" s="14">
        <v>14.6877</v>
      </c>
      <c r="K20" s="14">
        <v>12.7342</v>
      </c>
      <c r="L20" s="14">
        <v>12.8064</v>
      </c>
      <c r="M20" s="14">
        <v>10.6319</v>
      </c>
      <c r="N20" s="14">
        <v>8.9845000000000006</v>
      </c>
      <c r="O20" s="14">
        <v>20.0671</v>
      </c>
    </row>
    <row r="21" spans="1:15" x14ac:dyDescent="0.25">
      <c r="A21" s="10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spans="1:15" x14ac:dyDescent="0.25">
      <c r="A22" s="6" t="s">
        <v>1241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</row>
    <row r="23" spans="1:15" x14ac:dyDescent="0.25">
      <c r="A23" s="10" t="s">
        <v>1242</v>
      </c>
      <c r="B23" s="10" t="s">
        <v>1243</v>
      </c>
      <c r="C23" s="14">
        <v>38.994700000000002</v>
      </c>
      <c r="D23" s="14">
        <v>30.417300000000001</v>
      </c>
      <c r="E23" s="14">
        <v>30.323599999999999</v>
      </c>
      <c r="F23" s="14">
        <v>32.857999999999997</v>
      </c>
      <c r="G23" s="14">
        <v>12.7241</v>
      </c>
      <c r="H23" s="14">
        <v>21.6357</v>
      </c>
      <c r="I23" s="14">
        <v>27.771799999999999</v>
      </c>
      <c r="J23" s="14">
        <v>24.8338</v>
      </c>
      <c r="K23" s="14">
        <v>27.125800000000002</v>
      </c>
      <c r="L23" s="14">
        <v>28.553000000000001</v>
      </c>
      <c r="M23" s="14">
        <v>23.5</v>
      </c>
      <c r="N23" s="14">
        <v>24.137899999999998</v>
      </c>
      <c r="O23" s="14">
        <v>27.0275</v>
      </c>
    </row>
    <row r="24" spans="1:15" x14ac:dyDescent="0.25">
      <c r="A24" s="10" t="s">
        <v>1244</v>
      </c>
      <c r="B24" s="10" t="s">
        <v>1245</v>
      </c>
      <c r="C24" s="14">
        <v>0</v>
      </c>
      <c r="D24" s="14">
        <v>0</v>
      </c>
      <c r="E24" s="14">
        <v>0</v>
      </c>
      <c r="F24" s="14">
        <v>0</v>
      </c>
      <c r="G24" s="14">
        <v>28.936699999999998</v>
      </c>
      <c r="H24" s="14">
        <v>45.221699999999998</v>
      </c>
      <c r="I24" s="14">
        <v>29.781700000000001</v>
      </c>
      <c r="J24" s="14">
        <v>30.035</v>
      </c>
      <c r="K24" s="14">
        <v>30.0838</v>
      </c>
      <c r="L24" s="14">
        <v>30.126100000000001</v>
      </c>
      <c r="M24" s="14">
        <v>30.114000000000001</v>
      </c>
      <c r="N24" s="14">
        <v>36.115200000000002</v>
      </c>
      <c r="O24" s="14" t="s">
        <v>198</v>
      </c>
    </row>
    <row r="25" spans="1:15" x14ac:dyDescent="0.25">
      <c r="A25" s="10" t="s">
        <v>1246</v>
      </c>
      <c r="B25" s="10" t="s">
        <v>1247</v>
      </c>
      <c r="C25" s="14" t="s">
        <v>198</v>
      </c>
      <c r="D25" s="14">
        <v>48.349200000000003</v>
      </c>
      <c r="E25" s="14">
        <v>54.103400000000001</v>
      </c>
      <c r="F25" s="14">
        <v>15.4977</v>
      </c>
      <c r="G25" s="14">
        <v>9.8473000000000006</v>
      </c>
      <c r="H25" s="14">
        <v>4.6544999999999996</v>
      </c>
      <c r="I25" s="14">
        <v>5.4119999999999999</v>
      </c>
      <c r="J25" s="14">
        <v>6.9785000000000004</v>
      </c>
      <c r="K25" s="14">
        <v>6.2107999999999999</v>
      </c>
      <c r="L25" s="14">
        <v>7.0155000000000003</v>
      </c>
      <c r="M25" s="14">
        <v>5.6914999999999996</v>
      </c>
      <c r="N25" s="14">
        <v>4.0624000000000002</v>
      </c>
      <c r="O25" s="14" t="s">
        <v>198</v>
      </c>
    </row>
    <row r="26" spans="1:15" x14ac:dyDescent="0.25">
      <c r="A26" s="7" t="s">
        <v>65</v>
      </c>
      <c r="B26" s="7"/>
      <c r="C26" s="7" t="s">
        <v>4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71"/>
  <sheetViews>
    <sheetView workbookViewId="0">
      <selection activeCell="H16" sqref="H16"/>
    </sheetView>
  </sheetViews>
  <sheetFormatPr baseColWidth="10" defaultRowHeight="15" x14ac:dyDescent="0.25"/>
  <cols>
    <col min="1" max="1" width="35.140625" customWidth="1"/>
    <col min="2" max="2" width="0" hidden="1" customWidth="1"/>
    <col min="3" max="3" width="11.85546875" customWidth="1"/>
    <col min="4" max="4" width="7" customWidth="1"/>
    <col min="5" max="5" width="11.85546875" customWidth="1"/>
    <col min="6" max="6" width="7" customWidth="1"/>
    <col min="7" max="7" width="11.85546875" customWidth="1"/>
    <col min="8" max="8" width="7" customWidth="1"/>
    <col min="9" max="9" width="11.85546875" customWidth="1"/>
    <col min="10" max="10" width="7" customWidth="1"/>
    <col min="11" max="11" width="11.85546875" customWidth="1"/>
    <col min="12" max="12" width="7" customWidth="1"/>
    <col min="13" max="13" width="11.85546875" customWidth="1"/>
    <col min="14" max="14" width="7" customWidth="1"/>
    <col min="15" max="15" width="11.85546875" customWidth="1"/>
    <col min="16" max="16" width="7" customWidth="1"/>
    <col min="17" max="17" width="11.85546875" customWidth="1"/>
    <col min="18" max="18" width="7" customWidth="1"/>
    <col min="19" max="19" width="11.85546875" customWidth="1"/>
    <col min="20" max="20" width="7" customWidth="1"/>
    <col min="21" max="21" width="11.85546875" customWidth="1"/>
    <col min="22" max="22" width="7" customWidth="1"/>
    <col min="23" max="23" width="11.85546875" customWidth="1"/>
    <col min="24" max="24" width="7" customWidth="1"/>
    <col min="25" max="25" width="11.85546875" customWidth="1"/>
    <col min="26" max="26" width="7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x14ac:dyDescent="0.25">
      <c r="A2" s="8" t="s">
        <v>1248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67</v>
      </c>
      <c r="B4" s="3"/>
      <c r="C4" s="30" t="s">
        <v>8</v>
      </c>
      <c r="D4" s="30"/>
      <c r="E4" s="30" t="s">
        <v>9</v>
      </c>
      <c r="F4" s="30"/>
      <c r="G4" s="30" t="s">
        <v>10</v>
      </c>
      <c r="H4" s="30"/>
      <c r="I4" s="30" t="s">
        <v>11</v>
      </c>
      <c r="J4" s="30"/>
      <c r="K4" s="30" t="s">
        <v>12</v>
      </c>
      <c r="L4" s="30"/>
      <c r="M4" s="30" t="s">
        <v>13</v>
      </c>
      <c r="N4" s="30"/>
      <c r="O4" s="30" t="s">
        <v>14</v>
      </c>
      <c r="P4" s="30"/>
      <c r="Q4" s="30" t="s">
        <v>15</v>
      </c>
      <c r="R4" s="30"/>
      <c r="S4" s="30" t="s">
        <v>16</v>
      </c>
      <c r="T4" s="30"/>
      <c r="U4" s="30" t="s">
        <v>17</v>
      </c>
      <c r="V4" s="30"/>
      <c r="W4" s="30" t="s">
        <v>18</v>
      </c>
      <c r="X4" s="30"/>
      <c r="Y4" s="30" t="s">
        <v>19</v>
      </c>
      <c r="Z4" s="30"/>
    </row>
    <row r="5" spans="1:26" x14ac:dyDescent="0.25">
      <c r="A5" s="9" t="s">
        <v>21</v>
      </c>
      <c r="B5" s="9"/>
      <c r="C5" s="31" t="s">
        <v>23</v>
      </c>
      <c r="D5" s="31"/>
      <c r="E5" s="31" t="s">
        <v>24</v>
      </c>
      <c r="F5" s="31"/>
      <c r="G5" s="31" t="s">
        <v>25</v>
      </c>
      <c r="H5" s="31"/>
      <c r="I5" s="31" t="s">
        <v>26</v>
      </c>
      <c r="J5" s="31"/>
      <c r="K5" s="31" t="s">
        <v>27</v>
      </c>
      <c r="L5" s="31"/>
      <c r="M5" s="31" t="s">
        <v>28</v>
      </c>
      <c r="N5" s="31"/>
      <c r="O5" s="31" t="s">
        <v>29</v>
      </c>
      <c r="P5" s="31"/>
      <c r="Q5" s="31" t="s">
        <v>30</v>
      </c>
      <c r="R5" s="31"/>
      <c r="S5" s="31" t="s">
        <v>31</v>
      </c>
      <c r="T5" s="31"/>
      <c r="U5" s="31" t="s">
        <v>32</v>
      </c>
      <c r="V5" s="31"/>
      <c r="W5" s="31" t="s">
        <v>33</v>
      </c>
      <c r="X5" s="31"/>
      <c r="Y5" s="31" t="s">
        <v>34</v>
      </c>
      <c r="Z5" s="31"/>
    </row>
    <row r="6" spans="1:26" x14ac:dyDescent="0.25">
      <c r="A6" s="6" t="s">
        <v>0</v>
      </c>
      <c r="B6" s="6"/>
      <c r="C6" s="36">
        <v>15313.798000000001</v>
      </c>
      <c r="D6" s="37">
        <v>1</v>
      </c>
      <c r="E6" s="36">
        <v>18474.841</v>
      </c>
      <c r="F6" s="37">
        <v>1</v>
      </c>
      <c r="G6" s="36">
        <v>24396.212</v>
      </c>
      <c r="H6" s="37">
        <v>1</v>
      </c>
      <c r="I6" s="36">
        <v>25957.94</v>
      </c>
      <c r="J6" s="37">
        <v>1</v>
      </c>
      <c r="K6" s="36">
        <v>28159</v>
      </c>
      <c r="L6" s="37">
        <v>1</v>
      </c>
      <c r="M6" s="36">
        <v>29704.780999999999</v>
      </c>
      <c r="N6" s="37">
        <v>1</v>
      </c>
      <c r="O6" s="36">
        <v>35113</v>
      </c>
      <c r="P6" s="37">
        <v>1</v>
      </c>
      <c r="Q6" s="36">
        <v>39421</v>
      </c>
      <c r="R6" s="37">
        <v>1</v>
      </c>
      <c r="S6" s="36">
        <v>45729</v>
      </c>
      <c r="T6" s="37">
        <v>1</v>
      </c>
      <c r="U6" s="36">
        <v>44354</v>
      </c>
      <c r="V6" s="37">
        <v>1</v>
      </c>
      <c r="W6" s="36">
        <v>43963</v>
      </c>
      <c r="X6" s="37">
        <v>1</v>
      </c>
      <c r="Y6" s="36">
        <v>43087.368999999999</v>
      </c>
      <c r="Z6" s="37">
        <v>1</v>
      </c>
    </row>
    <row r="7" spans="1:26" x14ac:dyDescent="0.25">
      <c r="A7" s="10" t="s">
        <v>1249</v>
      </c>
      <c r="B7" s="10"/>
      <c r="C7" s="32">
        <v>9492.5139999999992</v>
      </c>
      <c r="D7" s="33">
        <v>0.61986673717388696</v>
      </c>
      <c r="E7" s="32">
        <v>10724.941999999999</v>
      </c>
      <c r="F7" s="33">
        <v>0.58051606506383502</v>
      </c>
      <c r="G7" s="32">
        <v>13894.499</v>
      </c>
      <c r="H7" s="33">
        <v>0.56953509831772198</v>
      </c>
      <c r="I7" s="32">
        <v>15330.808999999999</v>
      </c>
      <c r="J7" s="33">
        <v>0.59060191217022595</v>
      </c>
      <c r="K7" s="32">
        <v>16165</v>
      </c>
      <c r="L7" s="33">
        <v>0.57406157889129605</v>
      </c>
      <c r="M7" s="32">
        <v>18160.132000000001</v>
      </c>
      <c r="N7" s="33">
        <v>0.611353842332653</v>
      </c>
      <c r="O7" s="32">
        <v>21901</v>
      </c>
      <c r="P7" s="33">
        <v>0.62372910318115804</v>
      </c>
      <c r="Q7" s="32">
        <v>25231</v>
      </c>
      <c r="R7" s="33">
        <v>0.64003957281651902</v>
      </c>
      <c r="S7" s="32">
        <v>31401</v>
      </c>
      <c r="T7" s="33">
        <v>0.68667585121039199</v>
      </c>
      <c r="U7" s="32">
        <v>31695</v>
      </c>
      <c r="V7" s="33">
        <v>0.71459169409748802</v>
      </c>
      <c r="W7" s="32">
        <v>31595</v>
      </c>
      <c r="X7" s="33">
        <v>0.71867252007369797</v>
      </c>
      <c r="Y7" s="32">
        <v>31220</v>
      </c>
      <c r="Z7" s="33">
        <v>0.72457429461520395</v>
      </c>
    </row>
    <row r="8" spans="1:26" x14ac:dyDescent="0.25">
      <c r="A8" s="10" t="s">
        <v>1250</v>
      </c>
      <c r="B8" s="10"/>
      <c r="C8" s="32">
        <v>1903.886</v>
      </c>
      <c r="D8" s="33">
        <v>0.12432487355520799</v>
      </c>
      <c r="E8" s="32">
        <v>1720.768</v>
      </c>
      <c r="F8" s="33">
        <v>9.3141153420481404E-2</v>
      </c>
      <c r="G8" s="32">
        <v>2134.643</v>
      </c>
      <c r="H8" s="33">
        <v>8.7498952706264399E-2</v>
      </c>
      <c r="I8" s="32">
        <v>2528.8580000000002</v>
      </c>
      <c r="J8" s="33">
        <v>9.7421367026813394E-2</v>
      </c>
      <c r="K8" s="32">
        <v>6573</v>
      </c>
      <c r="L8" s="33">
        <v>0.233424482403494</v>
      </c>
      <c r="M8" s="32">
        <v>3542.82</v>
      </c>
      <c r="N8" s="33">
        <v>0.119267669403117</v>
      </c>
      <c r="O8" s="32">
        <v>3686</v>
      </c>
      <c r="P8" s="33">
        <v>0.104975365249338</v>
      </c>
      <c r="Q8" s="32">
        <v>4910</v>
      </c>
      <c r="R8" s="33">
        <v>0.12455290327490399</v>
      </c>
      <c r="S8" s="32">
        <v>7242</v>
      </c>
      <c r="T8" s="33">
        <v>0.15836777537230201</v>
      </c>
      <c r="U8" s="32">
        <v>7270</v>
      </c>
      <c r="V8" s="33">
        <v>0.16390855390720099</v>
      </c>
      <c r="W8" s="32">
        <v>7237</v>
      </c>
      <c r="X8" s="33">
        <v>0.164615699565544</v>
      </c>
      <c r="Y8" s="32">
        <v>16407</v>
      </c>
      <c r="Z8" s="33">
        <v>0.38078444752567697</v>
      </c>
    </row>
    <row r="9" spans="1:26" x14ac:dyDescent="0.25">
      <c r="A9" s="10" t="s">
        <v>1251</v>
      </c>
      <c r="B9" s="10"/>
      <c r="C9" s="32">
        <v>5752.4629999999997</v>
      </c>
      <c r="D9" s="33">
        <v>0.37563921112189103</v>
      </c>
      <c r="E9" s="32">
        <v>6791.0969999999998</v>
      </c>
      <c r="F9" s="33">
        <v>0.36758622171633298</v>
      </c>
      <c r="G9" s="32">
        <v>8928.2549999999992</v>
      </c>
      <c r="H9" s="33">
        <v>0.36596890533661502</v>
      </c>
      <c r="I9" s="32">
        <v>9499.5840000000007</v>
      </c>
      <c r="J9" s="33">
        <v>0.365960627075954</v>
      </c>
      <c r="K9" s="32">
        <v>9592</v>
      </c>
      <c r="L9" s="33">
        <v>0.34063709648780099</v>
      </c>
      <c r="M9" s="32">
        <v>10696.714</v>
      </c>
      <c r="N9" s="33">
        <v>0.36010075280474202</v>
      </c>
      <c r="O9" s="32">
        <v>12771</v>
      </c>
      <c r="P9" s="33">
        <v>0.36371144590322702</v>
      </c>
      <c r="Q9" s="32">
        <v>13555</v>
      </c>
      <c r="R9" s="33">
        <v>0.34385226148499498</v>
      </c>
      <c r="S9" s="32">
        <v>16086</v>
      </c>
      <c r="T9" s="33">
        <v>0.35176802466705998</v>
      </c>
      <c r="U9" s="32">
        <v>15830</v>
      </c>
      <c r="V9" s="33">
        <v>0.35690129413356197</v>
      </c>
      <c r="W9" s="32">
        <v>15377</v>
      </c>
      <c r="X9" s="33">
        <v>0.34977139867615897</v>
      </c>
      <c r="Y9" s="32">
        <v>14813</v>
      </c>
      <c r="Z9" s="33">
        <v>0.34378984708952598</v>
      </c>
    </row>
    <row r="10" spans="1:26" x14ac:dyDescent="0.25">
      <c r="A10" s="10" t="s">
        <v>1252</v>
      </c>
      <c r="B10" s="10"/>
      <c r="C10" s="32">
        <v>1836.165</v>
      </c>
      <c r="D10" s="33">
        <v>0.119902652496788</v>
      </c>
      <c r="E10" s="32">
        <v>2213.0770000000002</v>
      </c>
      <c r="F10" s="33">
        <v>0.11978868992702001</v>
      </c>
      <c r="G10" s="32">
        <v>2831.6010000000001</v>
      </c>
      <c r="H10" s="33">
        <v>0.116067240274843</v>
      </c>
      <c r="I10" s="32">
        <v>3302.3670000000002</v>
      </c>
      <c r="J10" s="33">
        <v>0.127219918067458</v>
      </c>
      <c r="K10" s="32" t="s">
        <v>198</v>
      </c>
      <c r="L10" s="33"/>
      <c r="M10" s="32">
        <v>3920.598</v>
      </c>
      <c r="N10" s="33">
        <v>0.131985420124794</v>
      </c>
      <c r="O10" s="32">
        <v>5444</v>
      </c>
      <c r="P10" s="33">
        <v>0.15504229202859299</v>
      </c>
      <c r="Q10" s="32">
        <v>6766</v>
      </c>
      <c r="R10" s="33">
        <v>0.17163440805662</v>
      </c>
      <c r="S10" s="32">
        <v>8073</v>
      </c>
      <c r="T10" s="33">
        <v>0.176540051171029</v>
      </c>
      <c r="U10" s="32">
        <v>8595</v>
      </c>
      <c r="V10" s="33">
        <v>0.19378184605672499</v>
      </c>
      <c r="W10" s="32">
        <v>8981</v>
      </c>
      <c r="X10" s="33">
        <v>0.204285421831995</v>
      </c>
      <c r="Y10" s="32" t="s">
        <v>198</v>
      </c>
      <c r="Z10" s="33"/>
    </row>
    <row r="11" spans="1:26" x14ac:dyDescent="0.25">
      <c r="A11" s="10" t="s">
        <v>1253</v>
      </c>
      <c r="B11" s="10"/>
      <c r="C11" s="32">
        <v>2510.6570000000002</v>
      </c>
      <c r="D11" s="33">
        <v>0.16394737608527901</v>
      </c>
      <c r="E11" s="32">
        <v>3635.5540000000001</v>
      </c>
      <c r="F11" s="33">
        <v>0.19678404810087399</v>
      </c>
      <c r="G11" s="32">
        <v>5096.692</v>
      </c>
      <c r="H11" s="33">
        <v>0.20891325259839499</v>
      </c>
      <c r="I11" s="32">
        <v>5268.5889999999999</v>
      </c>
      <c r="J11" s="33">
        <v>0.202966375606077</v>
      </c>
      <c r="K11" s="32">
        <v>6582</v>
      </c>
      <c r="L11" s="33">
        <v>0.23374409602613699</v>
      </c>
      <c r="M11" s="32">
        <v>6764.9939999999997</v>
      </c>
      <c r="N11" s="33">
        <v>0.227740914837918</v>
      </c>
      <c r="O11" s="32">
        <v>7220</v>
      </c>
      <c r="P11" s="33">
        <v>0.205621849457466</v>
      </c>
      <c r="Q11" s="32">
        <v>8629</v>
      </c>
      <c r="R11" s="33">
        <v>0.218893483168869</v>
      </c>
      <c r="S11" s="32">
        <v>9436</v>
      </c>
      <c r="T11" s="33">
        <v>0.206346082354742</v>
      </c>
      <c r="U11" s="32">
        <v>8635</v>
      </c>
      <c r="V11" s="33">
        <v>0.19468368129142799</v>
      </c>
      <c r="W11" s="32">
        <v>8624</v>
      </c>
      <c r="X11" s="33">
        <v>0.19616495689557101</v>
      </c>
      <c r="Y11" s="32">
        <v>8211.3690000000006</v>
      </c>
      <c r="Z11" s="33">
        <v>0.19057485269058799</v>
      </c>
    </row>
    <row r="12" spans="1:26" x14ac:dyDescent="0.25">
      <c r="A12" s="10" t="s">
        <v>1254</v>
      </c>
      <c r="B12" s="10"/>
      <c r="C12" s="32">
        <v>2034.13</v>
      </c>
      <c r="D12" s="33">
        <v>0.132829883220348</v>
      </c>
      <c r="E12" s="32">
        <v>2098.7919999999999</v>
      </c>
      <c r="F12" s="33">
        <v>0.113602709760804</v>
      </c>
      <c r="G12" s="32">
        <v>2859.252</v>
      </c>
      <c r="H12" s="33">
        <v>0.117200653937587</v>
      </c>
      <c r="I12" s="32">
        <v>2797.6120000000001</v>
      </c>
      <c r="J12" s="33">
        <v>0.107774808016353</v>
      </c>
      <c r="K12" s="32">
        <v>6582</v>
      </c>
      <c r="L12" s="33">
        <v>0.23374409602613699</v>
      </c>
      <c r="M12" s="32">
        <v>4124.5420000000004</v>
      </c>
      <c r="N12" s="33">
        <v>0.138851116256336</v>
      </c>
      <c r="O12" s="32">
        <v>4302</v>
      </c>
      <c r="P12" s="33">
        <v>0.12251872525845101</v>
      </c>
      <c r="Q12" s="32">
        <v>5161</v>
      </c>
      <c r="R12" s="33">
        <v>0.13092006798406899</v>
      </c>
      <c r="S12" s="32">
        <v>5586</v>
      </c>
      <c r="T12" s="33">
        <v>0.12215443154234699</v>
      </c>
      <c r="U12" s="32">
        <v>5009</v>
      </c>
      <c r="V12" s="33">
        <v>0.112932317265636</v>
      </c>
      <c r="W12" s="32">
        <v>4783</v>
      </c>
      <c r="X12" s="33">
        <v>0.10879603302777301</v>
      </c>
      <c r="Y12" s="32">
        <v>8211.3690000000006</v>
      </c>
      <c r="Z12" s="33">
        <v>0.19057485269058799</v>
      </c>
    </row>
    <row r="13" spans="1:26" x14ac:dyDescent="0.25">
      <c r="A13" s="10" t="s">
        <v>1255</v>
      </c>
      <c r="B13" s="10"/>
      <c r="C13" s="32">
        <v>0</v>
      </c>
      <c r="D13" s="33"/>
      <c r="E13" s="32">
        <v>867.125</v>
      </c>
      <c r="F13" s="33">
        <v>4.6935451298335901E-2</v>
      </c>
      <c r="G13" s="32">
        <v>1282.789</v>
      </c>
      <c r="H13" s="33">
        <v>5.2581482731827403E-2</v>
      </c>
      <c r="I13" s="32">
        <v>1438.42</v>
      </c>
      <c r="J13" s="33">
        <v>5.54134881273321E-2</v>
      </c>
      <c r="K13" s="32" t="s">
        <v>198</v>
      </c>
      <c r="L13" s="33"/>
      <c r="M13" s="32">
        <v>1342.9059999999999</v>
      </c>
      <c r="N13" s="33">
        <v>4.5208412746756098E-2</v>
      </c>
      <c r="O13" s="32">
        <v>1412</v>
      </c>
      <c r="P13" s="33">
        <v>4.0213026514396399E-2</v>
      </c>
      <c r="Q13" s="32">
        <v>1772</v>
      </c>
      <c r="R13" s="33">
        <v>4.4950660815301503E-2</v>
      </c>
      <c r="S13" s="32">
        <v>1982</v>
      </c>
      <c r="T13" s="33">
        <v>4.3342299197445797E-2</v>
      </c>
      <c r="U13" s="32">
        <v>1914</v>
      </c>
      <c r="V13" s="33">
        <v>4.3152815980520398E-2</v>
      </c>
      <c r="W13" s="32">
        <v>2124</v>
      </c>
      <c r="X13" s="33">
        <v>4.83133544116644E-2</v>
      </c>
      <c r="Y13" s="32" t="s">
        <v>198</v>
      </c>
      <c r="Z13" s="33"/>
    </row>
    <row r="14" spans="1:26" x14ac:dyDescent="0.25">
      <c r="A14" s="10" t="s">
        <v>1256</v>
      </c>
      <c r="B14" s="10"/>
      <c r="C14" s="32">
        <v>476.52699999999999</v>
      </c>
      <c r="D14" s="33">
        <v>3.11174928649313E-2</v>
      </c>
      <c r="E14" s="32">
        <v>669.63699999999994</v>
      </c>
      <c r="F14" s="33">
        <v>3.6245887041734197E-2</v>
      </c>
      <c r="G14" s="32">
        <v>954.65099999999995</v>
      </c>
      <c r="H14" s="33">
        <v>3.9131115928981101E-2</v>
      </c>
      <c r="I14" s="32">
        <v>1032.557</v>
      </c>
      <c r="J14" s="33">
        <v>3.9778079462391903E-2</v>
      </c>
      <c r="K14" s="32" t="s">
        <v>198</v>
      </c>
      <c r="L14" s="33"/>
      <c r="M14" s="32">
        <v>1297.546</v>
      </c>
      <c r="N14" s="33">
        <v>4.3681385834825698E-2</v>
      </c>
      <c r="O14" s="32">
        <v>1506</v>
      </c>
      <c r="P14" s="33">
        <v>4.2890097684618197E-2</v>
      </c>
      <c r="Q14" s="32">
        <v>1696</v>
      </c>
      <c r="R14" s="33">
        <v>4.3022754369498498E-2</v>
      </c>
      <c r="S14" s="32">
        <v>1868</v>
      </c>
      <c r="T14" s="33">
        <v>4.0849351614948903E-2</v>
      </c>
      <c r="U14" s="32">
        <v>1712</v>
      </c>
      <c r="V14" s="33">
        <v>3.8598548045272102E-2</v>
      </c>
      <c r="W14" s="32">
        <v>1717</v>
      </c>
      <c r="X14" s="33">
        <v>3.9055569456133601E-2</v>
      </c>
      <c r="Y14" s="32" t="s">
        <v>198</v>
      </c>
      <c r="Z14" s="33"/>
    </row>
    <row r="15" spans="1:26" x14ac:dyDescent="0.25">
      <c r="A15" s="10" t="s">
        <v>1257</v>
      </c>
      <c r="B15" s="10"/>
      <c r="C15" s="32">
        <v>1070.27</v>
      </c>
      <c r="D15" s="33">
        <v>6.9889259346375104E-2</v>
      </c>
      <c r="E15" s="32">
        <v>1507.2049999999999</v>
      </c>
      <c r="F15" s="33">
        <v>8.1581486952986504E-2</v>
      </c>
      <c r="G15" s="32">
        <v>2105.1999999999998</v>
      </c>
      <c r="H15" s="33">
        <v>8.6292085017132994E-2</v>
      </c>
      <c r="I15" s="32">
        <v>2167.7950000000001</v>
      </c>
      <c r="J15" s="33">
        <v>8.3511827209709205E-2</v>
      </c>
      <c r="K15" s="32">
        <v>2302</v>
      </c>
      <c r="L15" s="33">
        <v>8.1750062147093294E-2</v>
      </c>
      <c r="M15" s="32">
        <v>2509.364</v>
      </c>
      <c r="N15" s="33">
        <v>8.44767716011776E-2</v>
      </c>
      <c r="O15" s="32">
        <v>4515</v>
      </c>
      <c r="P15" s="33">
        <v>0.128584854612252</v>
      </c>
      <c r="Q15" s="32">
        <v>4176</v>
      </c>
      <c r="R15" s="33">
        <v>0.10593338575885899</v>
      </c>
      <c r="S15" s="32">
        <v>3664</v>
      </c>
      <c r="T15" s="33">
        <v>8.0124210019899805E-2</v>
      </c>
      <c r="U15" s="32">
        <v>2804</v>
      </c>
      <c r="V15" s="33">
        <v>6.3218649952653694E-2</v>
      </c>
      <c r="W15" s="32">
        <v>2463</v>
      </c>
      <c r="X15" s="33">
        <v>5.60243841412097E-2</v>
      </c>
      <c r="Y15" s="32">
        <v>2455</v>
      </c>
      <c r="Z15" s="33">
        <v>5.6977254749529999E-2</v>
      </c>
    </row>
    <row r="16" spans="1:26" x14ac:dyDescent="0.25">
      <c r="A16" s="10" t="s">
        <v>1258</v>
      </c>
      <c r="B16" s="10"/>
      <c r="C16" s="32">
        <v>1076.0989999999999</v>
      </c>
      <c r="D16" s="33">
        <v>7.0269896468531198E-2</v>
      </c>
      <c r="E16" s="32">
        <v>1298.4059999999999</v>
      </c>
      <c r="F16" s="33">
        <v>7.0279684680371504E-2</v>
      </c>
      <c r="G16" s="32">
        <v>1411.8779999999999</v>
      </c>
      <c r="H16" s="33">
        <v>5.7872836979773697E-2</v>
      </c>
      <c r="I16" s="32">
        <v>3190.7469999999998</v>
      </c>
      <c r="J16" s="33">
        <v>0.122919885013988</v>
      </c>
      <c r="K16" s="32">
        <v>3110</v>
      </c>
      <c r="L16" s="33">
        <v>0.11044426293547401</v>
      </c>
      <c r="M16" s="32">
        <v>2270.2910000000002</v>
      </c>
      <c r="N16" s="33">
        <v>7.6428471228251096E-2</v>
      </c>
      <c r="O16" s="32">
        <v>1477</v>
      </c>
      <c r="P16" s="33">
        <v>4.2064192749124298E-2</v>
      </c>
      <c r="Q16" s="32">
        <v>1385</v>
      </c>
      <c r="R16" s="33">
        <v>3.5133558255751998E-2</v>
      </c>
      <c r="S16" s="32">
        <v>1228</v>
      </c>
      <c r="T16" s="33">
        <v>2.68538564149664E-2</v>
      </c>
      <c r="U16" s="32">
        <v>1220</v>
      </c>
      <c r="V16" s="33">
        <v>2.75059746584299E-2</v>
      </c>
      <c r="W16" s="32">
        <v>1281</v>
      </c>
      <c r="X16" s="33">
        <v>2.9138138889520701E-2</v>
      </c>
      <c r="Y16" s="32">
        <v>1201</v>
      </c>
      <c r="Z16" s="33">
        <v>2.7873597944678401E-2</v>
      </c>
    </row>
    <row r="17" spans="1:26" x14ac:dyDescent="0.25">
      <c r="A17" s="10" t="s">
        <v>1259</v>
      </c>
      <c r="B17" s="10"/>
      <c r="C17" s="32">
        <v>1164.258</v>
      </c>
      <c r="D17" s="33">
        <v>7.60267309259271E-2</v>
      </c>
      <c r="E17" s="32">
        <v>1308.7339999999999</v>
      </c>
      <c r="F17" s="33">
        <v>7.08387152019333E-2</v>
      </c>
      <c r="G17" s="32">
        <v>1887.943</v>
      </c>
      <c r="H17" s="33">
        <v>7.7386727086975596E-2</v>
      </c>
      <c r="I17" s="32" t="s">
        <v>198</v>
      </c>
      <c r="J17" s="33"/>
      <c r="K17" s="32" t="s">
        <v>198</v>
      </c>
      <c r="L17" s="33"/>
      <c r="M17" s="32" t="s">
        <v>198</v>
      </c>
      <c r="N17" s="33"/>
      <c r="O17" s="32" t="s">
        <v>198</v>
      </c>
      <c r="P17" s="33"/>
      <c r="Q17" s="32" t="s">
        <v>198</v>
      </c>
      <c r="R17" s="33"/>
      <c r="S17" s="32" t="s">
        <v>198</v>
      </c>
      <c r="T17" s="33"/>
      <c r="U17" s="32" t="s">
        <v>198</v>
      </c>
      <c r="V17" s="33"/>
      <c r="W17" s="32" t="s">
        <v>198</v>
      </c>
      <c r="X17" s="33"/>
      <c r="Y17" s="32" t="s">
        <v>198</v>
      </c>
      <c r="Z17" s="33"/>
    </row>
    <row r="18" spans="1:26" x14ac:dyDescent="0.25">
      <c r="A18" s="10" t="s">
        <v>1260</v>
      </c>
      <c r="B18" s="10"/>
      <c r="C18" s="32" t="s">
        <v>198</v>
      </c>
      <c r="D18" s="33"/>
      <c r="E18" s="32">
        <v>4114.3450000000003</v>
      </c>
      <c r="F18" s="33">
        <v>0.22269988683529099</v>
      </c>
      <c r="G18" s="32" t="s">
        <v>198</v>
      </c>
      <c r="H18" s="33"/>
      <c r="I18" s="32" t="s">
        <v>198</v>
      </c>
      <c r="J18" s="33"/>
      <c r="K18" s="32" t="s">
        <v>198</v>
      </c>
      <c r="L18" s="33"/>
      <c r="M18" s="32" t="s">
        <v>198</v>
      </c>
      <c r="N18" s="33"/>
      <c r="O18" s="32" t="s">
        <v>198</v>
      </c>
      <c r="P18" s="33"/>
      <c r="Q18" s="32" t="s">
        <v>198</v>
      </c>
      <c r="R18" s="33"/>
      <c r="S18" s="32" t="s">
        <v>198</v>
      </c>
      <c r="T18" s="33"/>
      <c r="U18" s="32" t="s">
        <v>198</v>
      </c>
      <c r="V18" s="33"/>
      <c r="W18" s="32" t="s">
        <v>198</v>
      </c>
      <c r="X18" s="33"/>
      <c r="Y18" s="32" t="s">
        <v>198</v>
      </c>
      <c r="Z18" s="33"/>
    </row>
    <row r="19" spans="1:26" x14ac:dyDescent="0.25">
      <c r="A19" s="6" t="s">
        <v>1261</v>
      </c>
      <c r="B19" s="6"/>
      <c r="C19" s="38" t="s">
        <v>198</v>
      </c>
      <c r="D19" s="39"/>
      <c r="E19" s="38" t="s">
        <v>198</v>
      </c>
      <c r="F19" s="39"/>
      <c r="G19" s="38" t="s">
        <v>198</v>
      </c>
      <c r="H19" s="39"/>
      <c r="I19" s="38" t="s">
        <v>198</v>
      </c>
      <c r="J19" s="39"/>
      <c r="K19" s="38" t="s">
        <v>198</v>
      </c>
      <c r="L19" s="39"/>
      <c r="M19" s="38" t="s">
        <v>198</v>
      </c>
      <c r="N19" s="39"/>
      <c r="O19" s="38" t="s">
        <v>198</v>
      </c>
      <c r="P19" s="39"/>
      <c r="Q19" s="38" t="s">
        <v>198</v>
      </c>
      <c r="R19" s="39"/>
      <c r="S19" s="38" t="s">
        <v>198</v>
      </c>
      <c r="T19" s="39"/>
      <c r="U19" s="38" t="s">
        <v>198</v>
      </c>
      <c r="V19" s="39"/>
      <c r="W19" s="38" t="s">
        <v>198</v>
      </c>
      <c r="X19" s="39"/>
      <c r="Y19" s="38" t="s">
        <v>198</v>
      </c>
      <c r="Z19" s="39"/>
    </row>
    <row r="20" spans="1:26" x14ac:dyDescent="0.25">
      <c r="A20" s="10" t="s">
        <v>1262</v>
      </c>
      <c r="B20" s="10"/>
      <c r="C20" s="34">
        <v>15.9</v>
      </c>
      <c r="D20" s="35"/>
      <c r="E20" s="34">
        <v>-9.6</v>
      </c>
      <c r="F20" s="35"/>
      <c r="G20" s="34">
        <v>24.1</v>
      </c>
      <c r="H20" s="35"/>
      <c r="I20" s="34">
        <v>9.74</v>
      </c>
      <c r="J20" s="35"/>
      <c r="K20" s="34">
        <v>11.1</v>
      </c>
      <c r="L20" s="35"/>
      <c r="M20" s="34">
        <v>9.3000000000000007</v>
      </c>
      <c r="N20" s="35"/>
      <c r="O20" s="34">
        <v>4</v>
      </c>
      <c r="P20" s="35"/>
      <c r="Q20" s="34">
        <v>33.200000000000003</v>
      </c>
      <c r="R20" s="35"/>
      <c r="S20" s="34">
        <v>47.5</v>
      </c>
      <c r="T20" s="35"/>
      <c r="U20" s="34">
        <v>0.4</v>
      </c>
      <c r="V20" s="35"/>
      <c r="W20" s="34">
        <v>-0.5</v>
      </c>
      <c r="X20" s="35"/>
      <c r="Y20" s="34">
        <v>1.2</v>
      </c>
      <c r="Z20" s="35"/>
    </row>
    <row r="21" spans="1:26" x14ac:dyDescent="0.25">
      <c r="A21" s="10" t="s">
        <v>1257</v>
      </c>
      <c r="B21" s="10"/>
      <c r="C21" s="34">
        <v>110.1</v>
      </c>
      <c r="D21" s="35"/>
      <c r="E21" s="34">
        <v>40.799999999999997</v>
      </c>
      <c r="F21" s="35"/>
      <c r="G21" s="34">
        <v>39.700000000000003</v>
      </c>
      <c r="H21" s="35"/>
      <c r="I21" s="34">
        <v>8.35</v>
      </c>
      <c r="J21" s="35"/>
      <c r="K21" s="34">
        <v>6.2</v>
      </c>
      <c r="L21" s="35"/>
      <c r="M21" s="34">
        <v>9.1999999999999993</v>
      </c>
      <c r="N21" s="35"/>
      <c r="O21" s="34">
        <v>78.3</v>
      </c>
      <c r="P21" s="35"/>
      <c r="Q21" s="34">
        <v>-7.5</v>
      </c>
      <c r="R21" s="35"/>
      <c r="S21" s="34">
        <v>-12.2</v>
      </c>
      <c r="T21" s="35"/>
      <c r="U21" s="34">
        <v>-23.5</v>
      </c>
      <c r="V21" s="35"/>
      <c r="W21" s="34">
        <v>-12.2</v>
      </c>
      <c r="X21" s="35"/>
      <c r="Y21" s="34">
        <v>-0.3</v>
      </c>
      <c r="Z21" s="35"/>
    </row>
    <row r="22" spans="1:26" x14ac:dyDescent="0.25">
      <c r="A22" s="10" t="s">
        <v>1263</v>
      </c>
      <c r="B22" s="10"/>
      <c r="C22" s="34">
        <v>34.4</v>
      </c>
      <c r="D22" s="35"/>
      <c r="E22" s="34">
        <v>18.100000000000001</v>
      </c>
      <c r="F22" s="35"/>
      <c r="G22" s="34">
        <v>31.5</v>
      </c>
      <c r="H22" s="35"/>
      <c r="I22" s="34">
        <v>36.6</v>
      </c>
      <c r="J22" s="35"/>
      <c r="K22" s="34">
        <v>1</v>
      </c>
      <c r="L22" s="35"/>
      <c r="M22" s="34">
        <v>9</v>
      </c>
      <c r="N22" s="35"/>
      <c r="O22" s="34">
        <v>19.399999999999999</v>
      </c>
      <c r="P22" s="35"/>
      <c r="Q22" s="34">
        <v>6.2</v>
      </c>
      <c r="R22" s="35"/>
      <c r="S22" s="34">
        <v>18.7</v>
      </c>
      <c r="T22" s="35"/>
      <c r="U22" s="34">
        <v>-1.6</v>
      </c>
      <c r="V22" s="35"/>
      <c r="W22" s="34">
        <v>-2.9</v>
      </c>
      <c r="X22" s="35"/>
      <c r="Y22" s="34">
        <v>-3.7</v>
      </c>
      <c r="Z22" s="35"/>
    </row>
    <row r="23" spans="1:26" x14ac:dyDescent="0.25">
      <c r="A23" s="10" t="s">
        <v>1253</v>
      </c>
      <c r="B23" s="10"/>
      <c r="C23" s="34">
        <v>6.4</v>
      </c>
      <c r="D23" s="35"/>
      <c r="E23" s="34">
        <v>44.8</v>
      </c>
      <c r="F23" s="35"/>
      <c r="G23" s="34">
        <v>40.200000000000003</v>
      </c>
      <c r="H23" s="35"/>
      <c r="I23" s="34">
        <v>20.3</v>
      </c>
      <c r="J23" s="35"/>
      <c r="K23" s="34">
        <v>26.9</v>
      </c>
      <c r="L23" s="35"/>
      <c r="M23" s="34">
        <v>5.0999999999999996</v>
      </c>
      <c r="N23" s="35"/>
      <c r="O23" s="34">
        <v>6.7</v>
      </c>
      <c r="P23" s="35"/>
      <c r="Q23" s="34">
        <v>19.399999999999999</v>
      </c>
      <c r="R23" s="35"/>
      <c r="S23" s="34">
        <v>9.4</v>
      </c>
      <c r="T23" s="35"/>
      <c r="U23" s="34">
        <v>-8.5</v>
      </c>
      <c r="V23" s="35"/>
      <c r="W23" s="34">
        <v>-0.1</v>
      </c>
      <c r="X23" s="35"/>
      <c r="Y23" s="34">
        <v>-4.8</v>
      </c>
      <c r="Z23" s="35"/>
    </row>
    <row r="24" spans="1:26" x14ac:dyDescent="0.25">
      <c r="A24" s="10" t="s">
        <v>1254</v>
      </c>
      <c r="B24" s="10"/>
      <c r="C24" s="34">
        <v>-0.2</v>
      </c>
      <c r="D24" s="35"/>
      <c r="E24" s="34">
        <v>3.2</v>
      </c>
      <c r="F24" s="35"/>
      <c r="G24" s="34">
        <v>36.200000000000003</v>
      </c>
      <c r="H24" s="35"/>
      <c r="I24" s="34">
        <v>10.78</v>
      </c>
      <c r="J24" s="35"/>
      <c r="K24" s="34" t="s">
        <v>198</v>
      </c>
      <c r="L24" s="35"/>
      <c r="M24" s="34" t="s">
        <v>198</v>
      </c>
      <c r="N24" s="35"/>
      <c r="O24" s="34">
        <v>4.3</v>
      </c>
      <c r="P24" s="35"/>
      <c r="Q24" s="34">
        <v>20</v>
      </c>
      <c r="R24" s="35"/>
      <c r="S24" s="34">
        <v>8.1999999999999993</v>
      </c>
      <c r="T24" s="35"/>
      <c r="U24" s="34">
        <v>-10.3</v>
      </c>
      <c r="V24" s="35"/>
      <c r="W24" s="34">
        <v>-4.5</v>
      </c>
      <c r="X24" s="35"/>
      <c r="Y24" s="34">
        <v>-4.8</v>
      </c>
      <c r="Z24" s="35"/>
    </row>
    <row r="25" spans="1:26" x14ac:dyDescent="0.25">
      <c r="A25" s="10" t="s">
        <v>1255</v>
      </c>
      <c r="B25" s="10"/>
      <c r="C25" s="34">
        <v>0</v>
      </c>
      <c r="D25" s="35"/>
      <c r="E25" s="34" t="s">
        <v>198</v>
      </c>
      <c r="F25" s="35"/>
      <c r="G25" s="34">
        <v>47.9</v>
      </c>
      <c r="H25" s="35"/>
      <c r="I25" s="34">
        <v>5.54</v>
      </c>
      <c r="J25" s="35"/>
      <c r="K25" s="34" t="s">
        <v>198</v>
      </c>
      <c r="L25" s="35"/>
      <c r="M25" s="34" t="s">
        <v>198</v>
      </c>
      <c r="N25" s="35"/>
      <c r="O25" s="34">
        <v>5.0999999999999996</v>
      </c>
      <c r="P25" s="35"/>
      <c r="Q25" s="34">
        <v>25.5</v>
      </c>
      <c r="R25" s="35"/>
      <c r="S25" s="34">
        <v>11.9</v>
      </c>
      <c r="T25" s="35"/>
      <c r="U25" s="34">
        <v>-3.5</v>
      </c>
      <c r="V25" s="35"/>
      <c r="W25" s="34">
        <v>11</v>
      </c>
      <c r="X25" s="35"/>
      <c r="Y25" s="34" t="s">
        <v>198</v>
      </c>
      <c r="Z25" s="35"/>
    </row>
    <row r="26" spans="1:26" x14ac:dyDescent="0.25">
      <c r="A26" s="10" t="s">
        <v>1256</v>
      </c>
      <c r="B26" s="10"/>
      <c r="C26" s="34">
        <v>48.2</v>
      </c>
      <c r="D26" s="35"/>
      <c r="E26" s="34">
        <v>40.5</v>
      </c>
      <c r="F26" s="35"/>
      <c r="G26" s="34">
        <v>42.6</v>
      </c>
      <c r="H26" s="35"/>
      <c r="I26" s="34">
        <v>3.98</v>
      </c>
      <c r="J26" s="35"/>
      <c r="K26" s="34" t="s">
        <v>198</v>
      </c>
      <c r="L26" s="35"/>
      <c r="M26" s="34" t="s">
        <v>198</v>
      </c>
      <c r="N26" s="35"/>
      <c r="O26" s="34">
        <v>6</v>
      </c>
      <c r="P26" s="35"/>
      <c r="Q26" s="34">
        <v>12.6</v>
      </c>
      <c r="R26" s="35"/>
      <c r="S26" s="34">
        <v>10.199999999999999</v>
      </c>
      <c r="T26" s="35"/>
      <c r="U26" s="34">
        <v>-8.4</v>
      </c>
      <c r="V26" s="35"/>
      <c r="W26" s="34">
        <v>0.3</v>
      </c>
      <c r="X26" s="35"/>
      <c r="Y26" s="34" t="s">
        <v>198</v>
      </c>
      <c r="Z26" s="35"/>
    </row>
    <row r="27" spans="1:26" x14ac:dyDescent="0.25">
      <c r="A27" s="10" t="s">
        <v>1258</v>
      </c>
      <c r="B27" s="10"/>
      <c r="C27" s="34">
        <v>61.5</v>
      </c>
      <c r="D27" s="35"/>
      <c r="E27" s="34">
        <v>20.7</v>
      </c>
      <c r="F27" s="35"/>
      <c r="G27" s="34">
        <v>8.6999999999999993</v>
      </c>
      <c r="H27" s="35"/>
      <c r="I27" s="34">
        <v>12.29</v>
      </c>
      <c r="J27" s="35"/>
      <c r="K27" s="34">
        <v>-7.3</v>
      </c>
      <c r="L27" s="35"/>
      <c r="M27" s="34">
        <v>-8.1</v>
      </c>
      <c r="N27" s="35"/>
      <c r="O27" s="34">
        <v>-36.5</v>
      </c>
      <c r="P27" s="35"/>
      <c r="Q27" s="34">
        <v>-6.2</v>
      </c>
      <c r="R27" s="35"/>
      <c r="S27" s="34">
        <v>-11.3</v>
      </c>
      <c r="T27" s="35"/>
      <c r="U27" s="34">
        <v>-0.6</v>
      </c>
      <c r="V27" s="35"/>
      <c r="W27" s="34">
        <v>5</v>
      </c>
      <c r="X27" s="35"/>
      <c r="Y27" s="34">
        <v>-6.2</v>
      </c>
      <c r="Z27" s="35"/>
    </row>
    <row r="28" spans="1:26" x14ac:dyDescent="0.25">
      <c r="A28" s="10" t="s">
        <v>1264</v>
      </c>
      <c r="B28" s="10"/>
      <c r="C28" s="34">
        <v>4</v>
      </c>
      <c r="D28" s="35"/>
      <c r="E28" s="34">
        <v>20.5</v>
      </c>
      <c r="F28" s="35"/>
      <c r="G28" s="34">
        <v>27.9</v>
      </c>
      <c r="H28" s="35"/>
      <c r="I28" s="34">
        <v>12.72</v>
      </c>
      <c r="J28" s="35"/>
      <c r="K28" s="34" t="s">
        <v>198</v>
      </c>
      <c r="L28" s="35"/>
      <c r="M28" s="34" t="s">
        <v>198</v>
      </c>
      <c r="N28" s="35"/>
      <c r="O28" s="34">
        <v>38.799999999999997</v>
      </c>
      <c r="P28" s="35"/>
      <c r="Q28" s="34">
        <v>24.3</v>
      </c>
      <c r="R28" s="35"/>
      <c r="S28" s="34">
        <v>19.3</v>
      </c>
      <c r="T28" s="35"/>
      <c r="U28" s="34">
        <v>6.5</v>
      </c>
      <c r="V28" s="35"/>
      <c r="W28" s="34">
        <v>4.5</v>
      </c>
      <c r="X28" s="35"/>
      <c r="Y28" s="34" t="s">
        <v>198</v>
      </c>
      <c r="Z28" s="35"/>
    </row>
    <row r="29" spans="1:26" x14ac:dyDescent="0.25">
      <c r="A29" s="10" t="s">
        <v>1259</v>
      </c>
      <c r="B29" s="10"/>
      <c r="C29" s="34">
        <v>7.7</v>
      </c>
      <c r="D29" s="35"/>
      <c r="E29" s="34">
        <v>12.4</v>
      </c>
      <c r="F29" s="35"/>
      <c r="G29" s="34">
        <v>44.3</v>
      </c>
      <c r="H29" s="35"/>
      <c r="I29" s="34" t="s">
        <v>198</v>
      </c>
      <c r="J29" s="35"/>
      <c r="K29" s="34" t="s">
        <v>198</v>
      </c>
      <c r="L29" s="35"/>
      <c r="M29" s="34" t="s">
        <v>198</v>
      </c>
      <c r="N29" s="35"/>
      <c r="O29" s="34" t="s">
        <v>198</v>
      </c>
      <c r="P29" s="35"/>
      <c r="Q29" s="34" t="s">
        <v>198</v>
      </c>
      <c r="R29" s="35"/>
      <c r="S29" s="34" t="s">
        <v>198</v>
      </c>
      <c r="T29" s="35"/>
      <c r="U29" s="34" t="s">
        <v>198</v>
      </c>
      <c r="V29" s="35"/>
      <c r="W29" s="34" t="s">
        <v>198</v>
      </c>
      <c r="X29" s="35"/>
      <c r="Y29" s="34" t="s">
        <v>198</v>
      </c>
      <c r="Z29" s="35"/>
    </row>
    <row r="30" spans="1:26" x14ac:dyDescent="0.25">
      <c r="A30" s="10" t="s">
        <v>1249</v>
      </c>
      <c r="B30" s="10"/>
      <c r="C30" s="34">
        <v>23.5</v>
      </c>
      <c r="D30" s="35"/>
      <c r="E30" s="34">
        <v>13</v>
      </c>
      <c r="F30" s="35"/>
      <c r="G30" s="34">
        <v>29.6</v>
      </c>
      <c r="H30" s="35"/>
      <c r="I30" s="34">
        <v>59.06</v>
      </c>
      <c r="J30" s="35"/>
      <c r="K30" s="34" t="s">
        <v>198</v>
      </c>
      <c r="L30" s="35"/>
      <c r="M30" s="34" t="s">
        <v>198</v>
      </c>
      <c r="N30" s="35"/>
      <c r="O30" s="34">
        <v>20.6</v>
      </c>
      <c r="P30" s="35"/>
      <c r="Q30" s="34" t="s">
        <v>198</v>
      </c>
      <c r="R30" s="35"/>
      <c r="S30" s="34" t="s">
        <v>198</v>
      </c>
      <c r="T30" s="35"/>
      <c r="U30" s="34" t="s">
        <v>198</v>
      </c>
      <c r="V30" s="35"/>
      <c r="W30" s="34" t="s">
        <v>198</v>
      </c>
      <c r="X30" s="35"/>
      <c r="Y30" s="34" t="s">
        <v>198</v>
      </c>
      <c r="Z30" s="35"/>
    </row>
    <row r="31" spans="1:26" x14ac:dyDescent="0.25">
      <c r="A31" s="10" t="s">
        <v>1260</v>
      </c>
      <c r="B31" s="10"/>
      <c r="C31" s="34" t="s">
        <v>198</v>
      </c>
      <c r="D31" s="35"/>
      <c r="E31" s="34">
        <v>24.3</v>
      </c>
      <c r="F31" s="35"/>
      <c r="G31" s="34" t="s">
        <v>198</v>
      </c>
      <c r="H31" s="35"/>
      <c r="I31" s="34" t="s">
        <v>198</v>
      </c>
      <c r="J31" s="35"/>
      <c r="K31" s="34" t="s">
        <v>198</v>
      </c>
      <c r="L31" s="35"/>
      <c r="M31" s="34" t="s">
        <v>198</v>
      </c>
      <c r="N31" s="35"/>
      <c r="O31" s="34" t="s">
        <v>198</v>
      </c>
      <c r="P31" s="35"/>
      <c r="Q31" s="34" t="s">
        <v>198</v>
      </c>
      <c r="R31" s="35"/>
      <c r="S31" s="34" t="s">
        <v>198</v>
      </c>
      <c r="T31" s="35"/>
      <c r="U31" s="34" t="s">
        <v>198</v>
      </c>
      <c r="V31" s="35"/>
      <c r="W31" s="34" t="s">
        <v>198</v>
      </c>
      <c r="X31" s="35"/>
      <c r="Y31" s="34" t="s">
        <v>198</v>
      </c>
      <c r="Z31" s="35"/>
    </row>
    <row r="32" spans="1:26" x14ac:dyDescent="0.25">
      <c r="A32" s="6" t="s">
        <v>1265</v>
      </c>
      <c r="B32" s="6"/>
      <c r="C32" s="38">
        <v>16762512</v>
      </c>
      <c r="D32" s="39">
        <v>1</v>
      </c>
      <c r="E32" s="38">
        <v>17682566</v>
      </c>
      <c r="F32" s="39">
        <v>1</v>
      </c>
      <c r="G32" s="38">
        <v>20424000</v>
      </c>
      <c r="H32" s="39">
        <v>1</v>
      </c>
      <c r="I32" s="38">
        <v>20491495</v>
      </c>
      <c r="J32" s="39">
        <v>1</v>
      </c>
      <c r="K32" s="38">
        <v>21279000</v>
      </c>
      <c r="L32" s="39">
        <v>1</v>
      </c>
      <c r="M32" s="38">
        <v>22317000</v>
      </c>
      <c r="N32" s="39">
        <v>1</v>
      </c>
      <c r="O32" s="38">
        <v>23654000</v>
      </c>
      <c r="P32" s="39">
        <v>1</v>
      </c>
      <c r="Q32" s="38">
        <v>25556000</v>
      </c>
      <c r="R32" s="39">
        <v>1</v>
      </c>
      <c r="S32" s="38">
        <v>27450000</v>
      </c>
      <c r="T32" s="39">
        <v>1</v>
      </c>
      <c r="U32" s="38">
        <v>27067000</v>
      </c>
      <c r="V32" s="39">
        <v>1</v>
      </c>
      <c r="W32" s="38">
        <v>25394000</v>
      </c>
      <c r="X32" s="39">
        <v>1</v>
      </c>
      <c r="Y32" s="38">
        <v>24287000</v>
      </c>
      <c r="Z32" s="39">
        <v>1</v>
      </c>
    </row>
    <row r="33" spans="1:26" x14ac:dyDescent="0.25">
      <c r="A33" s="10" t="s">
        <v>1249</v>
      </c>
      <c r="B33" s="10"/>
      <c r="C33" s="34">
        <v>8292000</v>
      </c>
      <c r="D33" s="35">
        <v>0.49467526108258703</v>
      </c>
      <c r="E33" s="34">
        <v>8475000</v>
      </c>
      <c r="F33" s="35">
        <v>0.47928564214039998</v>
      </c>
      <c r="G33" s="34">
        <v>9424000</v>
      </c>
      <c r="H33" s="35">
        <v>0.46141793967880901</v>
      </c>
      <c r="I33" s="34">
        <v>9754252</v>
      </c>
      <c r="J33" s="35">
        <v>0.47601465876452598</v>
      </c>
      <c r="K33" s="34">
        <v>9961000</v>
      </c>
      <c r="L33" s="35">
        <v>0.46811410310634899</v>
      </c>
      <c r="M33" s="34">
        <v>10869000</v>
      </c>
      <c r="N33" s="35">
        <v>0.48702782632074199</v>
      </c>
      <c r="O33" s="34">
        <v>11009000</v>
      </c>
      <c r="P33" s="35">
        <v>0.46541811110171599</v>
      </c>
      <c r="Q33" s="34">
        <v>12439000</v>
      </c>
      <c r="R33" s="35">
        <v>0.486735013304116</v>
      </c>
      <c r="S33" s="34">
        <v>14619000</v>
      </c>
      <c r="T33" s="35">
        <v>0.53256830601092897</v>
      </c>
      <c r="U33" s="34">
        <v>15313000</v>
      </c>
      <c r="V33" s="35">
        <v>0.56574426423319901</v>
      </c>
      <c r="W33" s="34">
        <v>14525000</v>
      </c>
      <c r="X33" s="35">
        <v>0.57198550838780804</v>
      </c>
      <c r="Y33" s="34">
        <v>14256000</v>
      </c>
      <c r="Z33" s="35">
        <v>0.58698068925762803</v>
      </c>
    </row>
    <row r="34" spans="1:26" x14ac:dyDescent="0.25">
      <c r="A34" s="10" t="s">
        <v>1251</v>
      </c>
      <c r="B34" s="10"/>
      <c r="C34" s="34">
        <v>5795000</v>
      </c>
      <c r="D34" s="35">
        <v>0.34571190761861897</v>
      </c>
      <c r="E34" s="34">
        <v>5946000</v>
      </c>
      <c r="F34" s="35">
        <v>0.33626341335301702</v>
      </c>
      <c r="G34" s="34">
        <v>6609000</v>
      </c>
      <c r="H34" s="35">
        <v>0.32358989424206802</v>
      </c>
      <c r="I34" s="34">
        <v>6718227</v>
      </c>
      <c r="J34" s="35">
        <v>0.32785440984174202</v>
      </c>
      <c r="K34" s="34">
        <v>6692000</v>
      </c>
      <c r="L34" s="35">
        <v>0.31448846280370302</v>
      </c>
      <c r="M34" s="34">
        <v>7296000</v>
      </c>
      <c r="N34" s="35">
        <v>0.32692566205135098</v>
      </c>
      <c r="O34" s="34">
        <v>7325000</v>
      </c>
      <c r="P34" s="35">
        <v>0.30967278261604803</v>
      </c>
      <c r="Q34" s="34">
        <v>7909000</v>
      </c>
      <c r="R34" s="35">
        <v>0.30947722648301801</v>
      </c>
      <c r="S34" s="34">
        <v>9172000</v>
      </c>
      <c r="T34" s="35">
        <v>0.33413479052823303</v>
      </c>
      <c r="U34" s="34">
        <v>9470000</v>
      </c>
      <c r="V34" s="35">
        <v>0.34987253851553601</v>
      </c>
      <c r="W34" s="34">
        <v>8856000</v>
      </c>
      <c r="X34" s="35">
        <v>0.34874379774749897</v>
      </c>
      <c r="Y34" s="34">
        <v>8569000</v>
      </c>
      <c r="Z34" s="35">
        <v>0.35282249763247803</v>
      </c>
    </row>
    <row r="35" spans="1:26" x14ac:dyDescent="0.25">
      <c r="A35" s="10" t="s">
        <v>1250</v>
      </c>
      <c r="B35" s="10"/>
      <c r="C35" s="34">
        <v>1466000</v>
      </c>
      <c r="D35" s="35">
        <v>8.7457058942001106E-2</v>
      </c>
      <c r="E35" s="34">
        <v>1456000</v>
      </c>
      <c r="F35" s="35">
        <v>8.2340990555329993E-2</v>
      </c>
      <c r="G35" s="34">
        <v>1648000</v>
      </c>
      <c r="H35" s="35">
        <v>8.0689385037211098E-2</v>
      </c>
      <c r="I35" s="34">
        <v>1728891</v>
      </c>
      <c r="J35" s="35">
        <v>8.4371150079581805E-2</v>
      </c>
      <c r="K35" s="34">
        <v>3269000</v>
      </c>
      <c r="L35" s="35">
        <v>0.153625640302646</v>
      </c>
      <c r="M35" s="34">
        <v>3573000</v>
      </c>
      <c r="N35" s="35">
        <v>0.160102164269391</v>
      </c>
      <c r="O35" s="34">
        <v>3684000</v>
      </c>
      <c r="P35" s="35">
        <v>0.15574532848566799</v>
      </c>
      <c r="Q35" s="34">
        <v>4530000</v>
      </c>
      <c r="R35" s="35">
        <v>0.17725778682109899</v>
      </c>
      <c r="S35" s="34">
        <v>5447000</v>
      </c>
      <c r="T35" s="35">
        <v>0.198433515482696</v>
      </c>
      <c r="U35" s="34">
        <v>2978000</v>
      </c>
      <c r="V35" s="35">
        <v>0.110023275575424</v>
      </c>
      <c r="W35" s="34">
        <v>2821000</v>
      </c>
      <c r="X35" s="35">
        <v>0.111089233677247</v>
      </c>
      <c r="Y35" s="34">
        <v>5687000</v>
      </c>
      <c r="Z35" s="35">
        <v>0.234158191625149</v>
      </c>
    </row>
    <row r="36" spans="1:26" x14ac:dyDescent="0.25">
      <c r="A36" s="10" t="s">
        <v>1252</v>
      </c>
      <c r="B36" s="10"/>
      <c r="C36" s="34">
        <v>1031000</v>
      </c>
      <c r="D36" s="35">
        <v>6.1506294521966598E-2</v>
      </c>
      <c r="E36" s="34">
        <v>1073000</v>
      </c>
      <c r="F36" s="35">
        <v>6.0681238232053E-2</v>
      </c>
      <c r="G36" s="34">
        <v>1167000</v>
      </c>
      <c r="H36" s="35">
        <v>5.713866039953E-2</v>
      </c>
      <c r="I36" s="34">
        <v>1307134</v>
      </c>
      <c r="J36" s="35">
        <v>6.3789098843202996E-2</v>
      </c>
      <c r="K36" s="34" t="s">
        <v>198</v>
      </c>
      <c r="L36" s="35"/>
      <c r="M36" s="34" t="s">
        <v>198</v>
      </c>
      <c r="N36" s="35"/>
      <c r="O36" s="34" t="s">
        <v>198</v>
      </c>
      <c r="P36" s="35"/>
      <c r="Q36" s="34" t="s">
        <v>198</v>
      </c>
      <c r="R36" s="35"/>
      <c r="S36" s="34" t="s">
        <v>198</v>
      </c>
      <c r="T36" s="35"/>
      <c r="U36" s="34">
        <v>2865000</v>
      </c>
      <c r="V36" s="35">
        <v>0.10584845014223999</v>
      </c>
      <c r="W36" s="34">
        <v>2848000</v>
      </c>
      <c r="X36" s="35">
        <v>0.11215247696306201</v>
      </c>
      <c r="Y36" s="34" t="s">
        <v>198</v>
      </c>
      <c r="Z36" s="35"/>
    </row>
    <row r="37" spans="1:26" x14ac:dyDescent="0.25">
      <c r="A37" s="10" t="s">
        <v>1253</v>
      </c>
      <c r="B37" s="10"/>
      <c r="C37" s="34">
        <v>3026000</v>
      </c>
      <c r="D37" s="35">
        <v>0.18052186927591801</v>
      </c>
      <c r="E37" s="34">
        <v>3288000</v>
      </c>
      <c r="F37" s="35">
        <v>0.185945863287036</v>
      </c>
      <c r="G37" s="34">
        <v>3787000</v>
      </c>
      <c r="H37" s="35">
        <v>0.18541911476694101</v>
      </c>
      <c r="I37" s="34">
        <v>3783600</v>
      </c>
      <c r="J37" s="35">
        <v>0.184642457761135</v>
      </c>
      <c r="K37" s="34">
        <v>4236000</v>
      </c>
      <c r="L37" s="35">
        <v>0.19906950514591901</v>
      </c>
      <c r="M37" s="34">
        <v>4452000</v>
      </c>
      <c r="N37" s="35">
        <v>0.199489178653045</v>
      </c>
      <c r="O37" s="34">
        <v>4341000</v>
      </c>
      <c r="P37" s="35">
        <v>0.18352075758856901</v>
      </c>
      <c r="Q37" s="34">
        <v>4759000</v>
      </c>
      <c r="R37" s="35">
        <v>0.186218500547817</v>
      </c>
      <c r="S37" s="34">
        <v>4999000</v>
      </c>
      <c r="T37" s="35">
        <v>0.18211293260473599</v>
      </c>
      <c r="U37" s="34">
        <v>4936000</v>
      </c>
      <c r="V37" s="35">
        <v>0.18236228617874201</v>
      </c>
      <c r="W37" s="34">
        <v>4655000</v>
      </c>
      <c r="X37" s="35">
        <v>0.183311018350792</v>
      </c>
      <c r="Y37" s="34">
        <v>4410000</v>
      </c>
      <c r="Z37" s="35">
        <v>0.18157862230823099</v>
      </c>
    </row>
    <row r="38" spans="1:26" x14ac:dyDescent="0.25">
      <c r="A38" s="10" t="s">
        <v>1254</v>
      </c>
      <c r="B38" s="10"/>
      <c r="C38" s="34">
        <v>2544000</v>
      </c>
      <c r="D38" s="35">
        <v>0.15176722915992499</v>
      </c>
      <c r="E38" s="34">
        <v>2156000</v>
      </c>
      <c r="F38" s="35">
        <v>0.121928005245393</v>
      </c>
      <c r="G38" s="34">
        <v>2379000</v>
      </c>
      <c r="H38" s="35">
        <v>0.11648061104582801</v>
      </c>
      <c r="I38" s="34">
        <v>2246089</v>
      </c>
      <c r="J38" s="35">
        <v>0.109610792184758</v>
      </c>
      <c r="K38" s="34">
        <v>4236000</v>
      </c>
      <c r="L38" s="35">
        <v>0.19906950514591901</v>
      </c>
      <c r="M38" s="34">
        <v>4452000</v>
      </c>
      <c r="N38" s="35">
        <v>0.199489178653045</v>
      </c>
      <c r="O38" s="34">
        <v>4341000</v>
      </c>
      <c r="P38" s="35">
        <v>0.18352075758856901</v>
      </c>
      <c r="Q38" s="34">
        <v>4759000</v>
      </c>
      <c r="R38" s="35">
        <v>0.186218500547817</v>
      </c>
      <c r="S38" s="34">
        <v>4999000</v>
      </c>
      <c r="T38" s="35">
        <v>0.18211293260473599</v>
      </c>
      <c r="U38" s="34">
        <v>2783000</v>
      </c>
      <c r="V38" s="35">
        <v>0.10281893080134499</v>
      </c>
      <c r="W38" s="34">
        <v>2469000</v>
      </c>
      <c r="X38" s="35">
        <v>9.7227691580688405E-2</v>
      </c>
      <c r="Y38" s="34">
        <v>4410000</v>
      </c>
      <c r="Z38" s="35">
        <v>0.18157862230823099</v>
      </c>
    </row>
    <row r="39" spans="1:26" x14ac:dyDescent="0.25">
      <c r="A39" s="10" t="s">
        <v>1255</v>
      </c>
      <c r="B39" s="10"/>
      <c r="C39" s="34">
        <v>0</v>
      </c>
      <c r="D39" s="35"/>
      <c r="E39" s="34">
        <v>579000</v>
      </c>
      <c r="F39" s="35">
        <v>3.2744116436494601E-2</v>
      </c>
      <c r="G39" s="34">
        <v>745000</v>
      </c>
      <c r="H39" s="35">
        <v>3.6476694085389699E-2</v>
      </c>
      <c r="I39" s="34">
        <v>853957</v>
      </c>
      <c r="J39" s="35">
        <v>4.16737285395722E-2</v>
      </c>
      <c r="K39" s="34" t="s">
        <v>198</v>
      </c>
      <c r="L39" s="35"/>
      <c r="M39" s="34" t="s">
        <v>198</v>
      </c>
      <c r="N39" s="35"/>
      <c r="O39" s="34" t="s">
        <v>198</v>
      </c>
      <c r="P39" s="35"/>
      <c r="Q39" s="34" t="s">
        <v>198</v>
      </c>
      <c r="R39" s="35"/>
      <c r="S39" s="34" t="s">
        <v>198</v>
      </c>
      <c r="T39" s="35"/>
      <c r="U39" s="34">
        <v>1105000</v>
      </c>
      <c r="V39" s="35">
        <v>4.08246203864484E-2</v>
      </c>
      <c r="W39" s="34">
        <v>1175000</v>
      </c>
      <c r="X39" s="35">
        <v>4.6270772623454401E-2</v>
      </c>
      <c r="Y39" s="34" t="s">
        <v>198</v>
      </c>
      <c r="Z39" s="35"/>
    </row>
    <row r="40" spans="1:26" x14ac:dyDescent="0.25">
      <c r="A40" s="10" t="s">
        <v>1256</v>
      </c>
      <c r="B40" s="10"/>
      <c r="C40" s="34">
        <v>482000</v>
      </c>
      <c r="D40" s="35">
        <v>2.87546401159922E-2</v>
      </c>
      <c r="E40" s="34">
        <v>553000</v>
      </c>
      <c r="F40" s="35">
        <v>3.1273741605149397E-2</v>
      </c>
      <c r="G40" s="34">
        <v>663000</v>
      </c>
      <c r="H40" s="35">
        <v>3.2461809635722698E-2</v>
      </c>
      <c r="I40" s="34">
        <v>683554</v>
      </c>
      <c r="J40" s="35">
        <v>3.3357937036804799E-2</v>
      </c>
      <c r="K40" s="34" t="s">
        <v>198</v>
      </c>
      <c r="L40" s="35"/>
      <c r="M40" s="34" t="s">
        <v>198</v>
      </c>
      <c r="N40" s="35"/>
      <c r="O40" s="34" t="s">
        <v>198</v>
      </c>
      <c r="P40" s="35"/>
      <c r="Q40" s="34" t="s">
        <v>198</v>
      </c>
      <c r="R40" s="35"/>
      <c r="S40" s="34" t="s">
        <v>198</v>
      </c>
      <c r="T40" s="35"/>
      <c r="U40" s="34">
        <v>1048000</v>
      </c>
      <c r="V40" s="35">
        <v>3.8718734990948397E-2</v>
      </c>
      <c r="W40" s="34">
        <v>1011000</v>
      </c>
      <c r="X40" s="35">
        <v>3.9812554146648797E-2</v>
      </c>
      <c r="Y40" s="34" t="s">
        <v>198</v>
      </c>
      <c r="Z40" s="35"/>
    </row>
    <row r="41" spans="1:26" x14ac:dyDescent="0.25">
      <c r="A41" s="10" t="s">
        <v>1257</v>
      </c>
      <c r="B41" s="10"/>
      <c r="C41" s="34">
        <v>1996000</v>
      </c>
      <c r="D41" s="35">
        <v>0.119075231683652</v>
      </c>
      <c r="E41" s="34">
        <v>2389000</v>
      </c>
      <c r="F41" s="35">
        <v>0.135104825849371</v>
      </c>
      <c r="G41" s="34">
        <v>2758000</v>
      </c>
      <c r="H41" s="35">
        <v>0.135037211124168</v>
      </c>
      <c r="I41" s="34">
        <v>2669042</v>
      </c>
      <c r="J41" s="35">
        <v>0.13025120909919</v>
      </c>
      <c r="K41" s="34">
        <v>2808000</v>
      </c>
      <c r="L41" s="35">
        <v>0.13196108839701101</v>
      </c>
      <c r="M41" s="34">
        <v>3067000</v>
      </c>
      <c r="N41" s="35">
        <v>0.13742886588699199</v>
      </c>
      <c r="O41" s="34">
        <v>4940000</v>
      </c>
      <c r="P41" s="35">
        <v>0.20884417011921899</v>
      </c>
      <c r="Q41" s="34">
        <v>4878000</v>
      </c>
      <c r="R41" s="35">
        <v>0.190874941305369</v>
      </c>
      <c r="S41" s="34">
        <v>4617000</v>
      </c>
      <c r="T41" s="35">
        <v>0.16819672131147501</v>
      </c>
      <c r="U41" s="34">
        <v>3958000</v>
      </c>
      <c r="V41" s="35">
        <v>0.14622972623489899</v>
      </c>
      <c r="W41" s="34">
        <v>3430000</v>
      </c>
      <c r="X41" s="35">
        <v>0.135071276679531</v>
      </c>
      <c r="Y41" s="34">
        <v>3144000</v>
      </c>
      <c r="Z41" s="35">
        <v>0.129451970189813</v>
      </c>
    </row>
    <row r="42" spans="1:26" x14ac:dyDescent="0.25">
      <c r="A42" s="10" t="s">
        <v>1258</v>
      </c>
      <c r="B42" s="10"/>
      <c r="C42" s="34">
        <v>3448000</v>
      </c>
      <c r="D42" s="35">
        <v>0.20569709360983601</v>
      </c>
      <c r="E42" s="34">
        <v>3530000</v>
      </c>
      <c r="F42" s="35">
        <v>0.199631659794172</v>
      </c>
      <c r="G42" s="34">
        <v>3824000</v>
      </c>
      <c r="H42" s="35">
        <v>0.18723070896983901</v>
      </c>
      <c r="I42" s="34">
        <v>4284601</v>
      </c>
      <c r="J42" s="35">
        <v>0.209091674375149</v>
      </c>
      <c r="K42" s="34">
        <v>4274000</v>
      </c>
      <c r="L42" s="35">
        <v>0.20085530335072099</v>
      </c>
      <c r="M42" s="34">
        <v>3929000</v>
      </c>
      <c r="N42" s="35">
        <v>0.176054129139221</v>
      </c>
      <c r="O42" s="34">
        <v>3364000</v>
      </c>
      <c r="P42" s="35">
        <v>0.14221696119049601</v>
      </c>
      <c r="Q42" s="34">
        <v>3480000</v>
      </c>
      <c r="R42" s="35">
        <v>0.136171544842698</v>
      </c>
      <c r="S42" s="34">
        <v>3215000</v>
      </c>
      <c r="T42" s="35">
        <v>0.11712204007286001</v>
      </c>
      <c r="U42" s="34">
        <v>2860000</v>
      </c>
      <c r="V42" s="35">
        <v>0.105663723353161</v>
      </c>
      <c r="W42" s="34">
        <v>2784000</v>
      </c>
      <c r="X42" s="35">
        <v>0.10963219658187</v>
      </c>
      <c r="Y42" s="34">
        <v>2477000</v>
      </c>
      <c r="Z42" s="35">
        <v>0.10198871824432799</v>
      </c>
    </row>
    <row r="43" spans="1:26" x14ac:dyDescent="0.25">
      <c r="A43" s="10" t="s">
        <v>1259</v>
      </c>
      <c r="B43" s="10"/>
      <c r="C43" s="34">
        <v>512</v>
      </c>
      <c r="D43" s="35">
        <v>3.0544348007029001E-5</v>
      </c>
      <c r="E43" s="34">
        <v>566</v>
      </c>
      <c r="F43" s="35">
        <v>3.2008929020821998E-5</v>
      </c>
      <c r="G43" s="34">
        <v>631000</v>
      </c>
      <c r="H43" s="35">
        <v>3.0895025460242899E-2</v>
      </c>
      <c r="I43" s="34" t="s">
        <v>198</v>
      </c>
      <c r="J43" s="35"/>
      <c r="K43" s="34" t="s">
        <v>198</v>
      </c>
      <c r="L43" s="35"/>
      <c r="M43" s="34" t="s">
        <v>198</v>
      </c>
      <c r="N43" s="35"/>
      <c r="O43" s="34" t="s">
        <v>198</v>
      </c>
      <c r="P43" s="35"/>
      <c r="Q43" s="34" t="s">
        <v>198</v>
      </c>
      <c r="R43" s="35"/>
      <c r="S43" s="34" t="s">
        <v>198</v>
      </c>
      <c r="T43" s="35"/>
      <c r="U43" s="34" t="s">
        <v>198</v>
      </c>
      <c r="V43" s="35"/>
      <c r="W43" s="34" t="s">
        <v>198</v>
      </c>
      <c r="X43" s="35"/>
      <c r="Y43" s="34" t="s">
        <v>198</v>
      </c>
      <c r="Z43" s="35"/>
    </row>
    <row r="44" spans="1:26" x14ac:dyDescent="0.25">
      <c r="A44" s="10" t="s">
        <v>1260</v>
      </c>
      <c r="B44" s="10"/>
      <c r="C44" s="34" t="s">
        <v>198</v>
      </c>
      <c r="D44" s="35"/>
      <c r="E44" s="34">
        <v>5919566</v>
      </c>
      <c r="F44" s="35">
        <v>0.33476849457256402</v>
      </c>
      <c r="G44" s="34" t="s">
        <v>198</v>
      </c>
      <c r="H44" s="35"/>
      <c r="I44" s="34" t="s">
        <v>198</v>
      </c>
      <c r="J44" s="35"/>
      <c r="K44" s="34" t="s">
        <v>198</v>
      </c>
      <c r="L44" s="35"/>
      <c r="M44" s="34" t="s">
        <v>198</v>
      </c>
      <c r="N44" s="35"/>
      <c r="O44" s="34" t="s">
        <v>198</v>
      </c>
      <c r="P44" s="35"/>
      <c r="Q44" s="34" t="s">
        <v>198</v>
      </c>
      <c r="R44" s="35"/>
      <c r="S44" s="34" t="s">
        <v>198</v>
      </c>
      <c r="T44" s="35"/>
      <c r="U44" s="34" t="s">
        <v>198</v>
      </c>
      <c r="V44" s="35"/>
      <c r="W44" s="34" t="s">
        <v>198</v>
      </c>
      <c r="X44" s="35"/>
      <c r="Y44" s="34" t="s">
        <v>198</v>
      </c>
      <c r="Z44" s="35"/>
    </row>
    <row r="45" spans="1:26" x14ac:dyDescent="0.25">
      <c r="A45" s="6" t="s">
        <v>1266</v>
      </c>
      <c r="B45" s="6"/>
      <c r="C45" s="38" t="s">
        <v>198</v>
      </c>
      <c r="D45" s="39"/>
      <c r="E45" s="38" t="s">
        <v>198</v>
      </c>
      <c r="F45" s="39"/>
      <c r="G45" s="38" t="s">
        <v>198</v>
      </c>
      <c r="H45" s="39"/>
      <c r="I45" s="38" t="s">
        <v>198</v>
      </c>
      <c r="J45" s="39"/>
      <c r="K45" s="38" t="s">
        <v>198</v>
      </c>
      <c r="L45" s="39"/>
      <c r="M45" s="38" t="s">
        <v>198</v>
      </c>
      <c r="N45" s="39"/>
      <c r="O45" s="38" t="s">
        <v>198</v>
      </c>
      <c r="P45" s="39"/>
      <c r="Q45" s="38" t="s">
        <v>198</v>
      </c>
      <c r="R45" s="39"/>
      <c r="S45" s="38" t="s">
        <v>198</v>
      </c>
      <c r="T45" s="39"/>
      <c r="U45" s="38" t="s">
        <v>198</v>
      </c>
      <c r="V45" s="39"/>
      <c r="W45" s="38" t="s">
        <v>198</v>
      </c>
      <c r="X45" s="39"/>
      <c r="Y45" s="38" t="s">
        <v>198</v>
      </c>
      <c r="Z45" s="39"/>
    </row>
    <row r="46" spans="1:26" x14ac:dyDescent="0.25">
      <c r="A46" s="10" t="s">
        <v>1262</v>
      </c>
      <c r="B46" s="10"/>
      <c r="C46" s="34" t="s">
        <v>198</v>
      </c>
      <c r="D46" s="35"/>
      <c r="E46" s="34" t="s">
        <v>198</v>
      </c>
      <c r="F46" s="35"/>
      <c r="G46" s="34" t="s">
        <v>198</v>
      </c>
      <c r="H46" s="35"/>
      <c r="I46" s="34" t="s">
        <v>198</v>
      </c>
      <c r="J46" s="35"/>
      <c r="K46" s="34">
        <v>23.3</v>
      </c>
      <c r="L46" s="35"/>
      <c r="M46" s="34">
        <v>25</v>
      </c>
      <c r="N46" s="35"/>
      <c r="O46" s="34">
        <v>26</v>
      </c>
      <c r="P46" s="35"/>
      <c r="Q46" s="34">
        <v>30</v>
      </c>
      <c r="R46" s="35"/>
      <c r="S46" s="34">
        <v>33.5</v>
      </c>
      <c r="T46" s="35"/>
      <c r="U46" s="34">
        <v>35.799999999999997</v>
      </c>
      <c r="V46" s="35"/>
      <c r="W46" s="34">
        <v>38.1</v>
      </c>
      <c r="X46" s="35"/>
      <c r="Y46" s="34">
        <v>38.1</v>
      </c>
      <c r="Z46" s="35"/>
    </row>
    <row r="47" spans="1:26" x14ac:dyDescent="0.25">
      <c r="A47" s="10" t="s">
        <v>1263</v>
      </c>
      <c r="B47" s="10"/>
      <c r="C47" s="34" t="s">
        <v>198</v>
      </c>
      <c r="D47" s="35"/>
      <c r="E47" s="34" t="s">
        <v>198</v>
      </c>
      <c r="F47" s="35"/>
      <c r="G47" s="34" t="s">
        <v>198</v>
      </c>
      <c r="H47" s="35"/>
      <c r="I47" s="34" t="s">
        <v>198</v>
      </c>
      <c r="J47" s="35"/>
      <c r="K47" s="34">
        <v>34.1</v>
      </c>
      <c r="L47" s="35"/>
      <c r="M47" s="34">
        <v>36</v>
      </c>
      <c r="N47" s="35"/>
      <c r="O47" s="34">
        <v>36</v>
      </c>
      <c r="P47" s="35"/>
      <c r="Q47" s="34">
        <v>34</v>
      </c>
      <c r="R47" s="35"/>
      <c r="S47" s="34">
        <v>35.200000000000003</v>
      </c>
      <c r="T47" s="35"/>
      <c r="U47" s="34">
        <v>35.700000000000003</v>
      </c>
      <c r="V47" s="35"/>
      <c r="W47" s="34">
        <v>33.6</v>
      </c>
      <c r="X47" s="35"/>
      <c r="Y47" s="34">
        <v>34.4</v>
      </c>
      <c r="Z47" s="35"/>
    </row>
    <row r="48" spans="1:26" x14ac:dyDescent="0.25">
      <c r="A48" s="10" t="s">
        <v>1253</v>
      </c>
      <c r="B48" s="10"/>
      <c r="C48" s="34" t="s">
        <v>198</v>
      </c>
      <c r="D48" s="35"/>
      <c r="E48" s="34" t="s">
        <v>198</v>
      </c>
      <c r="F48" s="35"/>
      <c r="G48" s="34" t="s">
        <v>198</v>
      </c>
      <c r="H48" s="35"/>
      <c r="I48" s="34" t="s">
        <v>198</v>
      </c>
      <c r="J48" s="35"/>
      <c r="K48" s="34">
        <v>23.4</v>
      </c>
      <c r="L48" s="35"/>
      <c r="M48" s="34">
        <v>23</v>
      </c>
      <c r="N48" s="35"/>
      <c r="O48" s="34">
        <v>21</v>
      </c>
      <c r="P48" s="35"/>
      <c r="Q48" s="34">
        <v>22</v>
      </c>
      <c r="R48" s="35"/>
      <c r="S48" s="34">
        <v>20.6</v>
      </c>
      <c r="T48" s="35"/>
      <c r="U48" s="34">
        <v>19.5</v>
      </c>
      <c r="V48" s="35"/>
      <c r="W48" s="34">
        <v>21.9</v>
      </c>
      <c r="X48" s="35"/>
      <c r="Y48" s="34">
        <v>19.100000000000001</v>
      </c>
      <c r="Z48" s="35"/>
    </row>
    <row r="49" spans="1:26" x14ac:dyDescent="0.25">
      <c r="A49" s="10" t="s">
        <v>1257</v>
      </c>
      <c r="B49" s="10"/>
      <c r="C49" s="34" t="s">
        <v>198</v>
      </c>
      <c r="D49" s="35"/>
      <c r="E49" s="34" t="s">
        <v>198</v>
      </c>
      <c r="F49" s="35"/>
      <c r="G49" s="34" t="s">
        <v>198</v>
      </c>
      <c r="H49" s="35"/>
      <c r="I49" s="34" t="s">
        <v>198</v>
      </c>
      <c r="J49" s="35"/>
      <c r="K49" s="34">
        <v>8.1999999999999993</v>
      </c>
      <c r="L49" s="35"/>
      <c r="M49" s="34">
        <v>8</v>
      </c>
      <c r="N49" s="35"/>
      <c r="O49" s="34">
        <v>13</v>
      </c>
      <c r="P49" s="35"/>
      <c r="Q49" s="34">
        <v>11</v>
      </c>
      <c r="R49" s="35"/>
      <c r="S49" s="34">
        <v>8</v>
      </c>
      <c r="T49" s="35"/>
      <c r="U49" s="34">
        <v>6.3</v>
      </c>
      <c r="V49" s="35"/>
      <c r="W49" s="34">
        <v>3.8</v>
      </c>
      <c r="X49" s="35"/>
      <c r="Y49" s="34">
        <v>5.7</v>
      </c>
      <c r="Z49" s="35"/>
    </row>
    <row r="50" spans="1:26" x14ac:dyDescent="0.25">
      <c r="A50" s="10" t="s">
        <v>1258</v>
      </c>
      <c r="B50" s="10"/>
      <c r="C50" s="34" t="s">
        <v>198</v>
      </c>
      <c r="D50" s="35"/>
      <c r="E50" s="34" t="s">
        <v>198</v>
      </c>
      <c r="F50" s="35"/>
      <c r="G50" s="34" t="s">
        <v>198</v>
      </c>
      <c r="H50" s="35"/>
      <c r="I50" s="34" t="s">
        <v>198</v>
      </c>
      <c r="J50" s="35"/>
      <c r="K50" s="34">
        <v>11</v>
      </c>
      <c r="L50" s="35"/>
      <c r="M50" s="34">
        <v>8</v>
      </c>
      <c r="N50" s="35"/>
      <c r="O50" s="34">
        <v>4</v>
      </c>
      <c r="P50" s="35"/>
      <c r="Q50" s="34">
        <v>4</v>
      </c>
      <c r="R50" s="35"/>
      <c r="S50" s="34">
        <v>2.7</v>
      </c>
      <c r="T50" s="35"/>
      <c r="U50" s="34">
        <v>2.8</v>
      </c>
      <c r="V50" s="35"/>
      <c r="W50" s="34">
        <v>2.6</v>
      </c>
      <c r="X50" s="35"/>
      <c r="Y50" s="34">
        <v>2.7</v>
      </c>
      <c r="Z50" s="35"/>
    </row>
    <row r="51" spans="1:26" x14ac:dyDescent="0.25">
      <c r="A51" s="6" t="s">
        <v>1267</v>
      </c>
      <c r="B51" s="6"/>
      <c r="C51" s="38" t="s">
        <v>198</v>
      </c>
      <c r="D51" s="39"/>
      <c r="E51" s="38" t="s">
        <v>198</v>
      </c>
      <c r="F51" s="39"/>
      <c r="G51" s="38" t="s">
        <v>198</v>
      </c>
      <c r="H51" s="39"/>
      <c r="I51" s="38" t="s">
        <v>198</v>
      </c>
      <c r="J51" s="39"/>
      <c r="K51" s="38" t="s">
        <v>198</v>
      </c>
      <c r="L51" s="39"/>
      <c r="M51" s="38" t="s">
        <v>198</v>
      </c>
      <c r="N51" s="39"/>
      <c r="O51" s="38" t="s">
        <v>198</v>
      </c>
      <c r="P51" s="39"/>
      <c r="Q51" s="38" t="s">
        <v>198</v>
      </c>
      <c r="R51" s="39"/>
      <c r="S51" s="38" t="s">
        <v>198</v>
      </c>
      <c r="T51" s="39"/>
      <c r="U51" s="38" t="s">
        <v>198</v>
      </c>
      <c r="V51" s="39"/>
      <c r="W51" s="38" t="s">
        <v>198</v>
      </c>
      <c r="X51" s="39"/>
      <c r="Y51" s="38" t="s">
        <v>198</v>
      </c>
      <c r="Z51" s="39"/>
    </row>
    <row r="52" spans="1:26" x14ac:dyDescent="0.25">
      <c r="A52" s="10" t="s">
        <v>1263</v>
      </c>
      <c r="B52" s="10"/>
      <c r="C52" s="34">
        <v>5.5</v>
      </c>
      <c r="D52" s="35"/>
      <c r="E52" s="34">
        <v>2.6</v>
      </c>
      <c r="F52" s="35"/>
      <c r="G52" s="34">
        <v>11.2</v>
      </c>
      <c r="H52" s="35"/>
      <c r="I52" s="34" t="s">
        <v>198</v>
      </c>
      <c r="J52" s="35"/>
      <c r="K52" s="34">
        <v>34.1</v>
      </c>
      <c r="L52" s="35"/>
      <c r="M52" s="34">
        <v>33</v>
      </c>
      <c r="N52" s="35"/>
      <c r="O52" s="34">
        <v>31</v>
      </c>
      <c r="P52" s="35"/>
      <c r="Q52" s="34">
        <v>31</v>
      </c>
      <c r="R52" s="35"/>
      <c r="S52" s="34">
        <v>33.4</v>
      </c>
      <c r="T52" s="35"/>
      <c r="U52" s="34">
        <v>35</v>
      </c>
      <c r="V52" s="35"/>
      <c r="W52" s="34">
        <v>34.9</v>
      </c>
      <c r="X52" s="35"/>
      <c r="Y52" s="34">
        <v>35.299999999999997</v>
      </c>
      <c r="Z52" s="35"/>
    </row>
    <row r="53" spans="1:26" x14ac:dyDescent="0.25">
      <c r="A53" s="10" t="s">
        <v>1262</v>
      </c>
      <c r="B53" s="10"/>
      <c r="C53" s="34">
        <v>9.3000000000000007</v>
      </c>
      <c r="D53" s="35"/>
      <c r="E53" s="34">
        <v>-0.7</v>
      </c>
      <c r="F53" s="35"/>
      <c r="G53" s="34">
        <v>13.2</v>
      </c>
      <c r="H53" s="35"/>
      <c r="I53" s="34" t="s">
        <v>198</v>
      </c>
      <c r="J53" s="35"/>
      <c r="K53" s="34">
        <v>23.3</v>
      </c>
      <c r="L53" s="35"/>
      <c r="M53" s="34">
        <v>16</v>
      </c>
      <c r="N53" s="35"/>
      <c r="O53" s="34">
        <v>16</v>
      </c>
      <c r="P53" s="35"/>
      <c r="Q53" s="34">
        <v>18</v>
      </c>
      <c r="R53" s="35"/>
      <c r="S53" s="34">
        <v>19.8</v>
      </c>
      <c r="T53" s="35"/>
      <c r="U53" s="34">
        <v>21.6</v>
      </c>
      <c r="V53" s="35"/>
      <c r="W53" s="34">
        <v>22.3</v>
      </c>
      <c r="X53" s="35"/>
      <c r="Y53" s="34">
        <v>23.4</v>
      </c>
      <c r="Z53" s="35"/>
    </row>
    <row r="54" spans="1:26" x14ac:dyDescent="0.25">
      <c r="A54" s="10" t="s">
        <v>1253</v>
      </c>
      <c r="B54" s="10"/>
      <c r="C54" s="34">
        <v>6.3</v>
      </c>
      <c r="D54" s="35"/>
      <c r="E54" s="34">
        <v>8.6999999999999993</v>
      </c>
      <c r="F54" s="35"/>
      <c r="G54" s="34" t="s">
        <v>198</v>
      </c>
      <c r="H54" s="35"/>
      <c r="I54" s="34" t="s">
        <v>198</v>
      </c>
      <c r="J54" s="35"/>
      <c r="K54" s="34">
        <v>23.4</v>
      </c>
      <c r="L54" s="35"/>
      <c r="M54" s="34">
        <v>20</v>
      </c>
      <c r="N54" s="35"/>
      <c r="O54" s="34">
        <v>18</v>
      </c>
      <c r="P54" s="35"/>
      <c r="Q54" s="34">
        <v>19</v>
      </c>
      <c r="R54" s="35"/>
      <c r="S54" s="34">
        <v>18.2</v>
      </c>
      <c r="T54" s="35"/>
      <c r="U54" s="34">
        <v>18.2</v>
      </c>
      <c r="V54" s="35"/>
      <c r="W54" s="34">
        <v>18.3</v>
      </c>
      <c r="X54" s="35"/>
      <c r="Y54" s="34">
        <v>18.2</v>
      </c>
      <c r="Z54" s="35"/>
    </row>
    <row r="55" spans="1:26" x14ac:dyDescent="0.25">
      <c r="A55" s="10" t="s">
        <v>1254</v>
      </c>
      <c r="B55" s="10"/>
      <c r="C55" s="34">
        <v>1.6</v>
      </c>
      <c r="D55" s="35"/>
      <c r="E55" s="34">
        <v>-15.2</v>
      </c>
      <c r="F55" s="35"/>
      <c r="G55" s="34">
        <v>10.4</v>
      </c>
      <c r="H55" s="35"/>
      <c r="I55" s="34" t="s">
        <v>198</v>
      </c>
      <c r="J55" s="35"/>
      <c r="K55" s="34" t="s">
        <v>198</v>
      </c>
      <c r="L55" s="35"/>
      <c r="M55" s="34" t="s">
        <v>198</v>
      </c>
      <c r="N55" s="35"/>
      <c r="O55" s="34" t="s">
        <v>198</v>
      </c>
      <c r="P55" s="35"/>
      <c r="Q55" s="34" t="s">
        <v>198</v>
      </c>
      <c r="R55" s="35"/>
      <c r="S55" s="34" t="s">
        <v>198</v>
      </c>
      <c r="T55" s="35"/>
      <c r="U55" s="34" t="s">
        <v>198</v>
      </c>
      <c r="V55" s="35"/>
      <c r="W55" s="34" t="s">
        <v>198</v>
      </c>
      <c r="X55" s="35"/>
      <c r="Y55" s="34">
        <v>18.2</v>
      </c>
      <c r="Z55" s="35"/>
    </row>
    <row r="56" spans="1:26" x14ac:dyDescent="0.25">
      <c r="A56" s="10" t="s">
        <v>1257</v>
      </c>
      <c r="B56" s="10"/>
      <c r="C56" s="34">
        <v>96.9</v>
      </c>
      <c r="D56" s="35"/>
      <c r="E56" s="34">
        <v>19.7</v>
      </c>
      <c r="F56" s="35"/>
      <c r="G56" s="34">
        <v>15.4</v>
      </c>
      <c r="H56" s="35"/>
      <c r="I56" s="34" t="s">
        <v>198</v>
      </c>
      <c r="J56" s="35"/>
      <c r="K56" s="34">
        <v>8.1999999999999993</v>
      </c>
      <c r="L56" s="35"/>
      <c r="M56" s="34">
        <v>14</v>
      </c>
      <c r="N56" s="35"/>
      <c r="O56" s="34">
        <v>21</v>
      </c>
      <c r="P56" s="35"/>
      <c r="Q56" s="34">
        <v>19</v>
      </c>
      <c r="R56" s="35"/>
      <c r="S56" s="34">
        <v>16.8</v>
      </c>
      <c r="T56" s="35"/>
      <c r="U56" s="34">
        <v>14.6</v>
      </c>
      <c r="V56" s="35"/>
      <c r="W56" s="34">
        <v>13.5</v>
      </c>
      <c r="X56" s="35"/>
      <c r="Y56" s="34">
        <v>12.9</v>
      </c>
      <c r="Z56" s="35"/>
    </row>
    <row r="57" spans="1:26" x14ac:dyDescent="0.25">
      <c r="A57" s="10" t="s">
        <v>1258</v>
      </c>
      <c r="B57" s="10"/>
      <c r="C57" s="34">
        <v>74.5</v>
      </c>
      <c r="D57" s="35"/>
      <c r="E57" s="34">
        <v>2.4</v>
      </c>
      <c r="F57" s="35"/>
      <c r="G57" s="34">
        <v>8.3000000000000007</v>
      </c>
      <c r="H57" s="35"/>
      <c r="I57" s="34" t="s">
        <v>198</v>
      </c>
      <c r="J57" s="35"/>
      <c r="K57" s="34">
        <v>11</v>
      </c>
      <c r="L57" s="35"/>
      <c r="M57" s="34">
        <v>17</v>
      </c>
      <c r="N57" s="35"/>
      <c r="O57" s="34">
        <v>14</v>
      </c>
      <c r="P57" s="35"/>
      <c r="Q57" s="34">
        <v>14</v>
      </c>
      <c r="R57" s="35"/>
      <c r="S57" s="34">
        <v>11.7</v>
      </c>
      <c r="T57" s="35"/>
      <c r="U57" s="34">
        <v>10.6</v>
      </c>
      <c r="V57" s="35"/>
      <c r="W57" s="34">
        <v>11</v>
      </c>
      <c r="X57" s="35"/>
      <c r="Y57" s="34">
        <v>10.199999999999999</v>
      </c>
      <c r="Z57" s="35"/>
    </row>
    <row r="58" spans="1:26" x14ac:dyDescent="0.25">
      <c r="A58" s="10" t="s">
        <v>1259</v>
      </c>
      <c r="B58" s="10"/>
      <c r="C58" s="34">
        <v>72.8</v>
      </c>
      <c r="D58" s="35"/>
      <c r="E58" s="34">
        <v>8.9</v>
      </c>
      <c r="F58" s="35"/>
      <c r="G58" s="34">
        <v>11.5</v>
      </c>
      <c r="H58" s="35"/>
      <c r="I58" s="34" t="s">
        <v>198</v>
      </c>
      <c r="J58" s="35"/>
      <c r="K58" s="34" t="s">
        <v>198</v>
      </c>
      <c r="L58" s="35"/>
      <c r="M58" s="34" t="s">
        <v>198</v>
      </c>
      <c r="N58" s="35"/>
      <c r="O58" s="34" t="s">
        <v>198</v>
      </c>
      <c r="P58" s="35"/>
      <c r="Q58" s="34" t="s">
        <v>198</v>
      </c>
      <c r="R58" s="35"/>
      <c r="S58" s="34" t="s">
        <v>198</v>
      </c>
      <c r="T58" s="35"/>
      <c r="U58" s="34" t="s">
        <v>198</v>
      </c>
      <c r="V58" s="35"/>
      <c r="W58" s="34" t="s">
        <v>198</v>
      </c>
      <c r="X58" s="35"/>
      <c r="Y58" s="34" t="s">
        <v>198</v>
      </c>
      <c r="Z58" s="35"/>
    </row>
    <row r="59" spans="1:26" x14ac:dyDescent="0.25">
      <c r="A59" s="10" t="s">
        <v>1249</v>
      </c>
      <c r="B59" s="10"/>
      <c r="C59" s="34">
        <v>4.7</v>
      </c>
      <c r="D59" s="35"/>
      <c r="E59" s="34">
        <v>2.2000000000000002</v>
      </c>
      <c r="F59" s="35"/>
      <c r="G59" s="34">
        <v>11.2</v>
      </c>
      <c r="H59" s="35"/>
      <c r="I59" s="34" t="s">
        <v>198</v>
      </c>
      <c r="J59" s="35"/>
      <c r="K59" s="34" t="s">
        <v>198</v>
      </c>
      <c r="L59" s="35"/>
      <c r="M59" s="34" t="s">
        <v>198</v>
      </c>
      <c r="N59" s="35"/>
      <c r="O59" s="34" t="s">
        <v>198</v>
      </c>
      <c r="P59" s="35"/>
      <c r="Q59" s="34" t="s">
        <v>198</v>
      </c>
      <c r="R59" s="35"/>
      <c r="S59" s="34" t="s">
        <v>198</v>
      </c>
      <c r="T59" s="35"/>
      <c r="U59" s="34" t="s">
        <v>198</v>
      </c>
      <c r="V59" s="35"/>
      <c r="W59" s="34" t="s">
        <v>198</v>
      </c>
      <c r="X59" s="35"/>
      <c r="Y59" s="34" t="s">
        <v>198</v>
      </c>
      <c r="Z59" s="35"/>
    </row>
    <row r="60" spans="1:26" x14ac:dyDescent="0.25">
      <c r="A60" s="10" t="s">
        <v>1252</v>
      </c>
      <c r="B60" s="10"/>
      <c r="C60" s="34">
        <v>-4.9000000000000004</v>
      </c>
      <c r="D60" s="35"/>
      <c r="E60" s="34">
        <v>4.0999999999999996</v>
      </c>
      <c r="F60" s="35"/>
      <c r="G60" s="34">
        <v>8.8000000000000007</v>
      </c>
      <c r="H60" s="35"/>
      <c r="I60" s="34" t="s">
        <v>198</v>
      </c>
      <c r="J60" s="35"/>
      <c r="K60" s="34" t="s">
        <v>198</v>
      </c>
      <c r="L60" s="35"/>
      <c r="M60" s="34" t="s">
        <v>198</v>
      </c>
      <c r="N60" s="35"/>
      <c r="O60" s="34" t="s">
        <v>198</v>
      </c>
      <c r="P60" s="35"/>
      <c r="Q60" s="34" t="s">
        <v>198</v>
      </c>
      <c r="R60" s="35"/>
      <c r="S60" s="34" t="s">
        <v>198</v>
      </c>
      <c r="T60" s="35"/>
      <c r="U60" s="34" t="s">
        <v>198</v>
      </c>
      <c r="V60" s="35"/>
      <c r="W60" s="34" t="s">
        <v>198</v>
      </c>
      <c r="X60" s="35"/>
      <c r="Y60" s="34" t="s">
        <v>198</v>
      </c>
      <c r="Z60" s="35"/>
    </row>
    <row r="61" spans="1:26" x14ac:dyDescent="0.25">
      <c r="A61" s="10" t="s">
        <v>1260</v>
      </c>
      <c r="B61" s="10"/>
      <c r="C61" s="34" t="s">
        <v>198</v>
      </c>
      <c r="D61" s="35"/>
      <c r="E61" s="34">
        <v>8.9</v>
      </c>
      <c r="F61" s="35"/>
      <c r="G61" s="34" t="s">
        <v>198</v>
      </c>
      <c r="H61" s="35"/>
      <c r="I61" s="34" t="s">
        <v>198</v>
      </c>
      <c r="J61" s="35"/>
      <c r="K61" s="34" t="s">
        <v>198</v>
      </c>
      <c r="L61" s="35"/>
      <c r="M61" s="34" t="s">
        <v>198</v>
      </c>
      <c r="N61" s="35"/>
      <c r="O61" s="34" t="s">
        <v>198</v>
      </c>
      <c r="P61" s="35"/>
      <c r="Q61" s="34" t="s">
        <v>198</v>
      </c>
      <c r="R61" s="35"/>
      <c r="S61" s="34" t="s">
        <v>198</v>
      </c>
      <c r="T61" s="35"/>
      <c r="U61" s="34" t="s">
        <v>198</v>
      </c>
      <c r="V61" s="35"/>
      <c r="W61" s="34" t="s">
        <v>198</v>
      </c>
      <c r="X61" s="35"/>
      <c r="Y61" s="34" t="s">
        <v>198</v>
      </c>
      <c r="Z61" s="35"/>
    </row>
    <row r="62" spans="1:26" x14ac:dyDescent="0.25">
      <c r="A62" s="10" t="s">
        <v>1268</v>
      </c>
      <c r="B62" s="10"/>
      <c r="C62" s="34">
        <v>40.200000000000003</v>
      </c>
      <c r="D62" s="35"/>
      <c r="E62" s="34">
        <v>14.6</v>
      </c>
      <c r="F62" s="35"/>
      <c r="G62" s="34">
        <v>19.8</v>
      </c>
      <c r="H62" s="35"/>
      <c r="I62" s="34" t="s">
        <v>198</v>
      </c>
      <c r="J62" s="35"/>
      <c r="K62" s="34" t="s">
        <v>198</v>
      </c>
      <c r="L62" s="35"/>
      <c r="M62" s="34" t="s">
        <v>198</v>
      </c>
      <c r="N62" s="35"/>
      <c r="O62" s="34" t="s">
        <v>198</v>
      </c>
      <c r="P62" s="35"/>
      <c r="Q62" s="34" t="s">
        <v>198</v>
      </c>
      <c r="R62" s="35"/>
      <c r="S62" s="34" t="s">
        <v>198</v>
      </c>
      <c r="T62" s="35"/>
      <c r="U62" s="34" t="s">
        <v>198</v>
      </c>
      <c r="V62" s="35"/>
      <c r="W62" s="34" t="s">
        <v>198</v>
      </c>
      <c r="X62" s="35"/>
      <c r="Y62" s="34" t="s">
        <v>198</v>
      </c>
      <c r="Z62" s="35"/>
    </row>
    <row r="63" spans="1:26" x14ac:dyDescent="0.25">
      <c r="A63" s="10" t="s">
        <v>1269</v>
      </c>
      <c r="B63" s="10"/>
      <c r="C63" s="34">
        <v>0</v>
      </c>
      <c r="D63" s="35"/>
      <c r="E63" s="34">
        <v>0</v>
      </c>
      <c r="F63" s="35"/>
      <c r="G63" s="34">
        <v>28.6</v>
      </c>
      <c r="H63" s="35"/>
      <c r="I63" s="34" t="s">
        <v>198</v>
      </c>
      <c r="J63" s="35"/>
      <c r="K63" s="34" t="s">
        <v>198</v>
      </c>
      <c r="L63" s="35"/>
      <c r="M63" s="34" t="s">
        <v>198</v>
      </c>
      <c r="N63" s="35"/>
      <c r="O63" s="34" t="s">
        <v>198</v>
      </c>
      <c r="P63" s="35"/>
      <c r="Q63" s="34" t="s">
        <v>198</v>
      </c>
      <c r="R63" s="35"/>
      <c r="S63" s="34" t="s">
        <v>198</v>
      </c>
      <c r="T63" s="35"/>
      <c r="U63" s="34" t="s">
        <v>198</v>
      </c>
      <c r="V63" s="35"/>
      <c r="W63" s="34" t="s">
        <v>198</v>
      </c>
      <c r="X63" s="35"/>
      <c r="Y63" s="34" t="s">
        <v>198</v>
      </c>
      <c r="Z63" s="35"/>
    </row>
    <row r="64" spans="1:26" x14ac:dyDescent="0.25">
      <c r="A64" s="6" t="s">
        <v>1270</v>
      </c>
      <c r="B64" s="6"/>
      <c r="C64" s="38" t="s">
        <v>198</v>
      </c>
      <c r="D64" s="39"/>
      <c r="E64" s="38" t="s">
        <v>198</v>
      </c>
      <c r="F64" s="39"/>
      <c r="G64" s="38" t="s">
        <v>198</v>
      </c>
      <c r="H64" s="39"/>
      <c r="I64" s="38" t="s">
        <v>198</v>
      </c>
      <c r="J64" s="39"/>
      <c r="K64" s="38" t="s">
        <v>198</v>
      </c>
      <c r="L64" s="39"/>
      <c r="M64" s="38" t="s">
        <v>198</v>
      </c>
      <c r="N64" s="39"/>
      <c r="O64" s="38" t="s">
        <v>198</v>
      </c>
      <c r="P64" s="39"/>
      <c r="Q64" s="38" t="s">
        <v>198</v>
      </c>
      <c r="R64" s="39"/>
      <c r="S64" s="38" t="s">
        <v>198</v>
      </c>
      <c r="T64" s="39"/>
      <c r="U64" s="38">
        <v>100</v>
      </c>
      <c r="V64" s="39">
        <v>1</v>
      </c>
      <c r="W64" s="38">
        <v>113</v>
      </c>
      <c r="X64" s="39">
        <v>1</v>
      </c>
      <c r="Y64" s="38" t="s">
        <v>198</v>
      </c>
      <c r="Z64" s="39"/>
    </row>
    <row r="65" spans="1:26" x14ac:dyDescent="0.25">
      <c r="A65" s="10" t="s">
        <v>1249</v>
      </c>
      <c r="B65" s="10"/>
      <c r="C65" s="34" t="s">
        <v>198</v>
      </c>
      <c r="D65" s="35"/>
      <c r="E65" s="34" t="s">
        <v>198</v>
      </c>
      <c r="F65" s="35"/>
      <c r="G65" s="34" t="s">
        <v>198</v>
      </c>
      <c r="H65" s="35"/>
      <c r="I65" s="34" t="s">
        <v>198</v>
      </c>
      <c r="J65" s="35"/>
      <c r="K65" s="34" t="s">
        <v>198</v>
      </c>
      <c r="L65" s="35"/>
      <c r="M65" s="34" t="s">
        <v>198</v>
      </c>
      <c r="N65" s="35"/>
      <c r="O65" s="34" t="s">
        <v>198</v>
      </c>
      <c r="P65" s="35"/>
      <c r="Q65" s="34" t="s">
        <v>198</v>
      </c>
      <c r="R65" s="35"/>
      <c r="S65" s="34" t="s">
        <v>198</v>
      </c>
      <c r="T65" s="35"/>
      <c r="U65" s="34">
        <v>72</v>
      </c>
      <c r="V65" s="35">
        <v>0.72</v>
      </c>
      <c r="W65" s="34">
        <v>72</v>
      </c>
      <c r="X65" s="35">
        <v>0.63716814159292001</v>
      </c>
      <c r="Y65" s="34" t="s">
        <v>198</v>
      </c>
      <c r="Z65" s="35"/>
    </row>
    <row r="66" spans="1:26" x14ac:dyDescent="0.25">
      <c r="A66" s="10" t="s">
        <v>1250</v>
      </c>
      <c r="B66" s="10"/>
      <c r="C66" s="34" t="s">
        <v>198</v>
      </c>
      <c r="D66" s="35"/>
      <c r="E66" s="34" t="s">
        <v>198</v>
      </c>
      <c r="F66" s="35"/>
      <c r="G66" s="34" t="s">
        <v>198</v>
      </c>
      <c r="H66" s="35"/>
      <c r="I66" s="34" t="s">
        <v>198</v>
      </c>
      <c r="J66" s="35"/>
      <c r="K66" s="34" t="s">
        <v>198</v>
      </c>
      <c r="L66" s="35"/>
      <c r="M66" s="34" t="s">
        <v>198</v>
      </c>
      <c r="N66" s="35"/>
      <c r="O66" s="34" t="s">
        <v>198</v>
      </c>
      <c r="P66" s="35"/>
      <c r="Q66" s="34" t="s">
        <v>198</v>
      </c>
      <c r="R66" s="35"/>
      <c r="S66" s="34" t="s">
        <v>198</v>
      </c>
      <c r="T66" s="35"/>
      <c r="U66" s="34" t="s">
        <v>198</v>
      </c>
      <c r="V66" s="35"/>
      <c r="W66" s="34">
        <v>37</v>
      </c>
      <c r="X66" s="35">
        <v>0.32743362831858402</v>
      </c>
      <c r="Y66" s="34" t="s">
        <v>198</v>
      </c>
      <c r="Z66" s="35"/>
    </row>
    <row r="67" spans="1:26" x14ac:dyDescent="0.25">
      <c r="A67" s="10" t="s">
        <v>1251</v>
      </c>
      <c r="B67" s="10"/>
      <c r="C67" s="34" t="s">
        <v>198</v>
      </c>
      <c r="D67" s="35"/>
      <c r="E67" s="34" t="s">
        <v>198</v>
      </c>
      <c r="F67" s="35"/>
      <c r="G67" s="34" t="s">
        <v>198</v>
      </c>
      <c r="H67" s="35"/>
      <c r="I67" s="34" t="s">
        <v>198</v>
      </c>
      <c r="J67" s="35"/>
      <c r="K67" s="34" t="s">
        <v>198</v>
      </c>
      <c r="L67" s="35"/>
      <c r="M67" s="34" t="s">
        <v>198</v>
      </c>
      <c r="N67" s="35"/>
      <c r="O67" s="34" t="s">
        <v>198</v>
      </c>
      <c r="P67" s="35"/>
      <c r="Q67" s="34" t="s">
        <v>198</v>
      </c>
      <c r="R67" s="35"/>
      <c r="S67" s="34" t="s">
        <v>198</v>
      </c>
      <c r="T67" s="35"/>
      <c r="U67" s="34" t="s">
        <v>198</v>
      </c>
      <c r="V67" s="35"/>
      <c r="W67" s="34">
        <v>35</v>
      </c>
      <c r="X67" s="35">
        <v>0.30973451327433599</v>
      </c>
      <c r="Y67" s="34" t="s">
        <v>198</v>
      </c>
      <c r="Z67" s="35"/>
    </row>
    <row r="68" spans="1:26" x14ac:dyDescent="0.25">
      <c r="A68" s="10" t="s">
        <v>1253</v>
      </c>
      <c r="B68" s="10"/>
      <c r="C68" s="34" t="s">
        <v>198</v>
      </c>
      <c r="D68" s="35"/>
      <c r="E68" s="34" t="s">
        <v>198</v>
      </c>
      <c r="F68" s="35"/>
      <c r="G68" s="34" t="s">
        <v>198</v>
      </c>
      <c r="H68" s="35"/>
      <c r="I68" s="34" t="s">
        <v>198</v>
      </c>
      <c r="J68" s="35"/>
      <c r="K68" s="34" t="s">
        <v>198</v>
      </c>
      <c r="L68" s="35"/>
      <c r="M68" s="34" t="s">
        <v>198</v>
      </c>
      <c r="N68" s="35"/>
      <c r="O68" s="34" t="s">
        <v>198</v>
      </c>
      <c r="P68" s="35"/>
      <c r="Q68" s="34" t="s">
        <v>198</v>
      </c>
      <c r="R68" s="35"/>
      <c r="S68" s="34" t="s">
        <v>198</v>
      </c>
      <c r="T68" s="35"/>
      <c r="U68" s="34">
        <v>3</v>
      </c>
      <c r="V68" s="35">
        <v>0.03</v>
      </c>
      <c r="W68" s="34">
        <v>20.9</v>
      </c>
      <c r="X68" s="35">
        <v>0.184955752212389</v>
      </c>
      <c r="Y68" s="34" t="s">
        <v>198</v>
      </c>
      <c r="Z68" s="35"/>
    </row>
    <row r="69" spans="1:26" x14ac:dyDescent="0.25">
      <c r="A69" s="10" t="s">
        <v>1258</v>
      </c>
      <c r="B69" s="10"/>
      <c r="C69" s="34" t="s">
        <v>198</v>
      </c>
      <c r="D69" s="35"/>
      <c r="E69" s="34" t="s">
        <v>198</v>
      </c>
      <c r="F69" s="35"/>
      <c r="G69" s="34" t="s">
        <v>198</v>
      </c>
      <c r="H69" s="35"/>
      <c r="I69" s="34" t="s">
        <v>198</v>
      </c>
      <c r="J69" s="35"/>
      <c r="K69" s="34" t="s">
        <v>198</v>
      </c>
      <c r="L69" s="35"/>
      <c r="M69" s="34" t="s">
        <v>198</v>
      </c>
      <c r="N69" s="35"/>
      <c r="O69" s="34" t="s">
        <v>198</v>
      </c>
      <c r="P69" s="35"/>
      <c r="Q69" s="34" t="s">
        <v>198</v>
      </c>
      <c r="R69" s="35"/>
      <c r="S69" s="34" t="s">
        <v>198</v>
      </c>
      <c r="T69" s="35"/>
      <c r="U69" s="34">
        <v>19</v>
      </c>
      <c r="V69" s="35">
        <v>0.19</v>
      </c>
      <c r="W69" s="34">
        <v>10.4</v>
      </c>
      <c r="X69" s="35">
        <v>9.2035398230088494E-2</v>
      </c>
      <c r="Y69" s="34" t="s">
        <v>198</v>
      </c>
      <c r="Z69" s="35"/>
    </row>
    <row r="70" spans="1:26" x14ac:dyDescent="0.25">
      <c r="A70" s="10" t="s">
        <v>1257</v>
      </c>
      <c r="B70" s="10"/>
      <c r="C70" s="34" t="s">
        <v>198</v>
      </c>
      <c r="D70" s="35"/>
      <c r="E70" s="34" t="s">
        <v>198</v>
      </c>
      <c r="F70" s="35"/>
      <c r="G70" s="34" t="s">
        <v>198</v>
      </c>
      <c r="H70" s="35"/>
      <c r="I70" s="34" t="s">
        <v>198</v>
      </c>
      <c r="J70" s="35"/>
      <c r="K70" s="34" t="s">
        <v>198</v>
      </c>
      <c r="L70" s="35"/>
      <c r="M70" s="34" t="s">
        <v>198</v>
      </c>
      <c r="N70" s="35"/>
      <c r="O70" s="34" t="s">
        <v>198</v>
      </c>
      <c r="P70" s="35"/>
      <c r="Q70" s="34" t="s">
        <v>198</v>
      </c>
      <c r="R70" s="35"/>
      <c r="S70" s="34" t="s">
        <v>198</v>
      </c>
      <c r="T70" s="35"/>
      <c r="U70" s="34">
        <v>6</v>
      </c>
      <c r="V70" s="35">
        <v>0.06</v>
      </c>
      <c r="W70" s="34">
        <v>9.6999999999999993</v>
      </c>
      <c r="X70" s="35">
        <v>8.5840707964601706E-2</v>
      </c>
      <c r="Y70" s="34" t="s">
        <v>198</v>
      </c>
      <c r="Z70" s="35"/>
    </row>
    <row r="71" spans="1:26" x14ac:dyDescent="0.25">
      <c r="A71" s="7" t="s">
        <v>65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54"/>
  <sheetViews>
    <sheetView tabSelected="1" workbookViewId="0">
      <selection activeCell="O7" sqref="O7"/>
    </sheetView>
  </sheetViews>
  <sheetFormatPr baseColWidth="10" defaultRowHeight="15" x14ac:dyDescent="0.25"/>
  <cols>
    <col min="1" max="1" width="35.140625" customWidth="1"/>
    <col min="2" max="2" width="0" hidden="1" customWidth="1"/>
    <col min="3" max="3" width="11.85546875" customWidth="1"/>
    <col min="4" max="4" width="7" customWidth="1"/>
    <col min="5" max="5" width="11.85546875" customWidth="1"/>
    <col min="6" max="6" width="7" customWidth="1"/>
    <col min="7" max="7" width="11.85546875" customWidth="1"/>
    <col min="8" max="8" width="7" customWidth="1"/>
    <col min="9" max="9" width="11.85546875" customWidth="1"/>
    <col min="10" max="10" width="7" customWidth="1"/>
    <col min="11" max="11" width="11.85546875" customWidth="1"/>
    <col min="12" max="12" width="7" customWidth="1"/>
    <col min="13" max="13" width="11.85546875" customWidth="1"/>
    <col min="14" max="14" width="7" customWidth="1"/>
    <col min="15" max="15" width="11.85546875" customWidth="1"/>
    <col min="16" max="16" width="7" customWidth="1"/>
    <col min="17" max="17" width="11.85546875" customWidth="1"/>
    <col min="18" max="18" width="7" customWidth="1"/>
    <col min="19" max="19" width="11.85546875" customWidth="1"/>
    <col min="20" max="20" width="7" customWidth="1"/>
    <col min="21" max="21" width="11.85546875" customWidth="1"/>
    <col min="22" max="22" width="7" customWidth="1"/>
    <col min="23" max="23" width="11.85546875" customWidth="1"/>
    <col min="24" max="24" width="7" customWidth="1"/>
    <col min="25" max="25" width="11.85546875" customWidth="1"/>
    <col min="26" max="26" width="7" customWidth="1"/>
    <col min="27" max="27" width="11.85546875" customWidth="1"/>
    <col min="28" max="28" width="7" customWidth="1"/>
  </cols>
  <sheetData>
    <row r="1" spans="1:2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0.25" x14ac:dyDescent="0.25">
      <c r="A2" s="8" t="s">
        <v>1271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x14ac:dyDescent="0.25">
      <c r="A4" s="3" t="s">
        <v>67</v>
      </c>
      <c r="B4" s="3"/>
      <c r="C4" s="30" t="s">
        <v>7</v>
      </c>
      <c r="D4" s="30"/>
      <c r="E4" s="30" t="s">
        <v>8</v>
      </c>
      <c r="F4" s="30"/>
      <c r="G4" s="30" t="s">
        <v>9</v>
      </c>
      <c r="H4" s="30"/>
      <c r="I4" s="30" t="s">
        <v>10</v>
      </c>
      <c r="J4" s="30"/>
      <c r="K4" s="30" t="s">
        <v>11</v>
      </c>
      <c r="L4" s="30"/>
      <c r="M4" s="30" t="s">
        <v>12</v>
      </c>
      <c r="N4" s="30"/>
      <c r="O4" s="30" t="s">
        <v>13</v>
      </c>
      <c r="P4" s="30"/>
      <c r="Q4" s="30" t="s">
        <v>14</v>
      </c>
      <c r="R4" s="30"/>
      <c r="S4" s="30" t="s">
        <v>15</v>
      </c>
      <c r="T4" s="30"/>
      <c r="U4" s="30" t="s">
        <v>16</v>
      </c>
      <c r="V4" s="30"/>
      <c r="W4" s="30" t="s">
        <v>17</v>
      </c>
      <c r="X4" s="30"/>
      <c r="Y4" s="30" t="s">
        <v>18</v>
      </c>
      <c r="Z4" s="30"/>
      <c r="AA4" s="30" t="s">
        <v>19</v>
      </c>
      <c r="AB4" s="30"/>
    </row>
    <row r="5" spans="1:28" x14ac:dyDescent="0.25">
      <c r="A5" s="9" t="s">
        <v>21</v>
      </c>
      <c r="B5" s="9"/>
      <c r="C5" s="31" t="s">
        <v>22</v>
      </c>
      <c r="D5" s="31"/>
      <c r="E5" s="31" t="s">
        <v>23</v>
      </c>
      <c r="F5" s="31"/>
      <c r="G5" s="31" t="s">
        <v>24</v>
      </c>
      <c r="H5" s="31"/>
      <c r="I5" s="31" t="s">
        <v>25</v>
      </c>
      <c r="J5" s="31"/>
      <c r="K5" s="31" t="s">
        <v>26</v>
      </c>
      <c r="L5" s="31"/>
      <c r="M5" s="31" t="s">
        <v>27</v>
      </c>
      <c r="N5" s="31"/>
      <c r="O5" s="31" t="s">
        <v>28</v>
      </c>
      <c r="P5" s="31"/>
      <c r="Q5" s="31" t="s">
        <v>29</v>
      </c>
      <c r="R5" s="31"/>
      <c r="S5" s="31" t="s">
        <v>30</v>
      </c>
      <c r="T5" s="31"/>
      <c r="U5" s="31" t="s">
        <v>31</v>
      </c>
      <c r="V5" s="31"/>
      <c r="W5" s="31" t="s">
        <v>32</v>
      </c>
      <c r="X5" s="31"/>
      <c r="Y5" s="31" t="s">
        <v>33</v>
      </c>
      <c r="Z5" s="31"/>
      <c r="AA5" s="31" t="s">
        <v>34</v>
      </c>
      <c r="AB5" s="31"/>
    </row>
    <row r="6" spans="1:28" x14ac:dyDescent="0.25">
      <c r="A6" s="6" t="s">
        <v>0</v>
      </c>
      <c r="B6" s="6"/>
      <c r="C6" s="36">
        <v>12304.984</v>
      </c>
      <c r="D6" s="37">
        <v>1</v>
      </c>
      <c r="E6" s="36">
        <v>15313.798000000001</v>
      </c>
      <c r="F6" s="37">
        <v>1</v>
      </c>
      <c r="G6" s="36">
        <v>18474.841</v>
      </c>
      <c r="H6" s="37">
        <v>1</v>
      </c>
      <c r="I6" s="36">
        <v>24396.213</v>
      </c>
      <c r="J6" s="37">
        <v>1</v>
      </c>
      <c r="K6" s="36">
        <v>25957.941999999999</v>
      </c>
      <c r="L6" s="37">
        <v>1</v>
      </c>
      <c r="M6" s="36">
        <v>28158.21</v>
      </c>
      <c r="N6" s="37">
        <v>1</v>
      </c>
      <c r="O6" s="36">
        <v>29704.780999999999</v>
      </c>
      <c r="P6" s="37">
        <v>1</v>
      </c>
      <c r="Q6" s="36">
        <v>35036</v>
      </c>
      <c r="R6" s="37">
        <v>1</v>
      </c>
      <c r="S6" s="36">
        <v>39419</v>
      </c>
      <c r="T6" s="37">
        <v>1</v>
      </c>
      <c r="U6" s="36">
        <v>45729</v>
      </c>
      <c r="V6" s="37">
        <v>1</v>
      </c>
      <c r="W6" s="36">
        <v>44354.593999999997</v>
      </c>
      <c r="X6" s="37">
        <v>1</v>
      </c>
      <c r="Y6" s="36">
        <v>43961.508000000002</v>
      </c>
      <c r="Z6" s="37">
        <v>1</v>
      </c>
      <c r="AA6" s="36">
        <v>43088</v>
      </c>
      <c r="AB6" s="37">
        <v>1</v>
      </c>
    </row>
    <row r="7" spans="1:28" x14ac:dyDescent="0.25">
      <c r="A7" s="10" t="s">
        <v>1272</v>
      </c>
      <c r="B7" s="10"/>
      <c r="C7" s="32">
        <v>7031.3429999999998</v>
      </c>
      <c r="D7" s="33">
        <v>0.57142236024037096</v>
      </c>
      <c r="E7" s="32">
        <v>9343.6650000000009</v>
      </c>
      <c r="F7" s="33">
        <v>0.61014681008591098</v>
      </c>
      <c r="G7" s="32">
        <v>11857.782999999999</v>
      </c>
      <c r="H7" s="33">
        <v>0.64183410292949195</v>
      </c>
      <c r="I7" s="32">
        <v>16545.403999999999</v>
      </c>
      <c r="J7" s="33">
        <v>0.67819558715936801</v>
      </c>
      <c r="K7" s="32">
        <v>16973.603999999999</v>
      </c>
      <c r="L7" s="33">
        <v>0.65388866343872698</v>
      </c>
      <c r="M7" s="32">
        <v>18018.254000000001</v>
      </c>
      <c r="N7" s="33">
        <v>0.63989344493133604</v>
      </c>
      <c r="O7" s="32">
        <v>18513.816999999999</v>
      </c>
      <c r="P7" s="33">
        <v>0.623260511498132</v>
      </c>
      <c r="Q7" s="32">
        <v>24631</v>
      </c>
      <c r="R7" s="33">
        <v>0.70301975111314097</v>
      </c>
      <c r="S7" s="32">
        <v>25776</v>
      </c>
      <c r="T7" s="33">
        <v>0.65389786651107296</v>
      </c>
      <c r="U7" s="32">
        <v>27466</v>
      </c>
      <c r="V7" s="33">
        <v>0.60062542369174898</v>
      </c>
      <c r="W7" s="32">
        <v>24878.677</v>
      </c>
      <c r="X7" s="33">
        <v>0.56090417601387599</v>
      </c>
      <c r="Y7" s="32">
        <v>25060.835999999999</v>
      </c>
      <c r="Z7" s="33">
        <v>0.57006315615924696</v>
      </c>
      <c r="AA7" s="32">
        <v>24107</v>
      </c>
      <c r="AB7" s="33">
        <v>0.559482918678054</v>
      </c>
    </row>
    <row r="8" spans="1:28" x14ac:dyDescent="0.25">
      <c r="A8" s="10" t="s">
        <v>1273</v>
      </c>
      <c r="B8" s="10"/>
      <c r="C8" s="32">
        <v>4100.8050000000003</v>
      </c>
      <c r="D8" s="33">
        <v>0.33326374093619299</v>
      </c>
      <c r="E8" s="32">
        <v>4617.4639999999999</v>
      </c>
      <c r="F8" s="33">
        <v>0.301523110073673</v>
      </c>
      <c r="G8" s="32">
        <v>4414.9889999999996</v>
      </c>
      <c r="H8" s="33">
        <v>0.23897304447708101</v>
      </c>
      <c r="I8" s="32">
        <v>5018.4799999999996</v>
      </c>
      <c r="J8" s="33">
        <v>0.20570733662638499</v>
      </c>
      <c r="K8" s="32">
        <v>5785.7430000000004</v>
      </c>
      <c r="L8" s="33">
        <v>0.22288912580203801</v>
      </c>
      <c r="M8" s="32">
        <v>6257.6450000000004</v>
      </c>
      <c r="N8" s="33">
        <v>0.22223163333180601</v>
      </c>
      <c r="O8" s="32">
        <v>7248.2290000000003</v>
      </c>
      <c r="P8" s="33">
        <v>0.244008834806761</v>
      </c>
      <c r="Q8" s="32">
        <v>6604</v>
      </c>
      <c r="R8" s="33">
        <v>0.18849183696769001</v>
      </c>
      <c r="S8" s="32">
        <v>8234</v>
      </c>
      <c r="T8" s="33">
        <v>0.208884040691037</v>
      </c>
      <c r="U8" s="32">
        <v>10923</v>
      </c>
      <c r="V8" s="33">
        <v>0.23886374073345101</v>
      </c>
      <c r="W8" s="32">
        <v>11813.36</v>
      </c>
      <c r="X8" s="33">
        <v>0.26633904032578898</v>
      </c>
      <c r="Y8" s="32">
        <v>11070.173000000001</v>
      </c>
      <c r="Z8" s="33">
        <v>0.25181513336621703</v>
      </c>
      <c r="AA8" s="32">
        <v>10953</v>
      </c>
      <c r="AB8" s="33">
        <v>0.254200705532863</v>
      </c>
    </row>
    <row r="9" spans="1:28" x14ac:dyDescent="0.25">
      <c r="A9" s="10" t="s">
        <v>1274</v>
      </c>
      <c r="B9" s="10"/>
      <c r="C9" s="32">
        <v>1172.836</v>
      </c>
      <c r="D9" s="33">
        <v>9.5313898823436105E-2</v>
      </c>
      <c r="E9" s="32">
        <v>1352.6690000000001</v>
      </c>
      <c r="F9" s="33">
        <v>8.8330079840415798E-2</v>
      </c>
      <c r="G9" s="32">
        <v>2202.069</v>
      </c>
      <c r="H9" s="33">
        <v>0.119192852593427</v>
      </c>
      <c r="I9" s="32">
        <v>2832.3290000000002</v>
      </c>
      <c r="J9" s="33">
        <v>0.116097076214247</v>
      </c>
      <c r="K9" s="32">
        <v>3198.5949999999998</v>
      </c>
      <c r="L9" s="33">
        <v>0.12322221075923501</v>
      </c>
      <c r="M9" s="32">
        <v>3882.3110000000001</v>
      </c>
      <c r="N9" s="33">
        <v>0.137874921736858</v>
      </c>
      <c r="O9" s="32">
        <v>3942.7350000000001</v>
      </c>
      <c r="P9" s="33">
        <v>0.132730653695107</v>
      </c>
      <c r="Q9" s="32">
        <v>3801</v>
      </c>
      <c r="R9" s="33">
        <v>0.108488411919169</v>
      </c>
      <c r="S9" s="32">
        <v>5409</v>
      </c>
      <c r="T9" s="33">
        <v>0.13721809279788899</v>
      </c>
      <c r="U9" s="32">
        <v>7340</v>
      </c>
      <c r="V9" s="33">
        <v>0.160510835574799</v>
      </c>
      <c r="W9" s="32">
        <v>7662.5569999999998</v>
      </c>
      <c r="X9" s="33">
        <v>0.17275678366033501</v>
      </c>
      <c r="Y9" s="32">
        <v>7830.4989999999998</v>
      </c>
      <c r="Z9" s="33">
        <v>0.17812171047453601</v>
      </c>
      <c r="AA9" s="32">
        <v>8028</v>
      </c>
      <c r="AB9" s="33">
        <v>0.186316375789083</v>
      </c>
    </row>
    <row r="10" spans="1:28" x14ac:dyDescent="0.25">
      <c r="A10" s="6" t="s">
        <v>1275</v>
      </c>
      <c r="B10" s="6"/>
      <c r="C10" s="36">
        <v>5304.567</v>
      </c>
      <c r="D10" s="37">
        <v>1</v>
      </c>
      <c r="E10" s="36">
        <v>6236.95</v>
      </c>
      <c r="F10" s="37">
        <v>1</v>
      </c>
      <c r="G10" s="36">
        <v>14731.616</v>
      </c>
      <c r="H10" s="37">
        <v>1</v>
      </c>
      <c r="I10" s="36">
        <v>9935.7960000000003</v>
      </c>
      <c r="J10" s="37">
        <v>1</v>
      </c>
      <c r="K10" s="36">
        <v>9836.6749999999993</v>
      </c>
      <c r="L10" s="37">
        <v>1</v>
      </c>
      <c r="M10" s="36">
        <v>11974.906000000001</v>
      </c>
      <c r="N10" s="37">
        <v>1</v>
      </c>
      <c r="O10" s="36">
        <v>14039.147000000001</v>
      </c>
      <c r="P10" s="37">
        <v>1</v>
      </c>
      <c r="Q10" s="36">
        <v>16790.115000000002</v>
      </c>
      <c r="R10" s="37">
        <v>1</v>
      </c>
      <c r="S10" s="36">
        <v>18145.221000000001</v>
      </c>
      <c r="T10" s="37">
        <v>1</v>
      </c>
      <c r="U10" s="36">
        <v>20642.306</v>
      </c>
      <c r="V10" s="37">
        <v>1</v>
      </c>
      <c r="W10" s="36">
        <v>21874.48</v>
      </c>
      <c r="X10" s="37">
        <v>1</v>
      </c>
      <c r="Y10" s="36">
        <v>43961.508000000002</v>
      </c>
      <c r="Z10" s="37">
        <v>1</v>
      </c>
      <c r="AA10" s="36" t="s">
        <v>198</v>
      </c>
      <c r="AB10" s="37"/>
    </row>
    <row r="11" spans="1:28" x14ac:dyDescent="0.25">
      <c r="A11" s="10" t="s">
        <v>1272</v>
      </c>
      <c r="B11" s="10"/>
      <c r="C11" s="32">
        <v>2927.3009999999999</v>
      </c>
      <c r="D11" s="33">
        <v>0.551845419239685</v>
      </c>
      <c r="E11" s="32">
        <v>3753.002</v>
      </c>
      <c r="F11" s="33">
        <v>0.60173674632632901</v>
      </c>
      <c r="G11" s="32">
        <v>11857.782999999999</v>
      </c>
      <c r="H11" s="33">
        <v>0.80492072288607097</v>
      </c>
      <c r="I11" s="32">
        <v>6194.8469999999998</v>
      </c>
      <c r="J11" s="33">
        <v>0.62348774069032797</v>
      </c>
      <c r="K11" s="32">
        <v>5588.1260000000002</v>
      </c>
      <c r="L11" s="33">
        <v>0.56809094536517701</v>
      </c>
      <c r="M11" s="32">
        <v>6747.8990000000003</v>
      </c>
      <c r="N11" s="33">
        <v>0.56350329597576798</v>
      </c>
      <c r="O11" s="32">
        <v>8012.232</v>
      </c>
      <c r="P11" s="33">
        <v>0.57070646813513703</v>
      </c>
      <c r="Q11" s="32">
        <v>11147.81</v>
      </c>
      <c r="R11" s="33">
        <v>0.66395078294579901</v>
      </c>
      <c r="S11" s="32">
        <v>10861.958000000001</v>
      </c>
      <c r="T11" s="33">
        <v>0.59861260438767905</v>
      </c>
      <c r="U11" s="32">
        <v>11350.06</v>
      </c>
      <c r="V11" s="33">
        <v>0.54984457647319096</v>
      </c>
      <c r="W11" s="32">
        <v>11328.718999999999</v>
      </c>
      <c r="X11" s="33">
        <v>0.51789660828508799</v>
      </c>
      <c r="Y11" s="32">
        <v>25060.835999999999</v>
      </c>
      <c r="Z11" s="33">
        <v>0.57006315615924696</v>
      </c>
      <c r="AA11" s="32" t="s">
        <v>198</v>
      </c>
      <c r="AB11" s="33"/>
    </row>
    <row r="12" spans="1:28" x14ac:dyDescent="0.25">
      <c r="A12" s="10" t="s">
        <v>1273</v>
      </c>
      <c r="B12" s="10"/>
      <c r="C12" s="32">
        <v>1879.03</v>
      </c>
      <c r="D12" s="33">
        <v>0.35422872404100098</v>
      </c>
      <c r="E12" s="32">
        <v>2005.6410000000001</v>
      </c>
      <c r="F12" s="33">
        <v>0.32157400652562601</v>
      </c>
      <c r="G12" s="32">
        <v>2100.9</v>
      </c>
      <c r="H12" s="33">
        <v>0.142611645592717</v>
      </c>
      <c r="I12" s="32">
        <v>2727.91</v>
      </c>
      <c r="J12" s="33">
        <v>0.27455374486352202</v>
      </c>
      <c r="K12" s="32">
        <v>3043.2139999999999</v>
      </c>
      <c r="L12" s="33">
        <v>0.30937425502011601</v>
      </c>
      <c r="M12" s="32">
        <v>3799.299</v>
      </c>
      <c r="N12" s="33">
        <v>0.31727171804104298</v>
      </c>
      <c r="O12" s="32">
        <v>4466.143</v>
      </c>
      <c r="P12" s="33">
        <v>0.31812068069377702</v>
      </c>
      <c r="Q12" s="32">
        <v>3982.1289999999999</v>
      </c>
      <c r="R12" s="33">
        <v>0.23717103783982399</v>
      </c>
      <c r="S12" s="32">
        <v>4954.6279999999997</v>
      </c>
      <c r="T12" s="33">
        <v>0.27305415569201402</v>
      </c>
      <c r="U12" s="32">
        <v>6223.6030000000001</v>
      </c>
      <c r="V12" s="33">
        <v>0.30149746835455299</v>
      </c>
      <c r="W12" s="32">
        <v>6972.5550000000003</v>
      </c>
      <c r="X12" s="33">
        <v>0.31875294864152198</v>
      </c>
      <c r="Y12" s="32">
        <v>11070.173000000001</v>
      </c>
      <c r="Z12" s="33">
        <v>0.25181513336621703</v>
      </c>
      <c r="AA12" s="32" t="s">
        <v>198</v>
      </c>
      <c r="AB12" s="33"/>
    </row>
    <row r="13" spans="1:28" x14ac:dyDescent="0.25">
      <c r="A13" s="10" t="s">
        <v>1274</v>
      </c>
      <c r="B13" s="10"/>
      <c r="C13" s="32">
        <v>498.23599999999999</v>
      </c>
      <c r="D13" s="33">
        <v>9.3925856719313694E-2</v>
      </c>
      <c r="E13" s="32">
        <v>478.30700000000002</v>
      </c>
      <c r="F13" s="33">
        <v>7.6689247148045106E-2</v>
      </c>
      <c r="G13" s="32">
        <v>772.93299999999999</v>
      </c>
      <c r="H13" s="33">
        <v>5.2467631521212602E-2</v>
      </c>
      <c r="I13" s="32">
        <v>1013.039</v>
      </c>
      <c r="J13" s="33">
        <v>0.10195851444615001</v>
      </c>
      <c r="K13" s="32">
        <v>1205.335</v>
      </c>
      <c r="L13" s="33">
        <v>0.12253479961470699</v>
      </c>
      <c r="M13" s="32">
        <v>1427.7080000000001</v>
      </c>
      <c r="N13" s="33">
        <v>0.11922498598318899</v>
      </c>
      <c r="O13" s="32">
        <v>1560.7719999999999</v>
      </c>
      <c r="P13" s="33">
        <v>0.111172851171086</v>
      </c>
      <c r="Q13" s="32">
        <v>1660.1759999999999</v>
      </c>
      <c r="R13" s="33">
        <v>9.8878179214377096E-2</v>
      </c>
      <c r="S13" s="32">
        <v>2328.6350000000002</v>
      </c>
      <c r="T13" s="33">
        <v>0.12833323992030701</v>
      </c>
      <c r="U13" s="32">
        <v>3068.643</v>
      </c>
      <c r="V13" s="33">
        <v>0.148657955172256</v>
      </c>
      <c r="W13" s="32">
        <v>3573.2060000000001</v>
      </c>
      <c r="X13" s="33">
        <v>0.16335044307339</v>
      </c>
      <c r="Y13" s="32">
        <v>7830.4989999999998</v>
      </c>
      <c r="Z13" s="33">
        <v>0.17812171047453601</v>
      </c>
      <c r="AA13" s="32" t="s">
        <v>198</v>
      </c>
      <c r="AB13" s="33"/>
    </row>
    <row r="14" spans="1:28" x14ac:dyDescent="0.25">
      <c r="A14" s="6" t="s">
        <v>2</v>
      </c>
      <c r="B14" s="6"/>
      <c r="C14" s="36">
        <v>7000.4170000000004</v>
      </c>
      <c r="D14" s="37">
        <v>1</v>
      </c>
      <c r="E14" s="36">
        <v>9076.8469999999998</v>
      </c>
      <c r="F14" s="37">
        <v>1</v>
      </c>
      <c r="G14" s="36">
        <v>11250.588</v>
      </c>
      <c r="H14" s="37">
        <v>1</v>
      </c>
      <c r="I14" s="36">
        <v>14460.415999999999</v>
      </c>
      <c r="J14" s="37">
        <v>1</v>
      </c>
      <c r="K14" s="36">
        <v>16121.267</v>
      </c>
      <c r="L14" s="37">
        <v>1</v>
      </c>
      <c r="M14" s="36">
        <v>16183.304</v>
      </c>
      <c r="N14" s="37">
        <v>1</v>
      </c>
      <c r="O14" s="36">
        <v>15665.634</v>
      </c>
      <c r="P14" s="37">
        <v>1</v>
      </c>
      <c r="Q14" s="36">
        <v>18246.025000000001</v>
      </c>
      <c r="R14" s="37">
        <v>1</v>
      </c>
      <c r="S14" s="36">
        <v>21274.179</v>
      </c>
      <c r="T14" s="37">
        <v>1</v>
      </c>
      <c r="U14" s="36">
        <v>25087.186000000002</v>
      </c>
      <c r="V14" s="37">
        <v>1</v>
      </c>
      <c r="W14" s="36">
        <v>22480.114000000001</v>
      </c>
      <c r="X14" s="37">
        <v>1</v>
      </c>
      <c r="Y14" s="36">
        <v>23511.51</v>
      </c>
      <c r="Z14" s="37">
        <v>1</v>
      </c>
      <c r="AA14" s="36" t="s">
        <v>198</v>
      </c>
      <c r="AB14" s="37"/>
    </row>
    <row r="15" spans="1:28" x14ac:dyDescent="0.25">
      <c r="A15" s="10" t="s">
        <v>1272</v>
      </c>
      <c r="B15" s="10"/>
      <c r="C15" s="32">
        <v>4104.0420000000004</v>
      </c>
      <c r="D15" s="33">
        <v>0.58625679013121601</v>
      </c>
      <c r="E15" s="32">
        <v>5590.6629999999996</v>
      </c>
      <c r="F15" s="33">
        <v>0.61592566229220302</v>
      </c>
      <c r="G15" s="32">
        <v>7507.3630000000003</v>
      </c>
      <c r="H15" s="33">
        <v>0.66728627872605395</v>
      </c>
      <c r="I15" s="32">
        <v>10350.557000000001</v>
      </c>
      <c r="J15" s="33">
        <v>0.71578556246238001</v>
      </c>
      <c r="K15" s="32">
        <v>11385.477999999999</v>
      </c>
      <c r="L15" s="33">
        <v>0.70623965225562002</v>
      </c>
      <c r="M15" s="32">
        <v>11270.355</v>
      </c>
      <c r="N15" s="33">
        <v>0.69641866704104405</v>
      </c>
      <c r="O15" s="32">
        <v>10501.584999999999</v>
      </c>
      <c r="P15" s="33">
        <v>0.67035812275455897</v>
      </c>
      <c r="Q15" s="32">
        <v>13482.808000000001</v>
      </c>
      <c r="R15" s="33">
        <v>0.73894494828325596</v>
      </c>
      <c r="S15" s="32">
        <v>14913.812</v>
      </c>
      <c r="T15" s="33">
        <v>0.70102879175736899</v>
      </c>
      <c r="U15" s="32">
        <v>16116.415999999999</v>
      </c>
      <c r="V15" s="33">
        <v>0.64241625186659002</v>
      </c>
      <c r="W15" s="32">
        <v>13549.958000000001</v>
      </c>
      <c r="X15" s="33">
        <v>0.60275308212404999</v>
      </c>
      <c r="Y15" s="32">
        <v>13806.136</v>
      </c>
      <c r="Z15" s="33">
        <v>0.58720754217827797</v>
      </c>
      <c r="AA15" s="32" t="s">
        <v>198</v>
      </c>
      <c r="AB15" s="33"/>
    </row>
    <row r="16" spans="1:28" x14ac:dyDescent="0.25">
      <c r="A16" s="10" t="s">
        <v>1273</v>
      </c>
      <c r="B16" s="10"/>
      <c r="C16" s="32">
        <v>2221.7750000000001</v>
      </c>
      <c r="D16" s="33">
        <v>0.31737752193905</v>
      </c>
      <c r="E16" s="32">
        <v>2611.8220000000001</v>
      </c>
      <c r="F16" s="33">
        <v>0.287745513392481</v>
      </c>
      <c r="G16" s="32">
        <v>2314.0889999999999</v>
      </c>
      <c r="H16" s="33">
        <v>0.20568604947581401</v>
      </c>
      <c r="I16" s="32">
        <v>2290.5700000000002</v>
      </c>
      <c r="J16" s="33">
        <v>0.15840277347484299</v>
      </c>
      <c r="K16" s="32">
        <v>2742.529</v>
      </c>
      <c r="L16" s="33">
        <v>0.170118700968106</v>
      </c>
      <c r="M16" s="32">
        <v>2458.346</v>
      </c>
      <c r="N16" s="33">
        <v>0.15190631035541299</v>
      </c>
      <c r="O16" s="32">
        <v>2782.0859999999998</v>
      </c>
      <c r="P16" s="33">
        <v>0.177591663382408</v>
      </c>
      <c r="Q16" s="32">
        <v>2622.3319999999999</v>
      </c>
      <c r="R16" s="33">
        <v>0.14372072821340501</v>
      </c>
      <c r="S16" s="32">
        <v>3279.6219999999998</v>
      </c>
      <c r="T16" s="33">
        <v>0.15415974454290299</v>
      </c>
      <c r="U16" s="32">
        <v>4699.7049999999999</v>
      </c>
      <c r="V16" s="33">
        <v>0.187334880843152</v>
      </c>
      <c r="W16" s="32">
        <v>4840.8050000000003</v>
      </c>
      <c r="X16" s="33">
        <v>0.215337208699209</v>
      </c>
      <c r="Y16" s="32">
        <v>5299.1180000000004</v>
      </c>
      <c r="Z16" s="33">
        <v>0.225383992776304</v>
      </c>
      <c r="AA16" s="32" t="s">
        <v>198</v>
      </c>
      <c r="AB16" s="33"/>
    </row>
    <row r="17" spans="1:28" x14ac:dyDescent="0.25">
      <c r="A17" s="10" t="s">
        <v>1274</v>
      </c>
      <c r="B17" s="10"/>
      <c r="C17" s="32">
        <v>674.6</v>
      </c>
      <c r="D17" s="33">
        <v>9.6365687929733296E-2</v>
      </c>
      <c r="E17" s="32">
        <v>874.36199999999997</v>
      </c>
      <c r="F17" s="33">
        <v>9.6328824315315698E-2</v>
      </c>
      <c r="G17" s="32">
        <v>1429.136</v>
      </c>
      <c r="H17" s="33">
        <v>0.12702767179813201</v>
      </c>
      <c r="I17" s="32">
        <v>1819.289</v>
      </c>
      <c r="J17" s="33">
        <v>0.125811664062777</v>
      </c>
      <c r="K17" s="32">
        <v>1993.26</v>
      </c>
      <c r="L17" s="33">
        <v>0.123641646776274</v>
      </c>
      <c r="M17" s="32">
        <v>2454.6030000000001</v>
      </c>
      <c r="N17" s="33">
        <v>0.15167502260354301</v>
      </c>
      <c r="O17" s="32">
        <v>2381.9630000000002</v>
      </c>
      <c r="P17" s="33">
        <v>0.152050213863033</v>
      </c>
      <c r="Q17" s="32">
        <v>2140.8850000000002</v>
      </c>
      <c r="R17" s="33">
        <v>0.117334323503338</v>
      </c>
      <c r="S17" s="32">
        <v>3080.7449999999999</v>
      </c>
      <c r="T17" s="33">
        <v>0.144811463699727</v>
      </c>
      <c r="U17" s="32">
        <v>4271.0649999999996</v>
      </c>
      <c r="V17" s="33">
        <v>0.17024886729025701</v>
      </c>
      <c r="W17" s="32">
        <v>4089.3510000000001</v>
      </c>
      <c r="X17" s="33">
        <v>0.18190970917674201</v>
      </c>
      <c r="Y17" s="32">
        <v>4406.2560000000003</v>
      </c>
      <c r="Z17" s="33">
        <v>0.187408465045418</v>
      </c>
      <c r="AA17" s="32" t="s">
        <v>198</v>
      </c>
      <c r="AB17" s="33"/>
    </row>
    <row r="18" spans="1:28" x14ac:dyDescent="0.25">
      <c r="A18" s="6" t="s">
        <v>1276</v>
      </c>
      <c r="B18" s="6"/>
      <c r="C18" s="36" t="s">
        <v>198</v>
      </c>
      <c r="D18" s="37"/>
      <c r="E18" s="36" t="s">
        <v>198</v>
      </c>
      <c r="F18" s="37"/>
      <c r="G18" s="36" t="s">
        <v>198</v>
      </c>
      <c r="H18" s="37"/>
      <c r="I18" s="36">
        <v>7671.4989999999998</v>
      </c>
      <c r="J18" s="37">
        <v>1</v>
      </c>
      <c r="K18" s="36">
        <v>9559.3420000000006</v>
      </c>
      <c r="L18" s="37">
        <v>1</v>
      </c>
      <c r="M18" s="36">
        <v>8361.4189999999999</v>
      </c>
      <c r="N18" s="37">
        <v>1</v>
      </c>
      <c r="O18" s="36">
        <v>8200.0049999999992</v>
      </c>
      <c r="P18" s="37">
        <v>1</v>
      </c>
      <c r="Q18" s="36">
        <v>7418.8990000000003</v>
      </c>
      <c r="R18" s="37">
        <v>1</v>
      </c>
      <c r="S18" s="36">
        <v>10557.178</v>
      </c>
      <c r="T18" s="37">
        <v>1</v>
      </c>
      <c r="U18" s="36">
        <v>12732.102000000001</v>
      </c>
      <c r="V18" s="37">
        <v>1</v>
      </c>
      <c r="W18" s="36">
        <v>10568.316000000001</v>
      </c>
      <c r="X18" s="37">
        <v>1</v>
      </c>
      <c r="Y18" s="36">
        <v>12580.869000000001</v>
      </c>
      <c r="Z18" s="37">
        <v>1</v>
      </c>
      <c r="AA18" s="36" t="s">
        <v>198</v>
      </c>
      <c r="AB18" s="37"/>
    </row>
    <row r="19" spans="1:28" x14ac:dyDescent="0.25">
      <c r="A19" s="10" t="s">
        <v>1272</v>
      </c>
      <c r="B19" s="10"/>
      <c r="C19" s="32" t="s">
        <v>198</v>
      </c>
      <c r="D19" s="33"/>
      <c r="E19" s="32" t="s">
        <v>198</v>
      </c>
      <c r="F19" s="33"/>
      <c r="G19" s="32" t="s">
        <v>198</v>
      </c>
      <c r="H19" s="33"/>
      <c r="I19" s="32">
        <v>6118.92</v>
      </c>
      <c r="J19" s="33">
        <v>0.79761725837414599</v>
      </c>
      <c r="K19" s="32">
        <v>7105.2110000000002</v>
      </c>
      <c r="L19" s="33">
        <v>0.743274066353103</v>
      </c>
      <c r="M19" s="32">
        <v>6244.4290000000001</v>
      </c>
      <c r="N19" s="33">
        <v>0.74681450600669597</v>
      </c>
      <c r="O19" s="32">
        <v>5562.3050000000003</v>
      </c>
      <c r="P19" s="33">
        <v>0.67832946443325304</v>
      </c>
      <c r="Q19" s="32">
        <v>7024.1610000000001</v>
      </c>
      <c r="R19" s="33">
        <v>0.94679291361157503</v>
      </c>
      <c r="S19" s="32">
        <v>7200.1570000000002</v>
      </c>
      <c r="T19" s="33">
        <v>0.682015307499788</v>
      </c>
      <c r="U19" s="32">
        <v>7700.8320000000003</v>
      </c>
      <c r="V19" s="33">
        <v>0.60483587077766099</v>
      </c>
      <c r="W19" s="32">
        <v>5906.4269999999997</v>
      </c>
      <c r="X19" s="33">
        <v>0.558880620147997</v>
      </c>
      <c r="Y19" s="32">
        <v>7177.8149999999996</v>
      </c>
      <c r="Z19" s="33">
        <v>0.57053411811219101</v>
      </c>
      <c r="AA19" s="32" t="s">
        <v>198</v>
      </c>
      <c r="AB19" s="33"/>
    </row>
    <row r="20" spans="1:28" x14ac:dyDescent="0.25">
      <c r="A20" s="10" t="s">
        <v>1273</v>
      </c>
      <c r="B20" s="10"/>
      <c r="C20" s="32" t="s">
        <v>198</v>
      </c>
      <c r="D20" s="33"/>
      <c r="E20" s="32" t="s">
        <v>198</v>
      </c>
      <c r="F20" s="33"/>
      <c r="G20" s="32" t="s">
        <v>198</v>
      </c>
      <c r="H20" s="33"/>
      <c r="I20" s="32">
        <v>733.31700000000001</v>
      </c>
      <c r="J20" s="33">
        <v>9.5589792816240998E-2</v>
      </c>
      <c r="K20" s="32">
        <v>1154.8499999999999</v>
      </c>
      <c r="L20" s="33">
        <v>0.120808524268721</v>
      </c>
      <c r="M20" s="32">
        <v>959.54600000000005</v>
      </c>
      <c r="N20" s="33">
        <v>0.114758750877094</v>
      </c>
      <c r="O20" s="32">
        <v>1310.075</v>
      </c>
      <c r="P20" s="33">
        <v>0.159765146484667</v>
      </c>
      <c r="Q20" s="32">
        <v>456.78699999999998</v>
      </c>
      <c r="R20" s="33">
        <v>6.1570726330146798E-2</v>
      </c>
      <c r="S20" s="32">
        <v>1727.614</v>
      </c>
      <c r="T20" s="33">
        <v>0.16364354186317601</v>
      </c>
      <c r="U20" s="32">
        <v>2543.6759999999999</v>
      </c>
      <c r="V20" s="33">
        <v>0.19978445036020001</v>
      </c>
      <c r="W20" s="32">
        <v>2475.7379999999998</v>
      </c>
      <c r="X20" s="33">
        <v>0.23426040629368</v>
      </c>
      <c r="Y20" s="32">
        <v>3022.114</v>
      </c>
      <c r="Z20" s="33">
        <v>0.24021504396874299</v>
      </c>
      <c r="AA20" s="32" t="s">
        <v>198</v>
      </c>
      <c r="AB20" s="33"/>
    </row>
    <row r="21" spans="1:28" x14ac:dyDescent="0.25">
      <c r="A21" s="10" t="s">
        <v>1274</v>
      </c>
      <c r="B21" s="10"/>
      <c r="C21" s="32" t="s">
        <v>198</v>
      </c>
      <c r="D21" s="33"/>
      <c r="E21" s="32" t="s">
        <v>198</v>
      </c>
      <c r="F21" s="33"/>
      <c r="G21" s="32" t="s">
        <v>198</v>
      </c>
      <c r="H21" s="33"/>
      <c r="I21" s="32">
        <v>819.26199999999994</v>
      </c>
      <c r="J21" s="33">
        <v>0.106792948809613</v>
      </c>
      <c r="K21" s="32">
        <v>1299.2809999999999</v>
      </c>
      <c r="L21" s="33">
        <v>0.13591740937817701</v>
      </c>
      <c r="M21" s="32">
        <v>1157.444</v>
      </c>
      <c r="N21" s="33">
        <v>0.13842674311621</v>
      </c>
      <c r="O21" s="32">
        <v>1327.625</v>
      </c>
      <c r="P21" s="33">
        <v>0.16190538908207999</v>
      </c>
      <c r="Q21" s="32">
        <v>-62.048999999999999</v>
      </c>
      <c r="R21" s="33">
        <v>-8.3636399417218107E-3</v>
      </c>
      <c r="S21" s="32">
        <v>1629.4069999999999</v>
      </c>
      <c r="T21" s="33">
        <v>0.15434115063703599</v>
      </c>
      <c r="U21" s="32">
        <v>2487.5940000000001</v>
      </c>
      <c r="V21" s="33">
        <v>0.195379678862139</v>
      </c>
      <c r="W21" s="32">
        <v>2186.1509999999998</v>
      </c>
      <c r="X21" s="33">
        <v>0.206858973558323</v>
      </c>
      <c r="Y21" s="32">
        <v>2380.94</v>
      </c>
      <c r="Z21" s="33">
        <v>0.189250837919066</v>
      </c>
      <c r="AA21" s="32" t="s">
        <v>198</v>
      </c>
      <c r="AB21" s="33"/>
    </row>
    <row r="22" spans="1:28" x14ac:dyDescent="0.25">
      <c r="A22" s="6" t="s">
        <v>1261</v>
      </c>
      <c r="B22" s="6"/>
      <c r="C22" s="38" t="s">
        <v>198</v>
      </c>
      <c r="D22" s="39"/>
      <c r="E22" s="38" t="s">
        <v>198</v>
      </c>
      <c r="F22" s="39"/>
      <c r="G22" s="38" t="s">
        <v>198</v>
      </c>
      <c r="H22" s="39"/>
      <c r="I22" s="38" t="s">
        <v>198</v>
      </c>
      <c r="J22" s="39"/>
      <c r="K22" s="38" t="s">
        <v>198</v>
      </c>
      <c r="L22" s="39"/>
      <c r="M22" s="38" t="s">
        <v>198</v>
      </c>
      <c r="N22" s="39"/>
      <c r="O22" s="38" t="s">
        <v>198</v>
      </c>
      <c r="P22" s="39"/>
      <c r="Q22" s="38" t="s">
        <v>198</v>
      </c>
      <c r="R22" s="39"/>
      <c r="S22" s="38" t="s">
        <v>198</v>
      </c>
      <c r="T22" s="39"/>
      <c r="U22" s="38" t="s">
        <v>198</v>
      </c>
      <c r="V22" s="39"/>
      <c r="W22" s="38" t="s">
        <v>198</v>
      </c>
      <c r="X22" s="39"/>
      <c r="Y22" s="38" t="s">
        <v>198</v>
      </c>
      <c r="Z22" s="39"/>
      <c r="AA22" s="38" t="s">
        <v>198</v>
      </c>
      <c r="AB22" s="39"/>
    </row>
    <row r="23" spans="1:28" x14ac:dyDescent="0.25">
      <c r="A23" s="10" t="s">
        <v>1274</v>
      </c>
      <c r="B23" s="10"/>
      <c r="C23" s="34" t="s">
        <v>198</v>
      </c>
      <c r="D23" s="35"/>
      <c r="E23" s="34">
        <v>15.3</v>
      </c>
      <c r="F23" s="35"/>
      <c r="G23" s="34">
        <v>62.8</v>
      </c>
      <c r="H23" s="35"/>
      <c r="I23" s="34">
        <v>28.6</v>
      </c>
      <c r="J23" s="35"/>
      <c r="K23" s="34">
        <v>12.9</v>
      </c>
      <c r="L23" s="35"/>
      <c r="M23" s="34">
        <v>21.4</v>
      </c>
      <c r="N23" s="35"/>
      <c r="O23" s="34">
        <v>1.6</v>
      </c>
      <c r="P23" s="35"/>
      <c r="Q23" s="34">
        <v>-3.5</v>
      </c>
      <c r="R23" s="35"/>
      <c r="S23" s="34">
        <v>42.9</v>
      </c>
      <c r="T23" s="35"/>
      <c r="U23" s="34">
        <v>35.700000000000003</v>
      </c>
      <c r="V23" s="35"/>
      <c r="W23" s="34">
        <v>4.4000000000000004</v>
      </c>
      <c r="X23" s="35"/>
      <c r="Y23" s="34">
        <v>2.2000000000000002</v>
      </c>
      <c r="Z23" s="35"/>
      <c r="AA23" s="34">
        <v>2.5</v>
      </c>
      <c r="AB23" s="35"/>
    </row>
    <row r="24" spans="1:28" x14ac:dyDescent="0.25">
      <c r="A24" s="10" t="s">
        <v>1273</v>
      </c>
      <c r="B24" s="10"/>
      <c r="C24" s="34" t="s">
        <v>198</v>
      </c>
      <c r="D24" s="35"/>
      <c r="E24" s="34">
        <v>12.6</v>
      </c>
      <c r="F24" s="35"/>
      <c r="G24" s="34">
        <v>-4.4000000000000004</v>
      </c>
      <c r="H24" s="35"/>
      <c r="I24" s="34">
        <v>13.7</v>
      </c>
      <c r="J24" s="35"/>
      <c r="K24" s="34">
        <v>15.3</v>
      </c>
      <c r="L24" s="35"/>
      <c r="M24" s="34">
        <v>8.1999999999999993</v>
      </c>
      <c r="N24" s="35"/>
      <c r="O24" s="34">
        <v>15.8</v>
      </c>
      <c r="P24" s="35"/>
      <c r="Q24" s="34">
        <v>-8.6999999999999993</v>
      </c>
      <c r="R24" s="35"/>
      <c r="S24" s="34">
        <v>24.4</v>
      </c>
      <c r="T24" s="35"/>
      <c r="U24" s="34">
        <v>32.700000000000003</v>
      </c>
      <c r="V24" s="35"/>
      <c r="W24" s="34">
        <v>8.1</v>
      </c>
      <c r="X24" s="35"/>
      <c r="Y24" s="34">
        <v>-6.3</v>
      </c>
      <c r="Z24" s="35"/>
      <c r="AA24" s="34">
        <v>-1.1000000000000001</v>
      </c>
      <c r="AB24" s="35"/>
    </row>
    <row r="25" spans="1:28" x14ac:dyDescent="0.25">
      <c r="A25" s="10" t="s">
        <v>1272</v>
      </c>
      <c r="B25" s="10"/>
      <c r="C25" s="34" t="s">
        <v>198</v>
      </c>
      <c r="D25" s="35"/>
      <c r="E25" s="34">
        <v>32.9</v>
      </c>
      <c r="F25" s="35"/>
      <c r="G25" s="34">
        <v>26.9</v>
      </c>
      <c r="H25" s="35"/>
      <c r="I25" s="34">
        <v>39.5</v>
      </c>
      <c r="J25" s="35"/>
      <c r="K25" s="34">
        <v>2.6</v>
      </c>
      <c r="L25" s="35"/>
      <c r="M25" s="34">
        <v>6.2</v>
      </c>
      <c r="N25" s="35"/>
      <c r="O25" s="34">
        <v>2.8</v>
      </c>
      <c r="P25" s="35"/>
      <c r="Q25" s="34">
        <v>35.5</v>
      </c>
      <c r="R25" s="35"/>
      <c r="S25" s="34">
        <v>4.5999999999999996</v>
      </c>
      <c r="T25" s="35"/>
      <c r="U25" s="34">
        <v>6.6</v>
      </c>
      <c r="V25" s="35"/>
      <c r="W25" s="34">
        <v>-9.4</v>
      </c>
      <c r="X25" s="35"/>
      <c r="Y25" s="34">
        <v>0.7</v>
      </c>
      <c r="Z25" s="35"/>
      <c r="AA25" s="34">
        <v>-3.8</v>
      </c>
      <c r="AB25" s="35"/>
    </row>
    <row r="26" spans="1:28" x14ac:dyDescent="0.25">
      <c r="A26" s="6" t="s">
        <v>335</v>
      </c>
      <c r="B26" s="6"/>
      <c r="C26" s="36" t="s">
        <v>198</v>
      </c>
      <c r="D26" s="37"/>
      <c r="E26" s="36">
        <v>3455.5239999999999</v>
      </c>
      <c r="F26" s="37">
        <v>1</v>
      </c>
      <c r="G26" s="36">
        <v>9010.0300000000007</v>
      </c>
      <c r="H26" s="37">
        <v>1</v>
      </c>
      <c r="I26" s="36">
        <v>6038.9089999999997</v>
      </c>
      <c r="J26" s="37">
        <v>1</v>
      </c>
      <c r="K26" s="36">
        <v>5644.06</v>
      </c>
      <c r="L26" s="37">
        <v>1</v>
      </c>
      <c r="M26" s="36">
        <v>6580.1819999999998</v>
      </c>
      <c r="N26" s="37">
        <v>1</v>
      </c>
      <c r="O26" s="36">
        <v>6424.7150000000001</v>
      </c>
      <c r="P26" s="37">
        <v>1</v>
      </c>
      <c r="Q26" s="36">
        <v>6688.049</v>
      </c>
      <c r="R26" s="37">
        <v>1</v>
      </c>
      <c r="S26" s="36">
        <v>8688.9480000000003</v>
      </c>
      <c r="T26" s="37">
        <v>1</v>
      </c>
      <c r="U26" s="36">
        <v>10162.475</v>
      </c>
      <c r="V26" s="37">
        <v>1</v>
      </c>
      <c r="W26" s="36">
        <v>9986.1319999999996</v>
      </c>
      <c r="X26" s="37">
        <v>1</v>
      </c>
      <c r="Y26" s="36">
        <v>9121.8729999999996</v>
      </c>
      <c r="Z26" s="37">
        <v>1</v>
      </c>
      <c r="AA26" s="36" t="s">
        <v>198</v>
      </c>
      <c r="AB26" s="37"/>
    </row>
    <row r="27" spans="1:28" x14ac:dyDescent="0.25">
      <c r="A27" s="10" t="s">
        <v>1272</v>
      </c>
      <c r="B27" s="10"/>
      <c r="C27" s="32" t="s">
        <v>198</v>
      </c>
      <c r="D27" s="33"/>
      <c r="E27" s="32">
        <v>1978.222</v>
      </c>
      <c r="F27" s="33">
        <v>0.57248104773689901</v>
      </c>
      <c r="G27" s="32">
        <v>7507.3630000000003</v>
      </c>
      <c r="H27" s="33">
        <v>0.83322286385283995</v>
      </c>
      <c r="I27" s="32">
        <v>3815.826</v>
      </c>
      <c r="J27" s="33">
        <v>0.63187340627255695</v>
      </c>
      <c r="K27" s="32">
        <v>3748.3359999999998</v>
      </c>
      <c r="L27" s="33">
        <v>0.66412050899529795</v>
      </c>
      <c r="M27" s="32">
        <v>4263.9489999999996</v>
      </c>
      <c r="N27" s="33">
        <v>0.64799864198285095</v>
      </c>
      <c r="O27" s="32">
        <v>4393.26</v>
      </c>
      <c r="P27" s="33">
        <v>0.68380620774617995</v>
      </c>
      <c r="Q27" s="32">
        <v>5078.9549999999999</v>
      </c>
      <c r="R27" s="33">
        <v>0.75940756414912602</v>
      </c>
      <c r="S27" s="32">
        <v>6268.94</v>
      </c>
      <c r="T27" s="33">
        <v>0.721484350004166</v>
      </c>
      <c r="U27" s="32">
        <v>7067.5240000000003</v>
      </c>
      <c r="V27" s="33">
        <v>0.695453026944716</v>
      </c>
      <c r="W27" s="32">
        <v>6560.6589999999997</v>
      </c>
      <c r="X27" s="33">
        <v>0.65697699569763301</v>
      </c>
      <c r="Y27" s="32">
        <v>5650.5450000000001</v>
      </c>
      <c r="Z27" s="33">
        <v>0.61945008442893301</v>
      </c>
      <c r="AA27" s="32" t="s">
        <v>198</v>
      </c>
      <c r="AB27" s="33"/>
    </row>
    <row r="28" spans="1:28" x14ac:dyDescent="0.25">
      <c r="A28" s="10" t="s">
        <v>1273</v>
      </c>
      <c r="B28" s="10"/>
      <c r="C28" s="32" t="s">
        <v>198</v>
      </c>
      <c r="D28" s="33"/>
      <c r="E28" s="32">
        <v>956.14200000000005</v>
      </c>
      <c r="F28" s="33">
        <v>0.27669956857483802</v>
      </c>
      <c r="G28" s="32">
        <v>930.22799999999995</v>
      </c>
      <c r="H28" s="33">
        <v>0.103243607401973</v>
      </c>
      <c r="I28" s="32">
        <v>1311.0419999999999</v>
      </c>
      <c r="J28" s="33">
        <v>0.21709914820706799</v>
      </c>
      <c r="K28" s="32">
        <v>1301.0830000000001</v>
      </c>
      <c r="L28" s="33">
        <v>0.230522531652746</v>
      </c>
      <c r="M28" s="32">
        <v>1171.79</v>
      </c>
      <c r="N28" s="33">
        <v>0.178078661046153</v>
      </c>
      <c r="O28" s="32">
        <v>1112.25</v>
      </c>
      <c r="P28" s="33">
        <v>0.17312051974289899</v>
      </c>
      <c r="Q28" s="32">
        <v>785.85299999999995</v>
      </c>
      <c r="R28" s="33">
        <v>0.117501082901755</v>
      </c>
      <c r="S28" s="32">
        <v>1139.367</v>
      </c>
      <c r="T28" s="33">
        <v>0.131128302298506</v>
      </c>
      <c r="U28" s="32">
        <v>1645.829</v>
      </c>
      <c r="V28" s="33">
        <v>0.16195159151683</v>
      </c>
      <c r="W28" s="32">
        <v>1837.366</v>
      </c>
      <c r="X28" s="33">
        <v>0.183991759772452</v>
      </c>
      <c r="Y28" s="32">
        <v>1737.124</v>
      </c>
      <c r="Z28" s="33">
        <v>0.19043501263391899</v>
      </c>
      <c r="AA28" s="32" t="s">
        <v>198</v>
      </c>
      <c r="AB28" s="33"/>
    </row>
    <row r="29" spans="1:28" x14ac:dyDescent="0.25">
      <c r="A29" s="10" t="s">
        <v>1274</v>
      </c>
      <c r="B29" s="10"/>
      <c r="C29" s="32" t="s">
        <v>198</v>
      </c>
      <c r="D29" s="33"/>
      <c r="E29" s="32">
        <v>521.16</v>
      </c>
      <c r="F29" s="33">
        <v>0.150819383688263</v>
      </c>
      <c r="G29" s="32">
        <v>572.43899999999996</v>
      </c>
      <c r="H29" s="33">
        <v>6.3533528745187307E-2</v>
      </c>
      <c r="I29" s="32">
        <v>912.04100000000005</v>
      </c>
      <c r="J29" s="33">
        <v>0.151027445520375</v>
      </c>
      <c r="K29" s="32">
        <v>594.64099999999996</v>
      </c>
      <c r="L29" s="33">
        <v>0.10535695935195601</v>
      </c>
      <c r="M29" s="32">
        <v>1144.443</v>
      </c>
      <c r="N29" s="33">
        <v>0.17392269697099599</v>
      </c>
      <c r="O29" s="32">
        <v>919.20500000000004</v>
      </c>
      <c r="P29" s="33">
        <v>0.143073272510921</v>
      </c>
      <c r="Q29" s="32">
        <v>823.24099999999999</v>
      </c>
      <c r="R29" s="33">
        <v>0.12309135294911901</v>
      </c>
      <c r="S29" s="32">
        <v>1280.6410000000001</v>
      </c>
      <c r="T29" s="33">
        <v>0.147387347697328</v>
      </c>
      <c r="U29" s="32">
        <v>1449.1220000000001</v>
      </c>
      <c r="V29" s="33">
        <v>0.142595381538454</v>
      </c>
      <c r="W29" s="32">
        <v>1588.107</v>
      </c>
      <c r="X29" s="33">
        <v>0.15903124452991399</v>
      </c>
      <c r="Y29" s="32">
        <v>1734.204</v>
      </c>
      <c r="Z29" s="33">
        <v>0.190114902937149</v>
      </c>
      <c r="AA29" s="32" t="s">
        <v>198</v>
      </c>
      <c r="AB29" s="33"/>
    </row>
    <row r="30" spans="1:28" x14ac:dyDescent="0.25">
      <c r="A30" s="6" t="s">
        <v>1277</v>
      </c>
      <c r="B30" s="6"/>
      <c r="C30" s="36" t="s">
        <v>198</v>
      </c>
      <c r="D30" s="37"/>
      <c r="E30" s="36" t="s">
        <v>198</v>
      </c>
      <c r="F30" s="37"/>
      <c r="G30" s="36" t="s">
        <v>198</v>
      </c>
      <c r="H30" s="37"/>
      <c r="I30" s="36" t="s">
        <v>198</v>
      </c>
      <c r="J30" s="37"/>
      <c r="K30" s="36" t="s">
        <v>198</v>
      </c>
      <c r="L30" s="37"/>
      <c r="M30" s="36" t="s">
        <v>198</v>
      </c>
      <c r="N30" s="37"/>
      <c r="O30" s="36" t="s">
        <v>198</v>
      </c>
      <c r="P30" s="37"/>
      <c r="Q30" s="36" t="s">
        <v>198</v>
      </c>
      <c r="R30" s="37"/>
      <c r="S30" s="36">
        <v>95539.567999999999</v>
      </c>
      <c r="T30" s="37">
        <v>1</v>
      </c>
      <c r="U30" s="36">
        <v>97866.142000000007</v>
      </c>
      <c r="V30" s="37">
        <v>1</v>
      </c>
      <c r="W30" s="36">
        <v>99224.942999999999</v>
      </c>
      <c r="X30" s="37">
        <v>1</v>
      </c>
      <c r="Y30" s="36">
        <v>113243.719</v>
      </c>
      <c r="Z30" s="37">
        <v>1</v>
      </c>
      <c r="AA30" s="36" t="s">
        <v>198</v>
      </c>
      <c r="AB30" s="37"/>
    </row>
    <row r="31" spans="1:28" x14ac:dyDescent="0.25">
      <c r="A31" s="10" t="s">
        <v>1273</v>
      </c>
      <c r="B31" s="10"/>
      <c r="C31" s="32" t="s">
        <v>198</v>
      </c>
      <c r="D31" s="33"/>
      <c r="E31" s="32" t="s">
        <v>198</v>
      </c>
      <c r="F31" s="33"/>
      <c r="G31" s="32" t="s">
        <v>198</v>
      </c>
      <c r="H31" s="33"/>
      <c r="I31" s="32" t="s">
        <v>198</v>
      </c>
      <c r="J31" s="33"/>
      <c r="K31" s="32" t="s">
        <v>198</v>
      </c>
      <c r="L31" s="33"/>
      <c r="M31" s="32" t="s">
        <v>198</v>
      </c>
      <c r="N31" s="33"/>
      <c r="O31" s="32" t="s">
        <v>198</v>
      </c>
      <c r="P31" s="33"/>
      <c r="Q31" s="32" t="s">
        <v>198</v>
      </c>
      <c r="R31" s="33"/>
      <c r="S31" s="32">
        <v>28810.392</v>
      </c>
      <c r="T31" s="33">
        <v>0.30155455590923302</v>
      </c>
      <c r="U31" s="32">
        <v>34582.396000000001</v>
      </c>
      <c r="V31" s="33">
        <v>0.35336425134649702</v>
      </c>
      <c r="W31" s="32">
        <v>43108.205000000002</v>
      </c>
      <c r="X31" s="33">
        <v>0.43444927955262203</v>
      </c>
      <c r="Y31" s="32">
        <v>43670.588000000003</v>
      </c>
      <c r="Z31" s="33">
        <v>0.385633643840326</v>
      </c>
      <c r="AA31" s="32" t="s">
        <v>198</v>
      </c>
      <c r="AB31" s="33"/>
    </row>
    <row r="32" spans="1:28" x14ac:dyDescent="0.25">
      <c r="A32" s="10" t="s">
        <v>1274</v>
      </c>
      <c r="B32" s="10"/>
      <c r="C32" s="32" t="s">
        <v>198</v>
      </c>
      <c r="D32" s="33"/>
      <c r="E32" s="32" t="s">
        <v>198</v>
      </c>
      <c r="F32" s="33"/>
      <c r="G32" s="32" t="s">
        <v>198</v>
      </c>
      <c r="H32" s="33"/>
      <c r="I32" s="32" t="s">
        <v>198</v>
      </c>
      <c r="J32" s="33"/>
      <c r="K32" s="32" t="s">
        <v>198</v>
      </c>
      <c r="L32" s="33"/>
      <c r="M32" s="32" t="s">
        <v>198</v>
      </c>
      <c r="N32" s="33"/>
      <c r="O32" s="32" t="s">
        <v>198</v>
      </c>
      <c r="P32" s="33"/>
      <c r="Q32" s="32" t="s">
        <v>198</v>
      </c>
      <c r="R32" s="33"/>
      <c r="S32" s="32">
        <v>42099.432000000001</v>
      </c>
      <c r="T32" s="33">
        <v>0.44064917689391297</v>
      </c>
      <c r="U32" s="32">
        <v>38416.087</v>
      </c>
      <c r="V32" s="33">
        <v>0.392537053315129</v>
      </c>
      <c r="W32" s="32">
        <v>34185.892</v>
      </c>
      <c r="X32" s="33">
        <v>0.34452921781975698</v>
      </c>
      <c r="Y32" s="32">
        <v>40364.432000000001</v>
      </c>
      <c r="Z32" s="33">
        <v>0.35643859417933799</v>
      </c>
      <c r="AA32" s="32" t="s">
        <v>198</v>
      </c>
      <c r="AB32" s="33"/>
    </row>
    <row r="33" spans="1:28" x14ac:dyDescent="0.25">
      <c r="A33" s="10" t="s">
        <v>1272</v>
      </c>
      <c r="B33" s="10"/>
      <c r="C33" s="32" t="s">
        <v>198</v>
      </c>
      <c r="D33" s="33"/>
      <c r="E33" s="32" t="s">
        <v>198</v>
      </c>
      <c r="F33" s="33"/>
      <c r="G33" s="32" t="s">
        <v>198</v>
      </c>
      <c r="H33" s="33"/>
      <c r="I33" s="32" t="s">
        <v>198</v>
      </c>
      <c r="J33" s="33"/>
      <c r="K33" s="32" t="s">
        <v>198</v>
      </c>
      <c r="L33" s="33"/>
      <c r="M33" s="32" t="s">
        <v>198</v>
      </c>
      <c r="N33" s="33"/>
      <c r="O33" s="32" t="s">
        <v>198</v>
      </c>
      <c r="P33" s="33"/>
      <c r="Q33" s="32" t="s">
        <v>198</v>
      </c>
      <c r="R33" s="33"/>
      <c r="S33" s="32">
        <v>24629.743999999999</v>
      </c>
      <c r="T33" s="33">
        <v>0.257796267196854</v>
      </c>
      <c r="U33" s="32">
        <v>24867.659</v>
      </c>
      <c r="V33" s="33">
        <v>0.25409869533837298</v>
      </c>
      <c r="W33" s="32">
        <v>21930.846000000001</v>
      </c>
      <c r="X33" s="33">
        <v>0.22102150262762099</v>
      </c>
      <c r="Y33" s="32">
        <v>29208.699000000001</v>
      </c>
      <c r="Z33" s="33">
        <v>0.25792776198033601</v>
      </c>
      <c r="AA33" s="32" t="s">
        <v>198</v>
      </c>
      <c r="AB33" s="33"/>
    </row>
    <row r="34" spans="1:28" x14ac:dyDescent="0.25">
      <c r="A34" s="6" t="s">
        <v>1265</v>
      </c>
      <c r="B34" s="6"/>
      <c r="C34" s="38" t="s">
        <v>198</v>
      </c>
      <c r="D34" s="39"/>
      <c r="E34" s="38">
        <v>17274000</v>
      </c>
      <c r="F34" s="39">
        <v>1</v>
      </c>
      <c r="G34" s="38">
        <v>18248000</v>
      </c>
      <c r="H34" s="39">
        <v>1</v>
      </c>
      <c r="I34" s="38">
        <v>20425000</v>
      </c>
      <c r="J34" s="39">
        <v>1</v>
      </c>
      <c r="K34" s="38">
        <v>20492000</v>
      </c>
      <c r="L34" s="39">
        <v>1</v>
      </c>
      <c r="M34" s="38">
        <v>21279000</v>
      </c>
      <c r="N34" s="39">
        <v>1</v>
      </c>
      <c r="O34" s="38">
        <v>22317000</v>
      </c>
      <c r="P34" s="39">
        <v>1</v>
      </c>
      <c r="Q34" s="38">
        <v>23654000</v>
      </c>
      <c r="R34" s="39">
        <v>1</v>
      </c>
      <c r="S34" s="38">
        <v>25557000</v>
      </c>
      <c r="T34" s="39">
        <v>1</v>
      </c>
      <c r="U34" s="38">
        <v>27450000</v>
      </c>
      <c r="V34" s="39">
        <v>1</v>
      </c>
      <c r="W34" s="38">
        <v>27067000</v>
      </c>
      <c r="X34" s="39">
        <v>1</v>
      </c>
      <c r="Y34" s="38">
        <v>25394000</v>
      </c>
      <c r="Z34" s="39">
        <v>1</v>
      </c>
      <c r="AA34" s="38">
        <v>24287000</v>
      </c>
      <c r="AB34" s="39">
        <v>1</v>
      </c>
    </row>
    <row r="35" spans="1:28" x14ac:dyDescent="0.25">
      <c r="A35" s="10" t="s">
        <v>1272</v>
      </c>
      <c r="B35" s="10"/>
      <c r="C35" s="34" t="s">
        <v>198</v>
      </c>
      <c r="D35" s="35"/>
      <c r="E35" s="34">
        <v>10151000</v>
      </c>
      <c r="F35" s="35">
        <v>0.58764617343985204</v>
      </c>
      <c r="G35" s="34">
        <v>10803000</v>
      </c>
      <c r="H35" s="35">
        <v>0.59201008329680005</v>
      </c>
      <c r="I35" s="34">
        <v>12451000</v>
      </c>
      <c r="J35" s="35">
        <v>0.60959608323133396</v>
      </c>
      <c r="K35" s="34">
        <v>11844000</v>
      </c>
      <c r="L35" s="35">
        <v>0.57798165137614699</v>
      </c>
      <c r="M35" s="34">
        <v>12016000</v>
      </c>
      <c r="N35" s="35">
        <v>0.56468819023450301</v>
      </c>
      <c r="O35" s="34">
        <v>12460000</v>
      </c>
      <c r="P35" s="35">
        <v>0.55831877044405598</v>
      </c>
      <c r="Q35" s="34">
        <v>15230000</v>
      </c>
      <c r="R35" s="35">
        <v>0.64386573095459498</v>
      </c>
      <c r="S35" s="34">
        <v>15791000</v>
      </c>
      <c r="T35" s="35">
        <v>0.61787377235199703</v>
      </c>
      <c r="U35" s="34">
        <v>15397000</v>
      </c>
      <c r="V35" s="35">
        <v>0.56091074681238595</v>
      </c>
      <c r="W35" s="34">
        <v>14923000</v>
      </c>
      <c r="X35" s="35">
        <v>0.55133557468504102</v>
      </c>
      <c r="Y35" s="34">
        <v>14311000</v>
      </c>
      <c r="Z35" s="35">
        <v>0.56355832086319602</v>
      </c>
      <c r="AA35" s="34">
        <v>13289000</v>
      </c>
      <c r="AB35" s="35">
        <v>0.54716515008028999</v>
      </c>
    </row>
    <row r="36" spans="1:28" x14ac:dyDescent="0.25">
      <c r="A36" s="10" t="s">
        <v>1273</v>
      </c>
      <c r="B36" s="10"/>
      <c r="C36" s="34" t="s">
        <v>198</v>
      </c>
      <c r="D36" s="35"/>
      <c r="E36" s="34">
        <v>5638000</v>
      </c>
      <c r="F36" s="35">
        <v>0.32638647678592098</v>
      </c>
      <c r="G36" s="34">
        <v>5640000</v>
      </c>
      <c r="H36" s="35">
        <v>0.30907496711968402</v>
      </c>
      <c r="I36" s="34">
        <v>5981000</v>
      </c>
      <c r="J36" s="35">
        <v>0.29282741738066098</v>
      </c>
      <c r="K36" s="34">
        <v>6355000</v>
      </c>
      <c r="L36" s="35">
        <v>0.31012102283818099</v>
      </c>
      <c r="M36" s="34">
        <v>6746000</v>
      </c>
      <c r="N36" s="35">
        <v>0.31702617604210698</v>
      </c>
      <c r="O36" s="34">
        <v>7297000</v>
      </c>
      <c r="P36" s="35">
        <v>0.326970470941435</v>
      </c>
      <c r="Q36" s="34">
        <v>6237000</v>
      </c>
      <c r="R36" s="35">
        <v>0.26367633381246303</v>
      </c>
      <c r="S36" s="34">
        <v>6731000</v>
      </c>
      <c r="T36" s="35">
        <v>0.26337207027428899</v>
      </c>
      <c r="U36" s="34">
        <v>7774000</v>
      </c>
      <c r="V36" s="35">
        <v>0.28320582877959899</v>
      </c>
      <c r="W36" s="34">
        <v>7451000</v>
      </c>
      <c r="X36" s="35">
        <v>0.27527986108545499</v>
      </c>
      <c r="Y36" s="34">
        <v>6757000</v>
      </c>
      <c r="Z36" s="35">
        <v>0.26608647712057998</v>
      </c>
      <c r="AA36" s="34">
        <v>6661000</v>
      </c>
      <c r="AB36" s="35">
        <v>0.27426195083789701</v>
      </c>
    </row>
    <row r="37" spans="1:28" x14ac:dyDescent="0.25">
      <c r="A37" s="10" t="s">
        <v>1274</v>
      </c>
      <c r="B37" s="10"/>
      <c r="C37" s="34" t="s">
        <v>198</v>
      </c>
      <c r="D37" s="35"/>
      <c r="E37" s="34">
        <v>1485000</v>
      </c>
      <c r="F37" s="35">
        <v>8.5967349774227195E-2</v>
      </c>
      <c r="G37" s="34">
        <v>1805000</v>
      </c>
      <c r="H37" s="35">
        <v>9.8914949583516001E-2</v>
      </c>
      <c r="I37" s="34">
        <v>1993000</v>
      </c>
      <c r="J37" s="35">
        <v>9.7576499388004903E-2</v>
      </c>
      <c r="K37" s="34">
        <v>2293000</v>
      </c>
      <c r="L37" s="35">
        <v>0.11189732578567201</v>
      </c>
      <c r="M37" s="34">
        <v>2517000</v>
      </c>
      <c r="N37" s="35">
        <v>0.118285633723389</v>
      </c>
      <c r="O37" s="34">
        <v>2560000</v>
      </c>
      <c r="P37" s="35">
        <v>0.114710758614509</v>
      </c>
      <c r="Q37" s="34">
        <v>2187000</v>
      </c>
      <c r="R37" s="35">
        <v>9.2457935232941602E-2</v>
      </c>
      <c r="S37" s="34">
        <v>3035000</v>
      </c>
      <c r="T37" s="35">
        <v>0.118754157373714</v>
      </c>
      <c r="U37" s="34">
        <v>4279000</v>
      </c>
      <c r="V37" s="35">
        <v>0.155883424408015</v>
      </c>
      <c r="W37" s="34">
        <v>4693000</v>
      </c>
      <c r="X37" s="35">
        <v>0.17338456422950499</v>
      </c>
      <c r="Y37" s="34">
        <v>4326000</v>
      </c>
      <c r="Z37" s="35">
        <v>0.17035520201622401</v>
      </c>
      <c r="AA37" s="34">
        <v>4337000</v>
      </c>
      <c r="AB37" s="35">
        <v>0.17857289908181301</v>
      </c>
    </row>
    <row r="38" spans="1:28" x14ac:dyDescent="0.25">
      <c r="A38" s="6" t="s">
        <v>1266</v>
      </c>
      <c r="B38" s="6"/>
      <c r="C38" s="38" t="s">
        <v>198</v>
      </c>
      <c r="D38" s="39"/>
      <c r="E38" s="38" t="s">
        <v>198</v>
      </c>
      <c r="F38" s="39"/>
      <c r="G38" s="38" t="s">
        <v>198</v>
      </c>
      <c r="H38" s="39"/>
      <c r="I38" s="38" t="s">
        <v>198</v>
      </c>
      <c r="J38" s="39"/>
      <c r="K38" s="38" t="s">
        <v>198</v>
      </c>
      <c r="L38" s="39"/>
      <c r="M38" s="38" t="s">
        <v>198</v>
      </c>
      <c r="N38" s="39"/>
      <c r="O38" s="38" t="s">
        <v>198</v>
      </c>
      <c r="P38" s="39"/>
      <c r="Q38" s="38" t="s">
        <v>198</v>
      </c>
      <c r="R38" s="39"/>
      <c r="S38" s="38" t="s">
        <v>198</v>
      </c>
      <c r="T38" s="39"/>
      <c r="U38" s="38" t="s">
        <v>198</v>
      </c>
      <c r="V38" s="39"/>
      <c r="W38" s="38" t="s">
        <v>198</v>
      </c>
      <c r="X38" s="39"/>
      <c r="Y38" s="38" t="s">
        <v>198</v>
      </c>
      <c r="Z38" s="39"/>
      <c r="AA38" s="38" t="s">
        <v>198</v>
      </c>
      <c r="AB38" s="39"/>
    </row>
    <row r="39" spans="1:28" x14ac:dyDescent="0.25">
      <c r="A39" s="10" t="s">
        <v>1272</v>
      </c>
      <c r="B39" s="10"/>
      <c r="C39" s="34" t="s">
        <v>198</v>
      </c>
      <c r="D39" s="35"/>
      <c r="E39" s="34" t="s">
        <v>198</v>
      </c>
      <c r="F39" s="35"/>
      <c r="G39" s="34" t="s">
        <v>198</v>
      </c>
      <c r="H39" s="35"/>
      <c r="I39" s="34" t="s">
        <v>198</v>
      </c>
      <c r="J39" s="35"/>
      <c r="K39" s="34" t="s">
        <v>198</v>
      </c>
      <c r="L39" s="35"/>
      <c r="M39" s="34">
        <v>64</v>
      </c>
      <c r="N39" s="35"/>
      <c r="O39" s="34">
        <v>62</v>
      </c>
      <c r="P39" s="35"/>
      <c r="Q39" s="34">
        <v>70</v>
      </c>
      <c r="R39" s="35"/>
      <c r="S39" s="34">
        <v>65</v>
      </c>
      <c r="T39" s="35"/>
      <c r="U39" s="34">
        <v>60.1</v>
      </c>
      <c r="V39" s="35"/>
      <c r="W39" s="34">
        <v>56.1</v>
      </c>
      <c r="X39" s="35"/>
      <c r="Y39" s="34">
        <v>49.6</v>
      </c>
      <c r="Z39" s="35"/>
      <c r="AA39" s="34">
        <v>55.9</v>
      </c>
      <c r="AB39" s="35"/>
    </row>
    <row r="40" spans="1:28" x14ac:dyDescent="0.25">
      <c r="A40" s="10" t="s">
        <v>1273</v>
      </c>
      <c r="B40" s="10"/>
      <c r="C40" s="34" t="s">
        <v>198</v>
      </c>
      <c r="D40" s="35"/>
      <c r="E40" s="34" t="s">
        <v>198</v>
      </c>
      <c r="F40" s="35"/>
      <c r="G40" s="34" t="s">
        <v>198</v>
      </c>
      <c r="H40" s="35"/>
      <c r="I40" s="34" t="s">
        <v>198</v>
      </c>
      <c r="J40" s="35"/>
      <c r="K40" s="34" t="s">
        <v>198</v>
      </c>
      <c r="L40" s="35"/>
      <c r="M40" s="34">
        <v>22.2</v>
      </c>
      <c r="N40" s="35"/>
      <c r="O40" s="34">
        <v>25</v>
      </c>
      <c r="P40" s="35"/>
      <c r="Q40" s="34">
        <v>19</v>
      </c>
      <c r="R40" s="35"/>
      <c r="S40" s="34">
        <v>21</v>
      </c>
      <c r="T40" s="35"/>
      <c r="U40" s="34">
        <v>23.9</v>
      </c>
      <c r="V40" s="35"/>
      <c r="W40" s="34">
        <v>26.6</v>
      </c>
      <c r="X40" s="35"/>
      <c r="Y40" s="34">
        <v>29.8</v>
      </c>
      <c r="Z40" s="35"/>
      <c r="AA40" s="34">
        <v>25.4</v>
      </c>
      <c r="AB40" s="35"/>
    </row>
    <row r="41" spans="1:28" x14ac:dyDescent="0.25">
      <c r="A41" s="10" t="s">
        <v>1274</v>
      </c>
      <c r="B41" s="10"/>
      <c r="C41" s="34" t="s">
        <v>198</v>
      </c>
      <c r="D41" s="35"/>
      <c r="E41" s="34" t="s">
        <v>198</v>
      </c>
      <c r="F41" s="35"/>
      <c r="G41" s="34" t="s">
        <v>198</v>
      </c>
      <c r="H41" s="35"/>
      <c r="I41" s="34" t="s">
        <v>198</v>
      </c>
      <c r="J41" s="35"/>
      <c r="K41" s="34" t="s">
        <v>198</v>
      </c>
      <c r="L41" s="35"/>
      <c r="M41" s="34">
        <v>13.8</v>
      </c>
      <c r="N41" s="35"/>
      <c r="O41" s="34">
        <v>13</v>
      </c>
      <c r="P41" s="35"/>
      <c r="Q41" s="34">
        <v>11</v>
      </c>
      <c r="R41" s="35"/>
      <c r="S41" s="34">
        <v>14</v>
      </c>
      <c r="T41" s="35"/>
      <c r="U41" s="34">
        <v>16.100000000000001</v>
      </c>
      <c r="V41" s="35"/>
      <c r="W41" s="34">
        <v>17.3</v>
      </c>
      <c r="X41" s="35"/>
      <c r="Y41" s="34">
        <v>20.6</v>
      </c>
      <c r="Z41" s="35"/>
      <c r="AA41" s="34">
        <v>18</v>
      </c>
      <c r="AB41" s="35"/>
    </row>
    <row r="42" spans="1:28" x14ac:dyDescent="0.25">
      <c r="A42" s="6" t="s">
        <v>1278</v>
      </c>
      <c r="B42" s="6"/>
      <c r="C42" s="36" t="s">
        <v>198</v>
      </c>
      <c r="D42" s="37"/>
      <c r="E42" s="36" t="s">
        <v>198</v>
      </c>
      <c r="F42" s="37"/>
      <c r="G42" s="36" t="s">
        <v>198</v>
      </c>
      <c r="H42" s="37"/>
      <c r="I42" s="36" t="s">
        <v>198</v>
      </c>
      <c r="J42" s="37"/>
      <c r="K42" s="36" t="s">
        <v>198</v>
      </c>
      <c r="L42" s="37"/>
      <c r="M42" s="36" t="s">
        <v>198</v>
      </c>
      <c r="N42" s="37"/>
      <c r="O42" s="36" t="s">
        <v>198</v>
      </c>
      <c r="P42" s="37"/>
      <c r="Q42" s="36" t="s">
        <v>198</v>
      </c>
      <c r="R42" s="37"/>
      <c r="S42" s="36" t="s">
        <v>198</v>
      </c>
      <c r="T42" s="37"/>
      <c r="U42" s="36">
        <v>39442.932000000001</v>
      </c>
      <c r="V42" s="37">
        <v>1</v>
      </c>
      <c r="W42" s="36">
        <v>41585.629999999997</v>
      </c>
      <c r="X42" s="37">
        <v>1</v>
      </c>
      <c r="Y42" s="36">
        <v>46448.756999999998</v>
      </c>
      <c r="Z42" s="37">
        <v>1</v>
      </c>
      <c r="AA42" s="36" t="s">
        <v>198</v>
      </c>
      <c r="AB42" s="37"/>
    </row>
    <row r="43" spans="1:28" x14ac:dyDescent="0.25">
      <c r="A43" s="10" t="s">
        <v>1273</v>
      </c>
      <c r="B43" s="10"/>
      <c r="C43" s="32" t="s">
        <v>198</v>
      </c>
      <c r="D43" s="33"/>
      <c r="E43" s="32" t="s">
        <v>198</v>
      </c>
      <c r="F43" s="33"/>
      <c r="G43" s="32" t="s">
        <v>198</v>
      </c>
      <c r="H43" s="33"/>
      <c r="I43" s="32" t="s">
        <v>198</v>
      </c>
      <c r="J43" s="33"/>
      <c r="K43" s="32" t="s">
        <v>198</v>
      </c>
      <c r="L43" s="33"/>
      <c r="M43" s="32" t="s">
        <v>198</v>
      </c>
      <c r="N43" s="33"/>
      <c r="O43" s="32" t="s">
        <v>198</v>
      </c>
      <c r="P43" s="33"/>
      <c r="Q43" s="32" t="s">
        <v>198</v>
      </c>
      <c r="R43" s="33"/>
      <c r="S43" s="32" t="s">
        <v>198</v>
      </c>
      <c r="T43" s="33"/>
      <c r="U43" s="32">
        <v>29878.106</v>
      </c>
      <c r="V43" s="33">
        <v>0.75750215526573905</v>
      </c>
      <c r="W43" s="32">
        <v>33489.571000000004</v>
      </c>
      <c r="X43" s="33">
        <v>0.80531594687876595</v>
      </c>
      <c r="Y43" s="32">
        <v>37095.222000000002</v>
      </c>
      <c r="Z43" s="33">
        <v>0.79862679640706002</v>
      </c>
      <c r="AA43" s="32" t="s">
        <v>198</v>
      </c>
      <c r="AB43" s="33"/>
    </row>
    <row r="44" spans="1:28" x14ac:dyDescent="0.25">
      <c r="A44" s="10" t="s">
        <v>1272</v>
      </c>
      <c r="B44" s="10"/>
      <c r="C44" s="32" t="s">
        <v>198</v>
      </c>
      <c r="D44" s="33"/>
      <c r="E44" s="32" t="s">
        <v>198</v>
      </c>
      <c r="F44" s="33"/>
      <c r="G44" s="32" t="s">
        <v>198</v>
      </c>
      <c r="H44" s="33"/>
      <c r="I44" s="32" t="s">
        <v>198</v>
      </c>
      <c r="J44" s="33"/>
      <c r="K44" s="32" t="s">
        <v>198</v>
      </c>
      <c r="L44" s="33"/>
      <c r="M44" s="32" t="s">
        <v>198</v>
      </c>
      <c r="N44" s="33"/>
      <c r="O44" s="32" t="s">
        <v>198</v>
      </c>
      <c r="P44" s="33"/>
      <c r="Q44" s="32" t="s">
        <v>198</v>
      </c>
      <c r="R44" s="33"/>
      <c r="S44" s="32" t="s">
        <v>198</v>
      </c>
      <c r="T44" s="33"/>
      <c r="U44" s="32">
        <v>6929.2420000000002</v>
      </c>
      <c r="V44" s="33">
        <v>0.17567766006847599</v>
      </c>
      <c r="W44" s="32">
        <v>5162.3339999999998</v>
      </c>
      <c r="X44" s="33">
        <v>0.124137448440723</v>
      </c>
      <c r="Y44" s="32">
        <v>6673.9250000000002</v>
      </c>
      <c r="Z44" s="33">
        <v>0.14368360815338899</v>
      </c>
      <c r="AA44" s="32" t="s">
        <v>198</v>
      </c>
      <c r="AB44" s="33"/>
    </row>
    <row r="45" spans="1:28" x14ac:dyDescent="0.25">
      <c r="A45" s="10" t="s">
        <v>1274</v>
      </c>
      <c r="B45" s="10"/>
      <c r="C45" s="32" t="s">
        <v>198</v>
      </c>
      <c r="D45" s="33"/>
      <c r="E45" s="32" t="s">
        <v>198</v>
      </c>
      <c r="F45" s="33"/>
      <c r="G45" s="32" t="s">
        <v>198</v>
      </c>
      <c r="H45" s="33"/>
      <c r="I45" s="32" t="s">
        <v>198</v>
      </c>
      <c r="J45" s="33"/>
      <c r="K45" s="32" t="s">
        <v>198</v>
      </c>
      <c r="L45" s="33"/>
      <c r="M45" s="32" t="s">
        <v>198</v>
      </c>
      <c r="N45" s="33"/>
      <c r="O45" s="32" t="s">
        <v>198</v>
      </c>
      <c r="P45" s="33"/>
      <c r="Q45" s="32" t="s">
        <v>198</v>
      </c>
      <c r="R45" s="33"/>
      <c r="S45" s="32" t="s">
        <v>198</v>
      </c>
      <c r="T45" s="33"/>
      <c r="U45" s="32">
        <v>2635.5839999999998</v>
      </c>
      <c r="V45" s="33">
        <v>6.6820184665785001E-2</v>
      </c>
      <c r="W45" s="32">
        <v>2933.7249999999999</v>
      </c>
      <c r="X45" s="33">
        <v>7.0546604680510994E-2</v>
      </c>
      <c r="Y45" s="32">
        <v>2679.61</v>
      </c>
      <c r="Z45" s="33">
        <v>5.7689595439550698E-2</v>
      </c>
      <c r="AA45" s="32" t="s">
        <v>198</v>
      </c>
      <c r="AB45" s="33"/>
    </row>
    <row r="46" spans="1:28" x14ac:dyDescent="0.25">
      <c r="A46" s="6" t="s">
        <v>1267</v>
      </c>
      <c r="B46" s="6"/>
      <c r="C46" s="38" t="s">
        <v>198</v>
      </c>
      <c r="D46" s="39"/>
      <c r="E46" s="38" t="s">
        <v>198</v>
      </c>
      <c r="F46" s="39"/>
      <c r="G46" s="38" t="s">
        <v>198</v>
      </c>
      <c r="H46" s="39"/>
      <c r="I46" s="38" t="s">
        <v>198</v>
      </c>
      <c r="J46" s="39"/>
      <c r="K46" s="38" t="s">
        <v>198</v>
      </c>
      <c r="L46" s="39"/>
      <c r="M46" s="38" t="s">
        <v>198</v>
      </c>
      <c r="N46" s="39"/>
      <c r="O46" s="38" t="s">
        <v>198</v>
      </c>
      <c r="P46" s="39"/>
      <c r="Q46" s="38" t="s">
        <v>198</v>
      </c>
      <c r="R46" s="39"/>
      <c r="S46" s="38" t="s">
        <v>198</v>
      </c>
      <c r="T46" s="39"/>
      <c r="U46" s="38" t="s">
        <v>198</v>
      </c>
      <c r="V46" s="39"/>
      <c r="W46" s="38" t="s">
        <v>198</v>
      </c>
      <c r="X46" s="39"/>
      <c r="Y46" s="38" t="s">
        <v>198</v>
      </c>
      <c r="Z46" s="39"/>
      <c r="AA46" s="38" t="s">
        <v>198</v>
      </c>
      <c r="AB46" s="39"/>
    </row>
    <row r="47" spans="1:28" x14ac:dyDescent="0.25">
      <c r="A47" s="10" t="s">
        <v>1272</v>
      </c>
      <c r="B47" s="10"/>
      <c r="C47" s="34" t="s">
        <v>198</v>
      </c>
      <c r="D47" s="35"/>
      <c r="E47" s="34">
        <v>30.3</v>
      </c>
      <c r="F47" s="35"/>
      <c r="G47" s="34">
        <v>6.4</v>
      </c>
      <c r="H47" s="35"/>
      <c r="I47" s="34">
        <v>15.3</v>
      </c>
      <c r="J47" s="35"/>
      <c r="K47" s="34">
        <v>-4.9000000000000004</v>
      </c>
      <c r="L47" s="35"/>
      <c r="M47" s="34">
        <v>6.2</v>
      </c>
      <c r="N47" s="35"/>
      <c r="O47" s="34">
        <v>56</v>
      </c>
      <c r="P47" s="35"/>
      <c r="Q47" s="34">
        <v>65</v>
      </c>
      <c r="R47" s="35"/>
      <c r="S47" s="34">
        <v>62</v>
      </c>
      <c r="T47" s="35"/>
      <c r="U47" s="34">
        <v>56.1</v>
      </c>
      <c r="V47" s="35"/>
      <c r="W47" s="34">
        <v>55.1</v>
      </c>
      <c r="X47" s="35"/>
      <c r="Y47" s="34">
        <v>56.4</v>
      </c>
      <c r="Z47" s="35"/>
      <c r="AA47" s="34">
        <v>54.7</v>
      </c>
      <c r="AB47" s="35"/>
    </row>
    <row r="48" spans="1:28" x14ac:dyDescent="0.25">
      <c r="A48" s="10" t="s">
        <v>1273</v>
      </c>
      <c r="B48" s="10"/>
      <c r="C48" s="34" t="s">
        <v>198</v>
      </c>
      <c r="D48" s="35"/>
      <c r="E48" s="34">
        <v>11.8</v>
      </c>
      <c r="F48" s="35"/>
      <c r="G48" s="34">
        <v>0.1</v>
      </c>
      <c r="H48" s="35"/>
      <c r="I48" s="34">
        <v>6</v>
      </c>
      <c r="J48" s="35"/>
      <c r="K48" s="34">
        <v>6.3</v>
      </c>
      <c r="L48" s="35"/>
      <c r="M48" s="34">
        <v>12.6</v>
      </c>
      <c r="N48" s="35"/>
      <c r="O48" s="34">
        <v>33</v>
      </c>
      <c r="P48" s="35"/>
      <c r="Q48" s="34">
        <v>26</v>
      </c>
      <c r="R48" s="35"/>
      <c r="S48" s="34">
        <v>26</v>
      </c>
      <c r="T48" s="35"/>
      <c r="U48" s="34">
        <v>28.3</v>
      </c>
      <c r="V48" s="35"/>
      <c r="W48" s="34">
        <v>27.5</v>
      </c>
      <c r="X48" s="35"/>
      <c r="Y48" s="34">
        <v>26.6</v>
      </c>
      <c r="Z48" s="35"/>
      <c r="AA48" s="34">
        <v>27.4</v>
      </c>
      <c r="AB48" s="35"/>
    </row>
    <row r="49" spans="1:28" x14ac:dyDescent="0.25">
      <c r="A49" s="10" t="s">
        <v>1274</v>
      </c>
      <c r="B49" s="10"/>
      <c r="C49" s="34" t="s">
        <v>198</v>
      </c>
      <c r="D49" s="35"/>
      <c r="E49" s="34">
        <v>7.8</v>
      </c>
      <c r="F49" s="35"/>
      <c r="G49" s="34">
        <v>21.5</v>
      </c>
      <c r="H49" s="35"/>
      <c r="I49" s="34">
        <v>10.4</v>
      </c>
      <c r="J49" s="35"/>
      <c r="K49" s="34">
        <v>15</v>
      </c>
      <c r="L49" s="35"/>
      <c r="M49" s="34">
        <v>21.4</v>
      </c>
      <c r="N49" s="35"/>
      <c r="O49" s="34">
        <v>11</v>
      </c>
      <c r="P49" s="35"/>
      <c r="Q49" s="34">
        <v>9</v>
      </c>
      <c r="R49" s="35"/>
      <c r="S49" s="34">
        <v>12</v>
      </c>
      <c r="T49" s="35"/>
      <c r="U49" s="34">
        <v>15.6</v>
      </c>
      <c r="V49" s="35"/>
      <c r="W49" s="34">
        <v>17.3</v>
      </c>
      <c r="X49" s="35"/>
      <c r="Y49" s="34">
        <v>17</v>
      </c>
      <c r="Z49" s="35"/>
      <c r="AA49" s="34">
        <v>17.899999999999999</v>
      </c>
      <c r="AB49" s="35"/>
    </row>
    <row r="50" spans="1:28" x14ac:dyDescent="0.25">
      <c r="A50" s="6" t="s">
        <v>1270</v>
      </c>
      <c r="B50" s="6"/>
      <c r="C50" s="38" t="s">
        <v>198</v>
      </c>
      <c r="D50" s="39"/>
      <c r="E50" s="38" t="s">
        <v>198</v>
      </c>
      <c r="F50" s="39"/>
      <c r="G50" s="38" t="s">
        <v>198</v>
      </c>
      <c r="H50" s="39"/>
      <c r="I50" s="38" t="s">
        <v>198</v>
      </c>
      <c r="J50" s="39"/>
      <c r="K50" s="38" t="s">
        <v>198</v>
      </c>
      <c r="L50" s="39"/>
      <c r="M50" s="38" t="s">
        <v>198</v>
      </c>
      <c r="N50" s="39"/>
      <c r="O50" s="38" t="s">
        <v>198</v>
      </c>
      <c r="P50" s="39"/>
      <c r="Q50" s="38" t="s">
        <v>198</v>
      </c>
      <c r="R50" s="39"/>
      <c r="S50" s="38" t="s">
        <v>198</v>
      </c>
      <c r="T50" s="39"/>
      <c r="U50" s="38" t="s">
        <v>198</v>
      </c>
      <c r="V50" s="39"/>
      <c r="W50" s="38">
        <v>100</v>
      </c>
      <c r="X50" s="39">
        <v>1</v>
      </c>
      <c r="Y50" s="38">
        <v>100</v>
      </c>
      <c r="Z50" s="39">
        <v>1</v>
      </c>
      <c r="AA50" s="38" t="s">
        <v>198</v>
      </c>
      <c r="AB50" s="39"/>
    </row>
    <row r="51" spans="1:28" x14ac:dyDescent="0.25">
      <c r="A51" s="10" t="s">
        <v>1272</v>
      </c>
      <c r="B51" s="10"/>
      <c r="C51" s="34" t="s">
        <v>198</v>
      </c>
      <c r="D51" s="35"/>
      <c r="E51" s="34" t="s">
        <v>198</v>
      </c>
      <c r="F51" s="35"/>
      <c r="G51" s="34" t="s">
        <v>198</v>
      </c>
      <c r="H51" s="35"/>
      <c r="I51" s="34" t="s">
        <v>198</v>
      </c>
      <c r="J51" s="35"/>
      <c r="K51" s="34" t="s">
        <v>198</v>
      </c>
      <c r="L51" s="35"/>
      <c r="M51" s="34" t="s">
        <v>198</v>
      </c>
      <c r="N51" s="35"/>
      <c r="O51" s="34" t="s">
        <v>198</v>
      </c>
      <c r="P51" s="35"/>
      <c r="Q51" s="34" t="s">
        <v>198</v>
      </c>
      <c r="R51" s="35"/>
      <c r="S51" s="34" t="s">
        <v>198</v>
      </c>
      <c r="T51" s="35"/>
      <c r="U51" s="34" t="s">
        <v>198</v>
      </c>
      <c r="V51" s="35"/>
      <c r="W51" s="34">
        <v>56</v>
      </c>
      <c r="X51" s="35">
        <v>0.56000000000000005</v>
      </c>
      <c r="Y51" s="34">
        <v>47.2</v>
      </c>
      <c r="Z51" s="35">
        <v>0.47199999999999998</v>
      </c>
      <c r="AA51" s="34" t="s">
        <v>198</v>
      </c>
      <c r="AB51" s="35"/>
    </row>
    <row r="52" spans="1:28" x14ac:dyDescent="0.25">
      <c r="A52" s="10" t="s">
        <v>1273</v>
      </c>
      <c r="B52" s="10"/>
      <c r="C52" s="34" t="s">
        <v>198</v>
      </c>
      <c r="D52" s="35"/>
      <c r="E52" s="34" t="s">
        <v>198</v>
      </c>
      <c r="F52" s="35"/>
      <c r="G52" s="34" t="s">
        <v>198</v>
      </c>
      <c r="H52" s="35"/>
      <c r="I52" s="34" t="s">
        <v>198</v>
      </c>
      <c r="J52" s="35"/>
      <c r="K52" s="34" t="s">
        <v>198</v>
      </c>
      <c r="L52" s="35"/>
      <c r="M52" s="34" t="s">
        <v>198</v>
      </c>
      <c r="N52" s="35"/>
      <c r="O52" s="34" t="s">
        <v>198</v>
      </c>
      <c r="P52" s="35"/>
      <c r="Q52" s="34" t="s">
        <v>198</v>
      </c>
      <c r="R52" s="35"/>
      <c r="S52" s="34" t="s">
        <v>198</v>
      </c>
      <c r="T52" s="35"/>
      <c r="U52" s="34" t="s">
        <v>198</v>
      </c>
      <c r="V52" s="35"/>
      <c r="W52" s="34">
        <v>27</v>
      </c>
      <c r="X52" s="35">
        <v>0.27</v>
      </c>
      <c r="Y52" s="34">
        <v>34</v>
      </c>
      <c r="Z52" s="35">
        <v>0.34</v>
      </c>
      <c r="AA52" s="34" t="s">
        <v>198</v>
      </c>
      <c r="AB52" s="35"/>
    </row>
    <row r="53" spans="1:28" x14ac:dyDescent="0.25">
      <c r="A53" s="10" t="s">
        <v>1274</v>
      </c>
      <c r="B53" s="10"/>
      <c r="C53" s="34" t="s">
        <v>198</v>
      </c>
      <c r="D53" s="35"/>
      <c r="E53" s="34" t="s">
        <v>198</v>
      </c>
      <c r="F53" s="35"/>
      <c r="G53" s="34" t="s">
        <v>198</v>
      </c>
      <c r="H53" s="35"/>
      <c r="I53" s="34" t="s">
        <v>198</v>
      </c>
      <c r="J53" s="35"/>
      <c r="K53" s="34" t="s">
        <v>198</v>
      </c>
      <c r="L53" s="35"/>
      <c r="M53" s="34" t="s">
        <v>198</v>
      </c>
      <c r="N53" s="35"/>
      <c r="O53" s="34" t="s">
        <v>198</v>
      </c>
      <c r="P53" s="35"/>
      <c r="Q53" s="34" t="s">
        <v>198</v>
      </c>
      <c r="R53" s="35"/>
      <c r="S53" s="34" t="s">
        <v>198</v>
      </c>
      <c r="T53" s="35"/>
      <c r="U53" s="34" t="s">
        <v>198</v>
      </c>
      <c r="V53" s="35"/>
      <c r="W53" s="34">
        <v>17</v>
      </c>
      <c r="X53" s="35">
        <v>0.17</v>
      </c>
      <c r="Y53" s="34">
        <v>18.8</v>
      </c>
      <c r="Z53" s="35">
        <v>0.188</v>
      </c>
      <c r="AA53" s="34" t="s">
        <v>198</v>
      </c>
      <c r="AB53" s="35"/>
    </row>
    <row r="54" spans="1:28" x14ac:dyDescent="0.25">
      <c r="A54" s="7" t="s">
        <v>65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Adj Highlights</vt:lpstr>
      <vt:lpstr>GAAP Highlights</vt:lpstr>
      <vt:lpstr>Enterprise Value</vt:lpstr>
      <vt:lpstr>Multiples</vt:lpstr>
      <vt:lpstr>Income - Adjusted</vt:lpstr>
      <vt:lpstr>Income - GAAP</vt:lpstr>
      <vt:lpstr>Income - As Reported</vt:lpstr>
      <vt:lpstr>Reconciliation</vt:lpstr>
      <vt:lpstr>SBC &amp; Amort</vt:lpstr>
      <vt:lpstr>Bal Sheet - Standardized</vt:lpstr>
      <vt:lpstr>Bal Sheet - As Reported</vt:lpstr>
      <vt:lpstr>Bal Sheet - Common Size</vt:lpstr>
      <vt:lpstr>Cash Flow - Standardized</vt:lpstr>
      <vt:lpstr>Cash Flow - As Reported</vt:lpstr>
      <vt:lpstr>Profitability</vt:lpstr>
      <vt:lpstr>By Measure</vt:lpstr>
      <vt:lpstr>By Geography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Adolfo German Margain Orozco</cp:lastModifiedBy>
  <dcterms:created xsi:type="dcterms:W3CDTF">2013-04-03T15:49:21Z</dcterms:created>
  <dcterms:modified xsi:type="dcterms:W3CDTF">2026-04-27T17:53:29Z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e3a633-3d5f-462b-ba19-31157bb9a57b_Enabled">
    <vt:lpwstr>true</vt:lpwstr>
  </property>
  <property fmtid="{D5CDD505-2E9C-101B-9397-08002B2CF9AE}" pid="3" name="MSIP_Label_8ae3a633-3d5f-462b-ba19-31157bb9a57b_SetDate">
    <vt:lpwstr>2026-04-27T17:50:09Z</vt:lpwstr>
  </property>
  <property fmtid="{D5CDD505-2E9C-101B-9397-08002B2CF9AE}" pid="4" name="MSIP_Label_8ae3a633-3d5f-462b-ba19-31157bb9a57b_Method">
    <vt:lpwstr>Standard</vt:lpwstr>
  </property>
  <property fmtid="{D5CDD505-2E9C-101B-9397-08002B2CF9AE}" pid="5" name="MSIP_Label_8ae3a633-3d5f-462b-ba19-31157bb9a57b_Name">
    <vt:lpwstr>Uso interno</vt:lpwstr>
  </property>
  <property fmtid="{D5CDD505-2E9C-101B-9397-08002B2CF9AE}" pid="6" name="MSIP_Label_8ae3a633-3d5f-462b-ba19-31157bb9a57b_SiteId">
    <vt:lpwstr>5448d52d-fbb8-4285-8d6f-aa67453bc50c</vt:lpwstr>
  </property>
  <property fmtid="{D5CDD505-2E9C-101B-9397-08002B2CF9AE}" pid="7" name="MSIP_Label_8ae3a633-3d5f-462b-ba19-31157bb9a57b_ActionId">
    <vt:lpwstr>f1eef5c4-79b7-4985-a634-7933feb0ac84</vt:lpwstr>
  </property>
  <property fmtid="{D5CDD505-2E9C-101B-9397-08002B2CF9AE}" pid="8" name="MSIP_Label_8ae3a633-3d5f-462b-ba19-31157bb9a57b_ContentBits">
    <vt:lpwstr>0</vt:lpwstr>
  </property>
  <property fmtid="{D5CDD505-2E9C-101B-9397-08002B2CF9AE}" pid="9" name="MSIP_Label_8ae3a633-3d5f-462b-ba19-31157bb9a57b_Tag">
    <vt:lpwstr>10, 3, 0, 1</vt:lpwstr>
  </property>
</Properties>
</file>
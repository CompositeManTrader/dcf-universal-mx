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B\OneDrive\Escritorio\Alberto Alarcón\Emisoras\GFNORTEO\Trimestral\"/>
    </mc:Choice>
  </mc:AlternateContent>
  <xr:revisionPtr revIDLastSave="0" documentId="13_ncr:1_{5B8B2434-DD6E-4A58-81A7-AEFE2A1253B2}" xr6:coauthVersionLast="47" xr6:coauthVersionMax="47" xr10:uidLastSave="{00000000-0000-0000-0000-000000000000}"/>
  <bookViews>
    <workbookView xWindow="-21840" yWindow="-120" windowWidth="21840" windowHeight="13140" tabRatio="841" firstSheet="11" activeTab="16" xr2:uid="{00000000-000D-0000-FFFF-FFFF00000000}"/>
  </bookViews>
  <sheets>
    <sheet name="Adj Highlights" sheetId="2" r:id="rId1"/>
    <sheet name="GAAP Highlights" sheetId="3" r:id="rId2"/>
    <sheet name="Enterprise Value" sheetId="4" r:id="rId3"/>
    <sheet name="Multiples" sheetId="5" r:id="rId4"/>
    <sheet name="Income - Adjusted" sheetId="6" r:id="rId5"/>
    <sheet name="Income - GAAP" sheetId="7" r:id="rId6"/>
    <sheet name="Income - As Reported" sheetId="8" r:id="rId7"/>
    <sheet name="Reconciliation" sheetId="9" r:id="rId8"/>
    <sheet name="SBC &amp; Amort" sheetId="10" r:id="rId9"/>
    <sheet name="Bal Sheet - Standardized" sheetId="11" r:id="rId10"/>
    <sheet name="Bal Sheet - As Reported" sheetId="12" r:id="rId11"/>
    <sheet name="Bal Sheet - Common Size" sheetId="13" r:id="rId12"/>
    <sheet name="Cash Flow - Standardized" sheetId="14" r:id="rId13"/>
    <sheet name="Cash Flow - As Reported" sheetId="15" r:id="rId14"/>
    <sheet name="Profitability" sheetId="16" r:id="rId15"/>
    <sheet name="By Measure" sheetId="17" r:id="rId16"/>
    <sheet name="By Geography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2" l="1" a="1"/>
  <c r="AA6" i="2" a="1"/>
  <c r="AA13" i="2" a="1"/>
  <c r="AA7" i="2" a="1"/>
  <c r="AA9" i="2" a="1"/>
  <c r="AA18" i="2" a="1"/>
  <c r="AA12" i="2" a="1"/>
  <c r="AA16" i="2" a="1"/>
  <c r="AA25" i="2" a="1"/>
  <c r="AA14" i="2" a="1"/>
  <c r="AA24" i="2" a="1"/>
  <c r="AA20" i="2" a="1"/>
  <c r="AA8" i="2" a="1"/>
  <c r="Y6" i="13" a="1"/>
  <c r="P6" i="13" a="1"/>
  <c r="O6" i="13" a="1"/>
  <c r="Q6" i="13" a="1"/>
  <c r="W6" i="13" a="1"/>
  <c r="AA10" i="2" a="1"/>
  <c r="I6" i="13" a="1"/>
  <c r="AA6" i="13" a="1"/>
  <c r="E6" i="13" a="1"/>
  <c r="G6" i="13" a="1"/>
  <c r="H6" i="13" a="1"/>
  <c r="C6" i="13" a="1"/>
  <c r="T6" i="13" a="1"/>
  <c r="X6" i="13" a="1"/>
  <c r="K6" i="13" a="1"/>
  <c r="J6" i="13" a="1"/>
  <c r="R6" i="13" a="1"/>
  <c r="V6" i="13" a="1"/>
  <c r="D6" i="13" a="1"/>
  <c r="F6" i="13" a="1"/>
  <c r="S6" i="13" a="1"/>
  <c r="L6" i="13" a="1"/>
  <c r="M6" i="13" a="1"/>
  <c r="U6" i="13" a="1"/>
  <c r="Z6" i="13" a="1"/>
  <c r="N6" i="13" a="1"/>
  <c r="AA7" i="2" l="1"/>
  <c r="AA13" i="2"/>
  <c r="AA6" i="2"/>
  <c r="AA23" i="2"/>
  <c r="N6" i="13"/>
  <c r="Z6" i="13"/>
  <c r="U6" i="13"/>
  <c r="M6" i="13"/>
  <c r="L6" i="13"/>
  <c r="S6" i="13"/>
  <c r="X6" i="13"/>
  <c r="T6" i="13"/>
  <c r="C6" i="13"/>
  <c r="H6" i="13"/>
  <c r="G6" i="13"/>
  <c r="E6" i="13"/>
  <c r="AA6" i="13"/>
  <c r="I6" i="13"/>
  <c r="AA10" i="2"/>
  <c r="W6" i="13"/>
  <c r="Q6" i="13"/>
  <c r="O6" i="13"/>
  <c r="P6" i="13"/>
  <c r="Y6" i="13"/>
  <c r="AA8" i="2"/>
  <c r="AA20" i="2"/>
  <c r="AA24" i="2"/>
  <c r="AA14" i="2"/>
  <c r="AA25" i="2"/>
  <c r="AA16" i="2"/>
  <c r="AA12" i="2"/>
  <c r="AA18" i="2"/>
  <c r="AA9" i="2"/>
  <c r="F6" i="13" l="1"/>
  <c r="D6" i="13"/>
  <c r="V6" i="13"/>
  <c r="R6" i="13"/>
  <c r="J6" i="13"/>
  <c r="K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<sst xmlns="http://schemas.openxmlformats.org/spreadsheetml/2006/main" count="7175" uniqueCount="1274">
  <si>
    <t>Revenue</t>
  </si>
  <si>
    <t>Reference Items</t>
  </si>
  <si>
    <t>Market Cap</t>
  </si>
  <si>
    <t>Right click to show data transparency (not supported for all values)</t>
  </si>
  <si>
    <t>Grupo Financiero Banorte SAB de CV (GFNORTEO MM) - Adj Highlights</t>
  </si>
  <si>
    <t>In Millions of MXN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</si>
  <si>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</si>
  <si>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</si>
  <si>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</si>
  <si>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</si>
  <si>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</si>
  <si>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</si>
  <si>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</si>
  <si>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</si>
  <si>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</si>
  <si>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</si>
  <si>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</si>
  <si>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</si>
  <si>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</si>
  <si>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</si>
  <si>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</si>
  <si>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</si>
  <si>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</si>
  <si>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</si>
  <si>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</si>
  <si>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</si>
  <si>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</si>
  <si>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</si>
  <si>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</si>
  <si>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</si>
  <si>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</si>
  <si>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3 Months Ending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</si>
  <si>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</si>
  <si>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</si>
  <si>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</si>
  <si>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</si>
  <si>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</si>
  <si>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</si>
  <si>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</si>
  <si>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</si>
  <si>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</si>
  <si>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</si>
  <si>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</si>
  <si>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</si>
  <si>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</si>
  <si>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</si>
  <si>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</si>
  <si>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</si>
  <si>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</si>
  <si>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</si>
  <si>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</si>
  <si>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</si>
  <si>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</si>
  <si>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</si>
  <si>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</si>
  <si>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</si>
  <si>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</si>
  <si>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Market Capitalization</t>
  </si>
  <si>
    <t>HISTORICAL_MARKET_CAP</t>
  </si>
  <si>
    <t>Book Value of Equity</t>
  </si>
  <si>
    <t>TOT_COMMON_EQY</t>
  </si>
  <si>
    <t>Total Deposits</t>
  </si>
  <si>
    <t>BS_CUSTOMER_DEPOSITS</t>
  </si>
  <si>
    <t>Total Loans</t>
  </si>
  <si>
    <t>BS_TOT_LOAN</t>
  </si>
  <si>
    <t>Total Assets</t>
  </si>
  <si>
    <t>BS_TOT_ASSET</t>
  </si>
  <si>
    <t>Net Revenue, Adj</t>
  </si>
  <si>
    <t>NET_REV</t>
  </si>
  <si>
    <t xml:space="preserve">  Growth %, YoY</t>
  </si>
  <si>
    <t>Prof Bef Prov, Adj</t>
  </si>
  <si>
    <t>PRE_TAX_PRE_PROVISION_PROFIT</t>
  </si>
  <si>
    <t xml:space="preserve">  Margin %</t>
  </si>
  <si>
    <t>Operating Income, Adj</t>
  </si>
  <si>
    <t>IS_OPER_INC</t>
  </si>
  <si>
    <t>Net Income, Adj</t>
  </si>
  <si>
    <t>EARN_FOR_COMMON</t>
  </si>
  <si>
    <t>EPS, Adj</t>
  </si>
  <si>
    <t>IS_DIL_EPS_CONT_OPS</t>
  </si>
  <si>
    <t>Tier 1 Common Eqty %</t>
  </si>
  <si>
    <t>Tier 1 Capital Ratio %</t>
  </si>
  <si>
    <t>BS_TIER1_CAP_RATIO</t>
  </si>
  <si>
    <t>Total Capital Ratio %</t>
  </si>
  <si>
    <t>BS_TOT_CAP_TO_RISK_BASE_CAP</t>
  </si>
  <si>
    <t>Source: Bloomberg</t>
  </si>
  <si>
    <t>Grupo Financiero Banorte SAB de CV (GFNORTEO MM) - GAAP Highlights</t>
  </si>
  <si>
    <t>In Millions of MXN except Per Share</t>
  </si>
  <si>
    <t>Net Interest Income</t>
  </si>
  <si>
    <t>NET_INT_INC</t>
  </si>
  <si>
    <t>Non Interest Income</t>
  </si>
  <si>
    <t>NON_INT_INC</t>
  </si>
  <si>
    <t>Net Revenue</t>
  </si>
  <si>
    <t>Net Revenue, Excluding Commissions Paid</t>
  </si>
  <si>
    <t>NET_REV_EXCL_COMMISSIONS_PAID</t>
  </si>
  <si>
    <t>Provision for Loan Losses</t>
  </si>
  <si>
    <t>IS_PROV_FOR_LOAN_LOSS</t>
  </si>
  <si>
    <t>Compensation/Salary Expense</t>
  </si>
  <si>
    <t>IS_PERSONNEL_EXP</t>
  </si>
  <si>
    <t>Non Interest Expense</t>
  </si>
  <si>
    <t>NON_INT_EXP</t>
  </si>
  <si>
    <t>Net Income to Common</t>
  </si>
  <si>
    <t>Basic EPS, GAAP</t>
  </si>
  <si>
    <t>IS_EPS</t>
  </si>
  <si>
    <t>Diluted EPS, GAAP</t>
  </si>
  <si>
    <t>IS_DILUTED_EPS</t>
  </si>
  <si>
    <t xml:space="preserve">  Basic Weighted Avg Shares</t>
  </si>
  <si>
    <t>IS_AVG_NUM_SH_FOR_EPS</t>
  </si>
  <si>
    <t xml:space="preserve">  Diluted Weighted Avg Shares</t>
  </si>
  <si>
    <t>IS_SH_FOR_DILUTED_EPS</t>
  </si>
  <si>
    <t>Net Loans</t>
  </si>
  <si>
    <t>BS_LOAN_MTG</t>
  </si>
  <si>
    <t>Earning Assets</t>
  </si>
  <si>
    <t>EARN_ASSET</t>
  </si>
  <si>
    <t>Total Debt</t>
  </si>
  <si>
    <t>SHORT_AND_LONG_TERM_DEBT</t>
  </si>
  <si>
    <t>Total Liabilities</t>
  </si>
  <si>
    <t>BS_TOT_LIAB2</t>
  </si>
  <si>
    <t>Total Equity</t>
  </si>
  <si>
    <t>TOTAL_EQUITY</t>
  </si>
  <si>
    <t xml:space="preserve">  Shares Out on Balance Sheet</t>
  </si>
  <si>
    <t>BS_SH_OUT</t>
  </si>
  <si>
    <t>Cash From Operations</t>
  </si>
  <si>
    <t>CF_CASH_FROM_OPER</t>
  </si>
  <si>
    <t>Cash From Investing</t>
  </si>
  <si>
    <t>CF_CASH_FROM_INV_ACT</t>
  </si>
  <si>
    <t>Cash From Financing</t>
  </si>
  <si>
    <t>CF_CASH_FROM_FNC_ACT</t>
  </si>
  <si>
    <t>Net Changes in Cash</t>
  </si>
  <si>
    <t>CF_NET_CHNG_CASH</t>
  </si>
  <si>
    <t>Book Value per Share</t>
  </si>
  <si>
    <t>BOOK_VAL_PER_SH</t>
  </si>
  <si>
    <t>Tangible Book Value/Share</t>
  </si>
  <si>
    <t>TANG_BOOK_VAL_PER_SH</t>
  </si>
  <si>
    <t>Assets Under Management</t>
  </si>
  <si>
    <t>BS_ASSETS_UNDER_MGMT</t>
  </si>
  <si>
    <t>Net Charge-Offs</t>
  </si>
  <si>
    <t>IS_ACT_LOAN_LOSS_NET</t>
  </si>
  <si>
    <t>Total Nonperforming Assets</t>
  </si>
  <si>
    <t>BS_NON_PERFORM_ASSET</t>
  </si>
  <si>
    <t>Net Interest Margin %</t>
  </si>
  <si>
    <t>T12_NET_INT_MARGIN</t>
  </si>
  <si>
    <t>Net Charge-Off Rate %</t>
  </si>
  <si>
    <t>NET_CHRG_OFF_TO_AVG_TOT_LOAN</t>
  </si>
  <si>
    <t>Efficiency Ratio %</t>
  </si>
  <si>
    <t>EFF_RATIO</t>
  </si>
  <si>
    <t>Loans to Deposit Ratio %</t>
  </si>
  <si>
    <t>TOT_LOAN_TO_TOT_DPST</t>
  </si>
  <si>
    <t>NPA / Assets %</t>
  </si>
  <si>
    <t>NON_PERF_ASSET_TO_TOT_ASSET</t>
  </si>
  <si>
    <t>Return on Assets %</t>
  </si>
  <si>
    <t>RETURN_ON_ASSET</t>
  </si>
  <si>
    <t>Return on Common Equity %</t>
  </si>
  <si>
    <t>RETURN_COM_EQY</t>
  </si>
  <si>
    <t>Return on Equity %</t>
  </si>
  <si>
    <t>RETURN_TOT_EQY</t>
  </si>
  <si>
    <t>Tangible Common Equity Ratio (TCE)  %</t>
  </si>
  <si>
    <t>TCE_RATIO</t>
  </si>
  <si>
    <t>Tangible Equity/RWA %</t>
  </si>
  <si>
    <t>TCE_TO_RWA</t>
  </si>
  <si>
    <t>Tangible Common Equity</t>
  </si>
  <si>
    <t>TANGIBLE_COMMON_EQUITY</t>
  </si>
  <si>
    <t>Risk-Weighted Assets</t>
  </si>
  <si>
    <t>BS_RISK_WEIGHTED_ASSETS</t>
  </si>
  <si>
    <t>Grupo Financiero Banorte SAB de CV (GFNORTEO MM) - Enterprise Value</t>
  </si>
  <si>
    <t>Current</t>
  </si>
  <si>
    <t>04/27/2026</t>
  </si>
  <si>
    <t xml:space="preserve">  - Cash &amp; Equivalents</t>
  </si>
  <si>
    <t>CASH_AND_MARKETABLE_SECURITIES</t>
  </si>
  <si>
    <t xml:space="preserve">  + Preferred Equity</t>
  </si>
  <si>
    <t>PFD_EQTY_HYBRID_CAPITAL</t>
  </si>
  <si>
    <t xml:space="preserve">  + Minority Interest</t>
  </si>
  <si>
    <t>MINORITY_NONCONTROLLING_INTEREST</t>
  </si>
  <si>
    <t xml:space="preserve">  + Total Debt</t>
  </si>
  <si>
    <t>Enterprise Value</t>
  </si>
  <si>
    <t>ENTERPRISE_VALUE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</si>
  <si>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</si>
  <si>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</si>
  <si>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</si>
  <si>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</si>
  <si>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</si>
  <si>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</si>
  <si>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EV/Market Cap</t>
  </si>
  <si>
    <t>EV_TO_MKT_CAP</t>
  </si>
  <si>
    <t>EV/EBITDA</t>
  </si>
  <si>
    <t>EV_TO_T12M_EBITDA</t>
  </si>
  <si>
    <t>EV/EBIT</t>
  </si>
  <si>
    <t>EV_TO_T12M_EBIT</t>
  </si>
  <si>
    <t>EV/Book Value</t>
  </si>
  <si>
    <t>EV_TO_BOOK_VALUE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</si>
  <si>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</si>
  <si>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</si>
  <si>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</si>
  <si>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</si>
  <si>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</si>
  <si>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</si>
  <si>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</si>
  <si>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</si>
  <si>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</si>
  <si>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Yes</t>
  </si>
  <si>
    <t>EBITDA</t>
  </si>
  <si>
    <t>TRAIL_12M_EBITDA</t>
  </si>
  <si>
    <t>EBIT</t>
  </si>
  <si>
    <t>TRAIL_12M_OPER_INC</t>
  </si>
  <si>
    <t>Book Value</t>
  </si>
  <si>
    <t>Grupo Financiero Banorte SAB de CV (GFNORTEO MM) - Multiples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</si>
  <si>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</si>
  <si>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</si>
  <si>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</si>
  <si>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</si>
  <si>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</si>
  <si>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</si>
  <si>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</si>
  <si>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</si>
  <si>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</si>
  <si>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</si>
  <si>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</si>
  <si>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</si>
  <si>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</si>
  <si>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</si>
  <si>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</si>
  <si>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</si>
  <si>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</si>
  <si>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</si>
  <si>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</si>
  <si>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</si>
  <si>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</si>
  <si>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</si>
  <si>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</si>
  <si>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</si>
  <si>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</si>
  <si>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</si>
  <si>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</si>
  <si>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</si>
  <si>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Price/Share</t>
  </si>
  <si>
    <t>PX_LAST</t>
  </si>
  <si>
    <t>PX_HIGH</t>
  </si>
  <si>
    <t>PX_LOW</t>
  </si>
  <si>
    <t>AVG_HIST_MARKET_CAPITALIZATION</t>
  </si>
  <si>
    <t>HIGH_HIST_MARKET_CAPITALIZATION</t>
  </si>
  <si>
    <t>LOW_HIST_MARKET_CAPITALIZATION</t>
  </si>
  <si>
    <t>Market Cap / Deposits</t>
  </si>
  <si>
    <t>MKT_CAP_TO_DEPOSITS</t>
  </si>
  <si>
    <t>AVG_MARKET_CAPITALIZATION_TO_DEP</t>
  </si>
  <si>
    <t>HIGH_MARKET_CAP_TO_DEPOSITS</t>
  </si>
  <si>
    <t>LOW_MARKET_CAP_TO_DEPOSITS</t>
  </si>
  <si>
    <t>AVERAGE_ENTERPRISE_VALUE</t>
  </si>
  <si>
    <t>HIGH_ENTERPRISE_VALUE</t>
  </si>
  <si>
    <t>LOW_ENTERPRISE_VALUE</t>
  </si>
  <si>
    <t>EV/Total Revenues</t>
  </si>
  <si>
    <t>EV_TO_T12M_SALES</t>
  </si>
  <si>
    <t>AVERAGE_EV_TO_T12M_SALES</t>
  </si>
  <si>
    <t>HIGH_EV_TO_T12M_SALES</t>
  </si>
  <si>
    <t>LOW_EV_TO_T12M_SALES</t>
  </si>
  <si>
    <t>AVG_EV_TO_T12M_EBITDA</t>
  </si>
  <si>
    <t>HIGH_EV_TO_T12M_EBITDA</t>
  </si>
  <si>
    <t>LOW_EV_TO_T12M_EBITDA</t>
  </si>
  <si>
    <t>Grupo Financiero Banorte SAB de CV (GFNORTEO MM) - Adjusted</t>
  </si>
  <si>
    <t>+ Net Interest Income</t>
  </si>
  <si>
    <t xml:space="preserve">  + Total Interest Income</t>
  </si>
  <si>
    <t>INTEREST_INCOME</t>
  </si>
  <si>
    <t xml:space="preserve">    + Interest Income</t>
  </si>
  <si>
    <t>IS_INT_INC</t>
  </si>
  <si>
    <t xml:space="preserve">  - Total Interest Expense</t>
  </si>
  <si>
    <t>IS_INT_EXPENSES</t>
  </si>
  <si>
    <t>+ Adjusted Total Non-Interest Income</t>
  </si>
  <si>
    <t>IS_ADJ_TOTAL_NON_INT_INCOME</t>
  </si>
  <si>
    <t xml:space="preserve">  + Trading Securities G/L</t>
  </si>
  <si>
    <t>GAIN_LOSS_SECURITIES_ADJUSTED</t>
  </si>
  <si>
    <t xml:space="preserve">    + Trading Account Profits/Losses</t>
  </si>
  <si>
    <t>IS_TRADING_ACCOUNT_PROFITS_LOSS</t>
  </si>
  <si>
    <t xml:space="preserve">    + Other Income (Loss)</t>
  </si>
  <si>
    <t>IS_OTHER_GAIN_OR_LOSS</t>
  </si>
  <si>
    <t xml:space="preserve">  + Commissions &amp; Fees Earned</t>
  </si>
  <si>
    <t>IS_COMM_AND_FEE_EARN_INC_REO</t>
  </si>
  <si>
    <t xml:space="preserve">  + Other Operating Income (Losses)</t>
  </si>
  <si>
    <t>IS_OTHER_OPER_INC_LOSSES</t>
  </si>
  <si>
    <t>- Provision for Loan Losses</t>
  </si>
  <si>
    <t>Net Revenue after Provisions</t>
  </si>
  <si>
    <t>NET_REV_AFT_PROV</t>
  </si>
  <si>
    <t>- Total Non-Interest Expense</t>
  </si>
  <si>
    <t xml:space="preserve">  + Commissions &amp; Fees Paid</t>
  </si>
  <si>
    <t>IS_COMM_FEE_PAID_TO_MGMT_EXP</t>
  </si>
  <si>
    <t xml:space="preserve">  + Other Operating Expenses</t>
  </si>
  <si>
    <t>IS_OPERATING_EXPN</t>
  </si>
  <si>
    <t>Operating Income (Loss)</t>
  </si>
  <si>
    <t>- Non-Operating (Income) Loss</t>
  </si>
  <si>
    <t>NONOP_INCOME_LOSS</t>
  </si>
  <si>
    <t xml:space="preserve">  + (Income) Loss from Affiliates</t>
  </si>
  <si>
    <t>INCOME_LOSS_FROM_AFFILIATES</t>
  </si>
  <si>
    <t xml:space="preserve">  + Other Non-Op (Income) Loss</t>
  </si>
  <si>
    <t>OTHER_NONOP_INCOME_LOSS</t>
  </si>
  <si>
    <t>Pretax Income (Loss), Adjusted</t>
  </si>
  <si>
    <t>PRETAX_INC</t>
  </si>
  <si>
    <t>- Abnormal Losses (Gains)</t>
  </si>
  <si>
    <t>IS_ABNORMAL_ITEM</t>
  </si>
  <si>
    <t xml:space="preserve">  + (Gain)/Loss on Disposal of Assets</t>
  </si>
  <si>
    <t>IS_GAIN_LOSS_DISPOSAL_ASSETS</t>
  </si>
  <si>
    <t xml:space="preserve">  + Asset Write-Down</t>
  </si>
  <si>
    <t>IS_IMPAIRMENT_ASSETS</t>
  </si>
  <si>
    <t xml:space="preserve">  + Other Abnormal Items</t>
  </si>
  <si>
    <t>IS_OTHER_ONE_TIME_ITEMS</t>
  </si>
  <si>
    <t>Pretax Income (Loss), GAAP</t>
  </si>
  <si>
    <t>- Income Tax Expense (Benefit)</t>
  </si>
  <si>
    <t>IS_INC_TAX_EXP</t>
  </si>
  <si>
    <t xml:space="preserve">  + Current Income Tax</t>
  </si>
  <si>
    <t>IS_CURRENT_INCOME_TAX_BENEFIT</t>
  </si>
  <si>
    <t xml:space="preserve">  + Deferred Income Tax</t>
  </si>
  <si>
    <t>IS_DEFERRED_INCOME_TAX_BENEFIT</t>
  </si>
  <si>
    <t>Income (Loss) from Cont Ops</t>
  </si>
  <si>
    <t>IS_INC_BEF_XO_ITEM</t>
  </si>
  <si>
    <t>- Net Extraordinary Losses (Gains)</t>
  </si>
  <si>
    <t>XO_GL_NET_OF_TAX</t>
  </si>
  <si>
    <t xml:space="preserve">  + Discontinued Operations</t>
  </si>
  <si>
    <t>IS_DISCONTINUED_OPERATIONS</t>
  </si>
  <si>
    <t xml:space="preserve">  + Extraordinary &amp; Accounting Items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</si>
  <si>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</si>
  <si>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</si>
  <si>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</si>
  <si>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</si>
  <si>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</si>
  <si>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</si>
  <si>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</si>
  <si>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</si>
  <si>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</si>
  <si>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</si>
  <si>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</si>
  <si>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</si>
  <si>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</si>
  <si>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</si>
  <si>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</si>
  <si>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</si>
  <si>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</si>
  <si>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</si>
  <si>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</si>
  <si>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</si>
  <si>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</si>
  <si>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</si>
  <si>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Diluted EPS from Cont Ops, GAAP</t>
  </si>
  <si>
    <t>IS_DIL_EPS_BEF_XO</t>
  </si>
  <si>
    <t>Diluted EPS from Cont Ops, Adjusted</t>
  </si>
  <si>
    <t>Accounting Standard</t>
  </si>
  <si>
    <t>ACCOUNTING_STANDARD</t>
  </si>
  <si>
    <t>MX GAAP</t>
  </si>
  <si>
    <t>SALES_REV_TURN</t>
  </si>
  <si>
    <t xml:space="preserve">    Growth (YoY)</t>
  </si>
  <si>
    <t>Pre-Tax Pre-Provision Profit</t>
  </si>
  <si>
    <t>T12 Net Interest Margin</t>
  </si>
  <si>
    <t>Net Revenue Margin</t>
  </si>
  <si>
    <t>NET_REV_MARGIN</t>
  </si>
  <si>
    <t>Pretax Margin</t>
  </si>
  <si>
    <t>PRETAX_MARGIN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</si>
  <si>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</si>
  <si>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</si>
  <si>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</si>
  <si>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</si>
  <si>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</si>
  <si>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</si>
  <si>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Efficiency Ratio</t>
  </si>
  <si>
    <t>Actual Loan Losses (Net)</t>
  </si>
  <si>
    <t>Grupo Financiero Banorte SAB de CV (GFNORTEO MM) - GAAP</t>
  </si>
  <si>
    <t>+ Total Non-Interest Income</t>
  </si>
  <si>
    <t xml:space="preserve">      + Other Income (Loss)</t>
  </si>
  <si>
    <t xml:space="preserve">  + Other Non-Operating (Income) Loss</t>
  </si>
  <si>
    <t>Income (Loss) incl. Minority Interest</t>
  </si>
  <si>
    <t>Grupo Financiero Banorte SAB de CV (GFNORTEO MM) - As Reported</t>
  </si>
  <si>
    <t>Q3 2019</t>
  </si>
  <si>
    <t>09/30/2019</t>
  </si>
  <si>
    <t>Income Statement</t>
  </si>
  <si>
    <t xml:space="preserve">  Interest income</t>
  </si>
  <si>
    <t>Total Interest Expense - Consolidated</t>
  </si>
  <si>
    <t>ARD_TOTAL_INTEREST_EXPENSE_CONS</t>
  </si>
  <si>
    <t>ARD_NET_INTEREST_INCOME</t>
  </si>
  <si>
    <t>Total Interest Income</t>
  </si>
  <si>
    <t>ARD_TOTAL_INTEREST_INCOME</t>
  </si>
  <si>
    <t xml:space="preserve">  Interest expense</t>
  </si>
  <si>
    <t xml:space="preserve">  Non-interest income</t>
  </si>
  <si>
    <t>Other Operating Income</t>
  </si>
  <si>
    <t>ARD_OTHER_OPERATING_INC</t>
  </si>
  <si>
    <t>Trading Gains (Losses)</t>
  </si>
  <si>
    <t>ARD_TRADING_GAINS_LOSSES</t>
  </si>
  <si>
    <t>Commission and Fees</t>
  </si>
  <si>
    <t>ARD_COMMISSION_AND_FEES</t>
  </si>
  <si>
    <t>Net Premiums Written (Non-Life)</t>
  </si>
  <si>
    <t>ARD_NET_PREMIUMS_WRITTEN_NL</t>
  </si>
  <si>
    <t>Total Non-Interest Income</t>
  </si>
  <si>
    <t>ARD_TOTAL_NON_INTEREST_INCOME</t>
  </si>
  <si>
    <t>Net Fee &amp; Commission Income (Fee &amp; Commission)</t>
  </si>
  <si>
    <t>ARD_NET_FEE_AND_COMMISSION_INC</t>
  </si>
  <si>
    <t>Revenue From Insurance Activities</t>
  </si>
  <si>
    <t>ARD_REV_FROM_INSURANCE_ACTS</t>
  </si>
  <si>
    <t>Expenses From Insurance Activities</t>
  </si>
  <si>
    <t>ARD_EXP_INSURANCE_ACTIVITIES</t>
  </si>
  <si>
    <t xml:space="preserve">  Operating Expenses</t>
  </si>
  <si>
    <t>Salaries Wages and Employee Benefits</t>
  </si>
  <si>
    <t>ARD_SALARIES_WAGE_EMPLOYEE_BEN</t>
  </si>
  <si>
    <t>Selling General and Administrative Expenses</t>
  </si>
  <si>
    <t>ARD_SELLING_GENERAL_ADMIN_EXP</t>
  </si>
  <si>
    <t>Depreciation and Amortization</t>
  </si>
  <si>
    <t>ARD_DEPRECIATION_AMORTIZATION</t>
  </si>
  <si>
    <t>Other Operating Expenses</t>
  </si>
  <si>
    <t>ARD_OTHER_OPERATING_EXPENSES</t>
  </si>
  <si>
    <t>Taxes Other Than Income</t>
  </si>
  <si>
    <t>ARD_TAXES_OTHER_THAN_INCOME</t>
  </si>
  <si>
    <t>Commissions &amp; Fees Paid</t>
  </si>
  <si>
    <t>ARD_COMMISSIONS_AND_FEES_PAID</t>
  </si>
  <si>
    <t>Operating Income</t>
  </si>
  <si>
    <t>ARD_OPERATING_INCOME</t>
  </si>
  <si>
    <t>Insurance Expense</t>
  </si>
  <si>
    <t>ARD_INSURANCE_EXPENSE</t>
  </si>
  <si>
    <t>Professional Services</t>
  </si>
  <si>
    <t>ARD_PROFESSIONAL_SERVICES</t>
  </si>
  <si>
    <t>Provision For Loan Loss</t>
  </si>
  <si>
    <t>ARD_PROVISION_FOR_LOAN_LOSS</t>
  </si>
  <si>
    <t>Other Operating (Income)/Expense - Net</t>
  </si>
  <si>
    <t>ARD_OTH_OPERATING_INC_EXP_NET</t>
  </si>
  <si>
    <t>Total Non-Interest Expenses</t>
  </si>
  <si>
    <t>ARD_TOTAL_NON_INTEREST_EXPENSE</t>
  </si>
  <si>
    <t xml:space="preserve">  Non-Operating Expenses</t>
  </si>
  <si>
    <t>Equity In Earnings of Affiliate/Joint Ventures</t>
  </si>
  <si>
    <t>ARD_EQY_IN_EARN_AFFILIATE_JV</t>
  </si>
  <si>
    <t>Income Tax Expense (Benefit)</t>
  </si>
  <si>
    <t>ARD_INCOME_TAX_EXP_BENEFIT</t>
  </si>
  <si>
    <t>Income Before Income Taxes</t>
  </si>
  <si>
    <t>ARD_INCOME_BEFORE_INCOME_TAXES</t>
  </si>
  <si>
    <t>Current Income Tax Expense (Benefit)</t>
  </si>
  <si>
    <t>ARD_CUR_INCOME_TAX_EXP_BENEFIT</t>
  </si>
  <si>
    <t>Deferred Income Tax Expense (Benefit)</t>
  </si>
  <si>
    <t>ARD_DEFERRED_INC_TAX_EXP_BEN</t>
  </si>
  <si>
    <t>Profit After Taxation Before Minority</t>
  </si>
  <si>
    <t>ARD_PROF_AFTER_TAX_BEF_MINORITY</t>
  </si>
  <si>
    <t xml:space="preserve">  Extraordinary Items</t>
  </si>
  <si>
    <t>Discontinued Operations Loss/(Benefit) - Net</t>
  </si>
  <si>
    <t>ARD_DISC_OPS_LOSS_BEN_NET</t>
  </si>
  <si>
    <t xml:space="preserve">  Earnings</t>
  </si>
  <si>
    <t>Minority/Non Controlling Interest</t>
  </si>
  <si>
    <t>ARD_MINORITY_NONCONTROL_INTEREST</t>
  </si>
  <si>
    <t>Basic EPS</t>
  </si>
  <si>
    <t>ARD_BASIC_EPS</t>
  </si>
  <si>
    <t>Weighted Avg. Shares - Basic</t>
  </si>
  <si>
    <t>ARD_WEIGHTED_AVG_SHARES_BASIC</t>
  </si>
  <si>
    <t>Weighted Avg. Shares - Diluted</t>
  </si>
  <si>
    <t>ARD_WEIGHTED_AVG_SHARE_DILUTED</t>
  </si>
  <si>
    <t>Weighted Avg. Shares - Basic &amp; Diluted</t>
  </si>
  <si>
    <t>ARD_WTD_AVG_SHS_BASIC_DILUTED</t>
  </si>
  <si>
    <t>Cumulative Net Income</t>
  </si>
  <si>
    <t>ARD_CUMULATIVE_NET_INCOME</t>
  </si>
  <si>
    <t>Net Income</t>
  </si>
  <si>
    <t>ARD_NET_INC</t>
  </si>
  <si>
    <t xml:space="preserve">  Others</t>
  </si>
  <si>
    <t>Interest Income-Average Earning Assets</t>
  </si>
  <si>
    <t>ARDR_INT_INC_AVG_EARNING_ASSETS</t>
  </si>
  <si>
    <t xml:space="preserve">  Comprehensive Income</t>
  </si>
  <si>
    <t>Foreign Currency Translation Adjustments</t>
  </si>
  <si>
    <t>ARD_FOR_CRNCY_TRANSLATION_ADJ</t>
  </si>
  <si>
    <t>Unrealized Gain (Loss) On Securities</t>
  </si>
  <si>
    <t>ARD_UNREALIZED_GL_ON_SECS</t>
  </si>
  <si>
    <t>Change In Fair Value of Derivatives</t>
  </si>
  <si>
    <t>ARD_CHG_FAIR_VAL_OF_DERIVATIVES</t>
  </si>
  <si>
    <t>Pension Related Adjustments</t>
  </si>
  <si>
    <t>ARD_PENSION_RELATED_ADJUSTMENTS</t>
  </si>
  <si>
    <t>Other Comprehensive Income</t>
  </si>
  <si>
    <t>ARD_OTHER_COMPREHENSIVE_INCOME</t>
  </si>
  <si>
    <t>Total Comprehensive Income</t>
  </si>
  <si>
    <t>ARD_TOTAL_COMPREHENSIVE_INCOME</t>
  </si>
  <si>
    <t>Comprehensive Income Attrib to Minority Int</t>
  </si>
  <si>
    <t>ARD_COMPREHENSIVE_INC_ATTRIB_MI</t>
  </si>
  <si>
    <t>Net Income - Comprehensive Income</t>
  </si>
  <si>
    <t>ARD_COMPREHENSIVE_INCOME_NET_INC</t>
  </si>
  <si>
    <t>Total Comprehensive Inc Including Minority Int</t>
  </si>
  <si>
    <t>ARD_TOT_COMP_INC_INCL_MIN_INT</t>
  </si>
  <si>
    <t xml:space="preserve">  Reference Items</t>
  </si>
  <si>
    <t>Amortization Expense</t>
  </si>
  <si>
    <t>ARDR_AMORT_EXP</t>
  </si>
  <si>
    <t>ARDR_SALARIES_WAGE_EMPLOYEE_BEN</t>
  </si>
  <si>
    <t>Depreciation Expense</t>
  </si>
  <si>
    <t>ARDR_DEPRECIATION_EXP</t>
  </si>
  <si>
    <t>ARDR_DEPRECIATION_AMORTIZATION</t>
  </si>
  <si>
    <t>(Gain)/Loss On Sale of Assets</t>
  </si>
  <si>
    <t>ARDR_GL_ON_SALE_OF_ASSETS</t>
  </si>
  <si>
    <t>Write-Down/Impairment of Assets</t>
  </si>
  <si>
    <t>ARDR_WRITEDOWN_IMPAIR_OF_ASSETS</t>
  </si>
  <si>
    <t>Other One-Time Charges</t>
  </si>
  <si>
    <t>ARDR_OTHER_ONE_TIME_CHARGES</t>
  </si>
  <si>
    <t>General and Administrative Expenses</t>
  </si>
  <si>
    <t>ARDR_GENERAL_ADMINISTRATIVE_EXP</t>
  </si>
  <si>
    <t>Other Tax</t>
  </si>
  <si>
    <t>ARDR_OTHER_TAX</t>
  </si>
  <si>
    <t>Projected Benefit Obligation</t>
  </si>
  <si>
    <t>ARDR_PROJECTED_BENEFIT_OBLIG</t>
  </si>
  <si>
    <t>Fair Value of Plan Assets</t>
  </si>
  <si>
    <t>ARDR_FAIR_VALUE_OF_PLAN_ASSETS</t>
  </si>
  <si>
    <t>ARDR_BASIC_EPS</t>
  </si>
  <si>
    <t>ARDR_WEIGHTED_AVG_SHARES_BASIC</t>
  </si>
  <si>
    <t>ARDR_WEIGHTED_AVG_SHARE_DILUTED</t>
  </si>
  <si>
    <t>Service Cost</t>
  </si>
  <si>
    <t>ARDR_SRVC_COST</t>
  </si>
  <si>
    <t>Overfunded (Underfunded) Pension</t>
  </si>
  <si>
    <t>ARDR_OVER_UNDERFUNDED_PENSION</t>
  </si>
  <si>
    <t>(Over/Underfunded) Post Retirement Benefit</t>
  </si>
  <si>
    <t>ARDR_OVER_UNDER_POST_RETIRE_BEN</t>
  </si>
  <si>
    <t>Expected Return On Plan Assets - Pension %</t>
  </si>
  <si>
    <t>ARDR_EXP_RET_ON_PLAN_ASSET_PENS</t>
  </si>
  <si>
    <t>Discount Rate Used On Plan Liabs-Pension %</t>
  </si>
  <si>
    <t>ARDR_DISC_RATE_USED_LIAB_PENS</t>
  </si>
  <si>
    <t>Rate of Compensation Increase(Pension) - %</t>
  </si>
  <si>
    <t>ARDR_RATE_OF_COMP_INCR_PENSION</t>
  </si>
  <si>
    <t>ARDR_WTD_AVG_SHS_BASIC_DILUTED</t>
  </si>
  <si>
    <t>Fair Value of Post Retirement Plan Assets</t>
  </si>
  <si>
    <t>ARDR_FAIR_VAL_POST_RETIRE_ASSETS</t>
  </si>
  <si>
    <t>Projected Post Retirement Benefit Oblig</t>
  </si>
  <si>
    <t>ARDR_PROJ_POST_RETIRE_BEN_OBLIG</t>
  </si>
  <si>
    <t>ARDR_TRADING_GAINS_LOSSES</t>
  </si>
  <si>
    <t>Foreign Exchange Losses (Gains)</t>
  </si>
  <si>
    <t>ARDR_FOREIGN_EXCH_GL</t>
  </si>
  <si>
    <t>Other Gains (Losses)</t>
  </si>
  <si>
    <t>ARDR_OTHER_GAINS_LOSSES</t>
  </si>
  <si>
    <t>Gain (Loss) On Derivatives</t>
  </si>
  <si>
    <t>ARDR_GL_ON_DERIVATIVES</t>
  </si>
  <si>
    <t>ARDR_COMMISSION_AND_FEES</t>
  </si>
  <si>
    <t>Professional Fees</t>
  </si>
  <si>
    <t>ARDR_PROFESSIONAL_FEES</t>
  </si>
  <si>
    <t>ARDR_TOTAL_INTEREST_INCOME</t>
  </si>
  <si>
    <t>Total Interest Expense</t>
  </si>
  <si>
    <t>ARDR_TOTAL_INTEREST_EXPENSE</t>
  </si>
  <si>
    <t>Actual Loan Losses</t>
  </si>
  <si>
    <t>ARDR_ACTUAL_LOAN_LOSSES</t>
  </si>
  <si>
    <t>Actuarial Gains and Losses - Pension Exp</t>
  </si>
  <si>
    <t>ARDR_ACTUARIAL_GAIN_LOSS_PEN_EXP</t>
  </si>
  <si>
    <t>Effective Tax Rate - %</t>
  </si>
  <si>
    <t>ARDR_EFFECTIVE_TAX_RATE_PCT</t>
  </si>
  <si>
    <t>Interest Cost (Pension)</t>
  </si>
  <si>
    <t>ARDR_INTEREST_COST_PENSION</t>
  </si>
  <si>
    <t>Expected Return On Pension Plan Assets</t>
  </si>
  <si>
    <t>ARDR_EXPECT_RET_PENSION_ASSETS</t>
  </si>
  <si>
    <t>Special Dividend Per Share</t>
  </si>
  <si>
    <t>ARDR_SPECIAL_DVD_PER_SHARE</t>
  </si>
  <si>
    <t>Other Expenses</t>
  </si>
  <si>
    <t>ARDR_OTHER_EXPENSES</t>
  </si>
  <si>
    <t>ARDR_RETURN_ON_EQUITY_PCT</t>
  </si>
  <si>
    <t>ARDR_RETURN_ON_ASSETS_PCT</t>
  </si>
  <si>
    <t>ARDR_EFFICIENCY_RATIO_PCT</t>
  </si>
  <si>
    <t>ARDR_NET_INTEREST_MARGIN_PCT</t>
  </si>
  <si>
    <t>Grupo Financiero Banorte SAB de CV (GFNORTEO MM) - Reconciliation</t>
  </si>
  <si>
    <t>Pretax Income Reconciliation</t>
  </si>
  <si>
    <t xml:space="preserve">  + Disposal of Assets</t>
  </si>
  <si>
    <t>Net Income Reconciliation</t>
  </si>
  <si>
    <t>Net Inc Avail to Common, GAAP</t>
  </si>
  <si>
    <t xml:space="preserve">  + XO &amp; Accounting Changes</t>
  </si>
  <si>
    <t>Net Inc Avail to Common Cont, GAAP</t>
  </si>
  <si>
    <t>INC_BEF_XO_LESS_MIN_INT_PREF_DVD</t>
  </si>
  <si>
    <t>IS_DISPOSAL_ASSETS_AFTER_TAX</t>
  </si>
  <si>
    <t>IS_WRTOFF_IMPAIR_ASSET_AFTER_TAX</t>
  </si>
  <si>
    <t>IS_OTH_ONE_TIME_ITEMS_AFTER_TAX</t>
  </si>
  <si>
    <t>Earnings Per Share Reconciliation</t>
  </si>
  <si>
    <t>IS_DISC_OPS_DILUTED_SH</t>
  </si>
  <si>
    <t>IS_XO_ITEMS_ACCT_CHG_DIL_SH</t>
  </si>
  <si>
    <t>IS_DISPOSAL_ASSETS_DILUTED_SHARE</t>
  </si>
  <si>
    <t>IS_WRTOFF_IMPAIR_AST_DILUTED_SH</t>
  </si>
  <si>
    <t xml:space="preserve">  + Other Adjustments Reconciliation</t>
  </si>
  <si>
    <t>IS_OTH_ONE_TIME_ITEMS_DILUTED_SH</t>
  </si>
  <si>
    <t>Diluted EPS from Cont Ops, Adj</t>
  </si>
  <si>
    <t>Grupo Financiero Banorte SAB de CV (GFNORTEO MM) - SBC &amp; Amort</t>
  </si>
  <si>
    <t>Q4 2019</t>
  </si>
  <si>
    <t>12/31/2019</t>
  </si>
  <si>
    <t>Basic EPS Ex-Amortization, Adj</t>
  </si>
  <si>
    <t>ADJ_EPS_EX_AMORT_TOT_INTANG_BAS</t>
  </si>
  <si>
    <t>Diluted EPS Ex-Amortization, Adj</t>
  </si>
  <si>
    <t>ADJ_EPS_EX_AMORT_TOT_INTANG_DIL</t>
  </si>
  <si>
    <t>Basic EPS Ex-SBC &amp; Amort, Adj</t>
  </si>
  <si>
    <t>ADJ_EPS_EX_SBC_AMORT_TOT_INT_BAS</t>
  </si>
  <si>
    <t>Diluted EPS Ex-SBC &amp; Amort, Adj</t>
  </si>
  <si>
    <t>ADJ_EPS_EX_SBC_AMORT_TOT_INT_DIL</t>
  </si>
  <si>
    <t>Stock Based Compensation</t>
  </si>
  <si>
    <t>Pre-Tax</t>
  </si>
  <si>
    <t>IS_EXPENSE_STOCK_BASED_COMP</t>
  </si>
  <si>
    <t>Amortization of Acquisition Related Intangibles</t>
  </si>
  <si>
    <t>Amortization of Total Intangibles</t>
  </si>
  <si>
    <t>IS_AMORT_OF_TOT_INTANG_PRETX</t>
  </si>
  <si>
    <t>After-Tax</t>
  </si>
  <si>
    <t>IS_AMORT_OF_TOT_INTANG_AFT_TAX</t>
  </si>
  <si>
    <t>Per Basic Share</t>
  </si>
  <si>
    <t>IS_AMORT_OF_TOT_INTANG_P_BAS_SH</t>
  </si>
  <si>
    <t>Per Diluted Share</t>
  </si>
  <si>
    <t>IS_AMORT_OF_TOT_INTANG_P_DIL_SH</t>
  </si>
  <si>
    <t>Grupo Financiero Banorte SAB de CV (GFNORTEO MM) - Standardized</t>
  </si>
  <si>
    <t xml:space="preserve">  + Cash &amp; Cash Equivalents</t>
  </si>
  <si>
    <t>BS_CASH_NEAR_CASH_ITEM</t>
  </si>
  <si>
    <t xml:space="preserve">  + Interbanking Assets</t>
  </si>
  <si>
    <t>INTERBANKING_ASSETS</t>
  </si>
  <si>
    <t xml:space="preserve">    + Fed Funds Sold &amp; Repos</t>
  </si>
  <si>
    <t>BS_FED_FUND_SOLD_SEC_PR_U_RES_AG</t>
  </si>
  <si>
    <t xml:space="preserve">    + Other Interbank Assets</t>
  </si>
  <si>
    <t>BS_OTHER_INTERBANK_ASSETS</t>
  </si>
  <si>
    <t xml:space="preserve">  + ST And LT Investments</t>
  </si>
  <si>
    <t>ST_AND_LT_INVEST</t>
  </si>
  <si>
    <t xml:space="preserve">    + Trading Securities/FVTPL</t>
  </si>
  <si>
    <t>TRADING_SECS_FA_AT_FV_THRU_PL</t>
  </si>
  <si>
    <t xml:space="preserve">    + Available for Sales/FVTOCI</t>
  </si>
  <si>
    <t>AV_SA_FA_AT_FV_THRU_OT_COMP_INC</t>
  </si>
  <si>
    <t xml:space="preserve">    + Held to Maturity/Amortized at Cost</t>
  </si>
  <si>
    <t>HTM_AMORTIZED_AT_CST_INVESTMENTS</t>
  </si>
  <si>
    <t xml:space="preserve">    + Other Investments</t>
  </si>
  <si>
    <t>BS_OTHER_INVESTMENTS</t>
  </si>
  <si>
    <t xml:space="preserve">  + Net Receivables</t>
  </si>
  <si>
    <t>BS_ACCT_NOTE_RCV</t>
  </si>
  <si>
    <t xml:space="preserve">  + Total Commercial Loans</t>
  </si>
  <si>
    <t>BS_COMM_LOAN</t>
  </si>
  <si>
    <t xml:space="preserve">    + Other Commercial Loans</t>
  </si>
  <si>
    <t>BS_OTHER_COMMERCIAL_LOANS</t>
  </si>
  <si>
    <t xml:space="preserve">  + Total Consumer Loans</t>
  </si>
  <si>
    <t>BS_CONS_LOAN</t>
  </si>
  <si>
    <t xml:space="preserve">    + Credit Card Loans</t>
  </si>
  <si>
    <t>BS_CREDIT_CARD_LOANS</t>
  </si>
  <si>
    <t xml:space="preserve">    + 1-4 Family Residential Loans</t>
  </si>
  <si>
    <t>BS_1_4_FAMILY_RESIDENTIAL_LOANS</t>
  </si>
  <si>
    <t xml:space="preserve">    + Auto Loans</t>
  </si>
  <si>
    <t>AUTO_LOANS</t>
  </si>
  <si>
    <t xml:space="preserve">    + Other Consumer Loans</t>
  </si>
  <si>
    <t>BS_OTHER_CONSUMER_LOANS</t>
  </si>
  <si>
    <t xml:space="preserve">  + Other Loans</t>
  </si>
  <si>
    <t>BS_OTHER_LOAN</t>
  </si>
  <si>
    <t xml:space="preserve">  + Total Loans</t>
  </si>
  <si>
    <t xml:space="preserve">    - Reserve for Loan Losses</t>
  </si>
  <si>
    <t>BS_RSRV_LOAN_LOSS</t>
  </si>
  <si>
    <t xml:space="preserve">  + Net Loans</t>
  </si>
  <si>
    <t xml:space="preserve">  + Net Fixed Assets</t>
  </si>
  <si>
    <t>BS_NET_FIX_ASSET</t>
  </si>
  <si>
    <t xml:space="preserve">    + Property, Plant &amp; Equip</t>
  </si>
  <si>
    <t>BS_TOT_OTHER_PRPTY_AND_EQUIP</t>
  </si>
  <si>
    <t xml:space="preserve">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</si>
  <si>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</si>
  <si>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</si>
  <si>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</si>
  <si>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</si>
  <si>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BS_OTHER_INTANGIBLE_ASSETS</t>
  </si>
  <si>
    <t xml:space="preserve">  + Investments in Associates</t>
  </si>
  <si>
    <t>BS_INVEST_IN_ASSOC_CO</t>
  </si>
  <si>
    <t xml:space="preserve">  + Total Deferred Tax Assets</t>
  </si>
  <si>
    <t>BS_TOT_DEFERRED_TAX_ASSETS</t>
  </si>
  <si>
    <t xml:space="preserve">  + Total Derivative Assets</t>
  </si>
  <si>
    <t>BS_TOTAL_DERIVATIVE_ASSETS</t>
  </si>
  <si>
    <t xml:space="preserve">  + Customer Acceptances &amp; Liab</t>
  </si>
  <si>
    <t>BS_CUST_ACCPT_LIAB_CUSTDY_SEC</t>
  </si>
  <si>
    <t xml:space="preserve">  + Other Assets</t>
  </si>
  <si>
    <t>OTHER_NONCURRENT_ASSETS_DETAILED</t>
  </si>
  <si>
    <t>Liabilities &amp; Shareholders' Equity</t>
  </si>
  <si>
    <t xml:space="preserve">  + Demand Deposits</t>
  </si>
  <si>
    <t>BS_DEMAND_DPST</t>
  </si>
  <si>
    <t xml:space="preserve">  + Interest Bearing Deposits</t>
  </si>
  <si>
    <t>INTEREST_BEARING_DEPOSITS_RATIO</t>
  </si>
  <si>
    <t xml:space="preserve">    + Time Deposits</t>
  </si>
  <si>
    <t>BS_TIME_DPST</t>
  </si>
  <si>
    <t xml:space="preserve">  + Other Deposits</t>
  </si>
  <si>
    <t>BS_OTHER_DPST</t>
  </si>
  <si>
    <t xml:space="preserve">  + Total Deposits</t>
  </si>
  <si>
    <t xml:space="preserve">  + ST Borrowings &amp; Repos</t>
  </si>
  <si>
    <t>ST_BORROW_SECS_SOLD_UNDER_REPO</t>
  </si>
  <si>
    <t xml:space="preserve">    + Secs Sold Under Repo</t>
  </si>
  <si>
    <t>BS_SEC_SOLD_REPO_AGRMNT</t>
  </si>
  <si>
    <t xml:space="preserve">    + ST Borrowings</t>
  </si>
  <si>
    <t>SHORT_TERM_DEBT_DETAILED</t>
  </si>
  <si>
    <t xml:space="preserve">  + LT Debt</t>
  </si>
  <si>
    <t>BS_LT_BORROW</t>
  </si>
  <si>
    <t xml:space="preserve">    + LT Lease Liabilities</t>
  </si>
  <si>
    <t>LT_CAPITALIZED_LEASE_LIABILITIES</t>
  </si>
  <si>
    <t xml:space="preserve">    + LT Borrowings</t>
  </si>
  <si>
    <t>LONG_TERM_BORROWINGS_DETAILED</t>
  </si>
  <si>
    <t xml:space="preserve">  + Pension Liabilities</t>
  </si>
  <si>
    <t>PENSION_LIABILITIES</t>
  </si>
  <si>
    <t xml:space="preserve">  + Total Deferred Tax Liabilities</t>
  </si>
  <si>
    <t>BS_TOT_DEFERRED_TAX_LIAB</t>
  </si>
  <si>
    <t xml:space="preserve">  + Total Derivative Liabilities</t>
  </si>
  <si>
    <t>BS_TOTAL_DERIVATIVE_LIABILITIES</t>
  </si>
  <si>
    <t xml:space="preserve">  + Other Liabilities</t>
  </si>
  <si>
    <t>OTHER_CURRENT_LIABS_DETAILED</t>
  </si>
  <si>
    <t xml:space="preserve">  + Preferred Equity and Hybrid 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</si>
  <si>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</si>
  <si>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</si>
  <si>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</si>
  <si>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</si>
  <si>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</si>
  <si>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</si>
  <si>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</si>
  <si>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</si>
  <si>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</si>
  <si>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</si>
  <si>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</si>
  <si>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</si>
  <si>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</si>
  <si>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</si>
  <si>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</si>
  <si>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Total Liabilities &amp; Equity</t>
  </si>
  <si>
    <t>TOT_LIAB_AND_EQY</t>
  </si>
  <si>
    <t>Shares Outstanding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</si>
  <si>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</si>
  <si>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</si>
  <si>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</si>
  <si>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</si>
  <si>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</si>
  <si>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</si>
  <si>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Non-Performing Assets</t>
  </si>
  <si>
    <t>Return on Assets</t>
  </si>
  <si>
    <t>Net Deferred Tax Liabilities - Long Term</t>
  </si>
  <si>
    <t>BS_DEF_TAX_LIAB</t>
  </si>
  <si>
    <t>Interest Bearing Liabilities</t>
  </si>
  <si>
    <t>INT_BEAR_LIAB</t>
  </si>
  <si>
    <t>Net Debt</t>
  </si>
  <si>
    <t>NET_DEBT</t>
  </si>
  <si>
    <t>Return on Common Equity</t>
  </si>
  <si>
    <t>Tangible Common Equity Ratio</t>
  </si>
  <si>
    <t>Tangible Common Equity to Risk-Weighted Assets</t>
  </si>
  <si>
    <t>Tier 1 Capital Ratio</t>
  </si>
  <si>
    <t>Total Risk-Based Capital Ratio</t>
  </si>
  <si>
    <t>Number of Employees</t>
  </si>
  <si>
    <t>NUM_OF_EMPLOYEES</t>
  </si>
  <si>
    <t>Balance Sheet</t>
  </si>
  <si>
    <t>Average Earning Assets</t>
  </si>
  <si>
    <t>ARD_AVERAGE_EARNING_ASSETS</t>
  </si>
  <si>
    <t>Average Total Loans</t>
  </si>
  <si>
    <t>ARDR_AVERAGE_TOTAL_LOANS</t>
  </si>
  <si>
    <t>Average Stockholders Equity</t>
  </si>
  <si>
    <t>ARDR_AVG_STOCKHOLDERS_EQUITY</t>
  </si>
  <si>
    <t>Total Borrowing Rate</t>
  </si>
  <si>
    <t>ARDR_AVG_TOT_BORROW_RATE</t>
  </si>
  <si>
    <t xml:space="preserve">  Investments</t>
  </si>
  <si>
    <t xml:space="preserve">  Assets</t>
  </si>
  <si>
    <t>Other Assets</t>
  </si>
  <si>
    <t>ARD_OTHER_ASSETS_OTHER</t>
  </si>
  <si>
    <t>Inventories</t>
  </si>
  <si>
    <t>ARD_INVENTORY</t>
  </si>
  <si>
    <t>Assets Held For Sale</t>
  </si>
  <si>
    <t>ARD_ASSETS_HELD_FOR_SALE</t>
  </si>
  <si>
    <t>Property Plant &amp; Equipment - Net</t>
  </si>
  <si>
    <t>ARD_PROPERTY_PLANT_EQUIP_NET</t>
  </si>
  <si>
    <t>Deferred Income Tax Asset (Long-Term)</t>
  </si>
  <si>
    <t>ARD_DEFERRED_INC_TAX_ASSET_LT</t>
  </si>
  <si>
    <t>Other Intangible Assets</t>
  </si>
  <si>
    <t>ARD_OTHER_INTANGIBLE_ASSET</t>
  </si>
  <si>
    <t>Goodwill</t>
  </si>
  <si>
    <t>ARD_GOODWLL</t>
  </si>
  <si>
    <t>Mortgage Loans</t>
  </si>
  <si>
    <t>ARD_MORTGAGE_LOANS</t>
  </si>
  <si>
    <t>Trading Account Assets</t>
  </si>
  <si>
    <t>ARD_TRADING_ACCOUNT_ASSETS</t>
  </si>
  <si>
    <t>Investment Securities Available For Sale</t>
  </si>
  <si>
    <t>ARD_INVEST_SEC_AVAIL_FOR_SALE</t>
  </si>
  <si>
    <t>Commercial Loans</t>
  </si>
  <si>
    <t>ARD_COMMERCIAL_LOANS</t>
  </si>
  <si>
    <t>One To Four Family Resident Real Estate Loans</t>
  </si>
  <si>
    <t>ARD_ONE_TO_FOUR_FAM_RES_RE_LOAN</t>
  </si>
  <si>
    <t>Other Consumer Loans</t>
  </si>
  <si>
    <t>ARD_OTHER_CONSUMER_LOANS</t>
  </si>
  <si>
    <t>Other Loans</t>
  </si>
  <si>
    <t>ARD_OTHER_LOAN</t>
  </si>
  <si>
    <t>Reserve For Loan Losses</t>
  </si>
  <si>
    <t>ARD_RESERVE_FOR_LOAN_LOSSES</t>
  </si>
  <si>
    <t>Securities Purchased Under Agreement To Resell</t>
  </si>
  <si>
    <t>ARD_SEC_PURC_UNDER_AGR_TO_RESELL</t>
  </si>
  <si>
    <t>Interest Bearing Deposits At Banks</t>
  </si>
  <si>
    <t>ARD_INT_BEARING_DEPOSITS_AT_BANK</t>
  </si>
  <si>
    <t>Investment Securities Held To Maturity</t>
  </si>
  <si>
    <t>ARD_INV_SEC_HELD_TO_MATURITY</t>
  </si>
  <si>
    <t>Derivative Assets (Short-Term)</t>
  </si>
  <si>
    <t>ARD_DERIVATIVE_ASSET_ST</t>
  </si>
  <si>
    <t>ARD_TOTAL_LOANS</t>
  </si>
  <si>
    <t>ARD_NET_LOANS</t>
  </si>
  <si>
    <t>ARD_TOT_ASSETS</t>
  </si>
  <si>
    <t>Other Receivable</t>
  </si>
  <si>
    <t>ARD_OTHER_RECEIVABLE</t>
  </si>
  <si>
    <t>Other Investments</t>
  </si>
  <si>
    <t>ARD_OTHER_INVESTMENTS</t>
  </si>
  <si>
    <t>Derivative Assets (Long-Term)</t>
  </si>
  <si>
    <t>ARD_DERIVATIVE_ASSET_LT</t>
  </si>
  <si>
    <t>Prepaid Expenses And Other</t>
  </si>
  <si>
    <t>ARD_PREPAID_EXP_OTHER</t>
  </si>
  <si>
    <t>Cash and Cash Equivalents</t>
  </si>
  <si>
    <t>ARD_CASH_AND_CASH_EQUIVALENTS</t>
  </si>
  <si>
    <t>Equity Investments In Associates/Affiliates</t>
  </si>
  <si>
    <t>ARD_EQY_INVEST_ASSOC_AFFILIATES</t>
  </si>
  <si>
    <t>Allowance For Possible Loss On Marketable Secs</t>
  </si>
  <si>
    <t>ARD_ALLOW_POSSIBLE_LOSS_MTK_SECS</t>
  </si>
  <si>
    <t>Loans And Advances To Banks</t>
  </si>
  <si>
    <t>ARD_LOANS_AND_ADVANCES_TO_BANKS</t>
  </si>
  <si>
    <t>Other Assets-Derivatives Used For Hedging Purp</t>
  </si>
  <si>
    <t>ARD_OTH_ASSETS_DERV_HEDGING_PURP</t>
  </si>
  <si>
    <t>Other Assets-Derivatives Used For Trading Purp</t>
  </si>
  <si>
    <t>ARD_OTH_ASSETS_DERV_TRADING_PURP</t>
  </si>
  <si>
    <t>Receivables - Current &amp; Noncurrent</t>
  </si>
  <si>
    <t>ARD_RECEIVABLES_CURRENT_NONCUR</t>
  </si>
  <si>
    <t>Other Financial Assets - Current &amp; Noncurrent</t>
  </si>
  <si>
    <t>ARD_OTHER_FINL_ASSETS_CUR_NONCUR</t>
  </si>
  <si>
    <t>Total Derivative Assets</t>
  </si>
  <si>
    <t>ARD_TOTAL_DERIVATIVE_ASSETS</t>
  </si>
  <si>
    <t xml:space="preserve">  Liabilities</t>
  </si>
  <si>
    <t>Deferred/Unearned Revenue (Short-Term)</t>
  </si>
  <si>
    <t>ARD_DEFERRED_UNEARNED_REV_ST</t>
  </si>
  <si>
    <t>Other Current Liabilities</t>
  </si>
  <si>
    <t>ARD_OTHER_CURRENT_LIABILITIES</t>
  </si>
  <si>
    <t>Deferred Income Taxes (Liabilities)</t>
  </si>
  <si>
    <t>ARD_DEFERRED_INCOME_TAXES_LIAB</t>
  </si>
  <si>
    <t>Pension/Postretirement Liabilities</t>
  </si>
  <si>
    <t>ARD_PENSION_POSTRETIREMNT_LIAB</t>
  </si>
  <si>
    <t>Other Noncurrent Liabilities</t>
  </si>
  <si>
    <t>ARD_OTH_NONCURRENT_LIABILITIES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</si>
  <si>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</si>
  <si>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</si>
  <si>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</si>
  <si>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</si>
  <si>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</si>
  <si>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</si>
  <si>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</si>
  <si>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</si>
  <si>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</si>
  <si>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</si>
  <si>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Income Taxes Accrued/Payable</t>
  </si>
  <si>
    <t>ARD_INCOME_TAX_ACCRUED_PAYABLE</t>
  </si>
  <si>
    <t>Total Shareholders Equity</t>
  </si>
  <si>
    <t>ARD_TOTAL_SHAREHOLDERS_EQUITY</t>
  </si>
  <si>
    <t>Demand Deposits</t>
  </si>
  <si>
    <t>ARD_DEMAND_DEPOSITS</t>
  </si>
  <si>
    <t>Other Deposits</t>
  </si>
  <si>
    <t>ARD_OTHER_DEPOSIT</t>
  </si>
  <si>
    <t>Securities Sold Under Repurchase Agreements</t>
  </si>
  <si>
    <t>ARD_SEC_SOLD_UNDER_REP_AGREEMENT</t>
  </si>
  <si>
    <t>Commercial Paper Outstanding</t>
  </si>
  <si>
    <t>ARD_COMMERCIAL_PAPER_BS</t>
  </si>
  <si>
    <t>Other Short-Term Borrowings</t>
  </si>
  <si>
    <t>ARD_OTHER_ST_BORROW</t>
  </si>
  <si>
    <t>Derivative Liabilities</t>
  </si>
  <si>
    <t>ARD_DERIVATIVE_LIABILITIES</t>
  </si>
  <si>
    <t>Other Long-Term Debt</t>
  </si>
  <si>
    <t>ARD_OTHER_LT_DEBT</t>
  </si>
  <si>
    <t>ARD_TOTAL_DEPOSITS</t>
  </si>
  <si>
    <t>ARD_TOT_LIABILITIES</t>
  </si>
  <si>
    <t>Total Liabilities and Shareholders Equity</t>
  </si>
  <si>
    <t>ARD_TOT_LIAB_AND_SHAREHOLDER_EQY</t>
  </si>
  <si>
    <t>Insurance Policies and Claims Reserves</t>
  </si>
  <si>
    <t>ARD_INSUR_POLICIES_CLAIMS_RSRV</t>
  </si>
  <si>
    <t>Other Payables</t>
  </si>
  <si>
    <t>ARD_OTHER_PAYABLES</t>
  </si>
  <si>
    <t>Subordinated Debentures</t>
  </si>
  <si>
    <t>ARD_SUBORDINATED_DEBENTURES</t>
  </si>
  <si>
    <t>Cumulative Translation Adjustment</t>
  </si>
  <si>
    <t>ARD_CUMULATIVE_TRANSLATION_ADJUS</t>
  </si>
  <si>
    <t>Liabilities Attributable To Insurance Ops</t>
  </si>
  <si>
    <t>ARD_LIAB_ATTRIBUTABLE_TO_INS_OPS</t>
  </si>
  <si>
    <t>Capital Reserves</t>
  </si>
  <si>
    <t>ARD_CAPITAL_RESERVES</t>
  </si>
  <si>
    <t>Net Income/Loss (Stockholders Equity)</t>
  </si>
  <si>
    <t>ARD_NET_INC_LOSS_STOCKHLDRS_EQTY</t>
  </si>
  <si>
    <t>Other Reserve</t>
  </si>
  <si>
    <t>ARD_OTHER_RESERVE</t>
  </si>
  <si>
    <t>Bonds Payable</t>
  </si>
  <si>
    <t>ARD_BONDS_PAYABLE</t>
  </si>
  <si>
    <t>Sundry Creditors And Accruals</t>
  </si>
  <si>
    <t>ARD_SUNDRY_CREDITORS_AND_ACCRUAL</t>
  </si>
  <si>
    <t>Time Deposits</t>
  </si>
  <si>
    <t>ARD_TIME_DEPOSIT</t>
  </si>
  <si>
    <t>Total Shareholders Equity Excluding Minority</t>
  </si>
  <si>
    <t>ARD_TOT_SHARE_EQY_EXCL_MINORITY</t>
  </si>
  <si>
    <t>Other Liab - Derivatives Used For Trading Purp</t>
  </si>
  <si>
    <t>ARD_OTHR_LIAB_DERV_TRADING_PURP</t>
  </si>
  <si>
    <t>Other Liab - Derivatives Used For Hedging Purp</t>
  </si>
  <si>
    <t>ARD_OTHR_LIAB_DERV_HEDGING_PURP</t>
  </si>
  <si>
    <t>Fair Value And Other Reserves</t>
  </si>
  <si>
    <t>ARD_FAIR_VAL_OTHER_RESERVES</t>
  </si>
  <si>
    <t xml:space="preserve">  Stockholder Equity</t>
  </si>
  <si>
    <t>ARDR Available for Sales Secs Purchased Price</t>
  </si>
  <si>
    <t>ARDR_AVAIL_SALE_SECS_PURCH_PX</t>
  </si>
  <si>
    <t>ARDR Available for Sales Secs Unrlzd Gain or Loss</t>
  </si>
  <si>
    <t>ARDR_AVAIL_SALE_SECS_UNRLZD_GL</t>
  </si>
  <si>
    <t>Property Plant &amp; Equipment - Gross</t>
  </si>
  <si>
    <t>ARDR_PROPERTY_PLANT_EQUIP_GROSS</t>
  </si>
  <si>
    <t>Accumulated Depreciation</t>
  </si>
  <si>
    <t>ARDR_ACCUMULATED_DEPREC</t>
  </si>
  <si>
    <t>ARDR_PROPERTY_PLANT_EQUIP_NET</t>
  </si>
  <si>
    <t>ARDR_OTHER_INTANGIBLE_ASSET</t>
  </si>
  <si>
    <t>ARDR_GOODWLL</t>
  </si>
  <si>
    <t>ARDR_PENSION_POSTRETIREMNT_LIAB</t>
  </si>
  <si>
    <t>Min/Non Cntrlling Int(Stckhldrs Eqty)</t>
  </si>
  <si>
    <t>ARDR_MIN_NONCONTROL_INT_SE</t>
  </si>
  <si>
    <t>ARDR_COMMON_STOCK</t>
  </si>
  <si>
    <t>ARDR_ADDITIONAL_PAID_IN_CAPITAL</t>
  </si>
  <si>
    <t>ARDR_RETAINED_EARN_ACC_DEFICIT</t>
  </si>
  <si>
    <t>ARDR_OTHER_EQUITY</t>
  </si>
  <si>
    <t>ARDR_SHARES_OUTSTANDING</t>
  </si>
  <si>
    <t>Par Value</t>
  </si>
  <si>
    <t>ARDR_PAR_VALUE</t>
  </si>
  <si>
    <t>Treasury Shares (Number)</t>
  </si>
  <si>
    <t>ARDR_TREASURY_SHARES_NUM</t>
  </si>
  <si>
    <t>ARDR_MORTGAGE_LOANS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</si>
  <si>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</si>
  <si>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</si>
  <si>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</si>
  <si>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</si>
  <si>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</si>
  <si>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</si>
  <si>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Beyond Year 5</t>
  </si>
  <si>
    <t>ARDR_RENTAL_EXP_BEYOND_YR5</t>
  </si>
  <si>
    <t>ARDR_TOTAL_SHAREHOLDERS_EQUITY</t>
  </si>
  <si>
    <t>Total Risk Based Capital</t>
  </si>
  <si>
    <t>ARDR_TOTAL_RISK_BASED_CAPITAL</t>
  </si>
  <si>
    <t>ARDR_COMMERCIAL_LOANS</t>
  </si>
  <si>
    <t>Credit CARD Ref Loans</t>
  </si>
  <si>
    <t>ARDR_CREDIT_CARDR_LOANS</t>
  </si>
  <si>
    <t>ARDR_OTHER_CONSUMER_LOANS</t>
  </si>
  <si>
    <t>Other Adjustments To Loans (Consumer)</t>
  </si>
  <si>
    <t>ARDR_OTH_ADJUST_TO_LOANS_CONS</t>
  </si>
  <si>
    <t>ARDR_ASSETS_UNDER_MANAGEMENT</t>
  </si>
  <si>
    <t># of Outlets/Branches</t>
  </si>
  <si>
    <t>ARDR_NUM_OF_OUTLETS/BRANCHES</t>
  </si>
  <si>
    <t>ARDR_OTHER_LOAN</t>
  </si>
  <si>
    <t>ARDR_RESERVE_FOR_LOAN_LOSSES</t>
  </si>
  <si>
    <t>Secs Purchased Under Agreement To Resell</t>
  </si>
  <si>
    <t>ARDR_SEC_PURC_UNDER_AGR_RESELL</t>
  </si>
  <si>
    <t>ARDR_INT_BEARING_DEP_AT_BANK</t>
  </si>
  <si>
    <t>Other Interbank Assets</t>
  </si>
  <si>
    <t>ARDR_OTHER_INTERBANK_ASSETS</t>
  </si>
  <si>
    <t>Securities Sold Under Repurchase Agreement</t>
  </si>
  <si>
    <t>ARDR_SEC_SOLD_UNDER_REP_AGR</t>
  </si>
  <si>
    <t>ARDR_OTHER_ST_BORROW</t>
  </si>
  <si>
    <t>ARDR_OTHER_LT_DEBT</t>
  </si>
  <si>
    <t>Cash and Due From Banks</t>
  </si>
  <si>
    <t>ARDR_CASH_AND_DUE_FROM_BANKS</t>
  </si>
  <si>
    <t>Future Policy Benefits</t>
  </si>
  <si>
    <t>ARDR_FUTURE_POLICY_BENEFITS</t>
  </si>
  <si>
    <t>ARDR_TIER1_CAPITAL_RATIO</t>
  </si>
  <si>
    <t>Total Capital/Risk-Based Cap %</t>
  </si>
  <si>
    <t>ARDR_TOT_CAP_RISK_BASED_CAP_PCT</t>
  </si>
  <si>
    <t>Leverage/Tangible Capital Ratio %</t>
  </si>
  <si>
    <t>ARDR_LEVERAGE_TANG_CAP_RATIO</t>
  </si>
  <si>
    <t>Total Tier 1 Capital</t>
  </si>
  <si>
    <t>ARDR_TOTAL_TIER1_CAPITAL</t>
  </si>
  <si>
    <t>Risk Weighted Assets</t>
  </si>
  <si>
    <t>ARDR_RISK_WEIGHTED_ASSETS</t>
  </si>
  <si>
    <t>ARDR_OTHER_PAYABLES</t>
  </si>
  <si>
    <t>Accruing Loans Past Due 90 Days</t>
  </si>
  <si>
    <t>ARDR_ACCRUING_LOANS_PAST_DUE</t>
  </si>
  <si>
    <t>Number of Employees at Period End Date</t>
  </si>
  <si>
    <t>ARDR_NUM_OF_EMPLOYEES_PERIOD_END</t>
  </si>
  <si>
    <t>ARDR_CUM_TRANSLATION_ADJUST</t>
  </si>
  <si>
    <t>Capital Reserve</t>
  </si>
  <si>
    <t>ARDR_CAPITAL_RSRV</t>
  </si>
  <si>
    <t>ARDR_NET_INC_LOSS_STOCKHLDRS_EQY</t>
  </si>
  <si>
    <t>ARDR_OTHER_RESERVE</t>
  </si>
  <si>
    <t>Provisions For Liabilities/Charges/Other</t>
  </si>
  <si>
    <t>ARDR_PROV_LIAB_CHARGES_AND_OTHER</t>
  </si>
  <si>
    <t>ARDR_SUNDRY_CREDITORS_AND_ACCRL</t>
  </si>
  <si>
    <t>Total Supplementary Capital</t>
  </si>
  <si>
    <t>ARDR_TOTAL_SUPPLEMENTARY_CAPITAL</t>
  </si>
  <si>
    <t>Core Capital Ratio (Tier 2)</t>
  </si>
  <si>
    <t>ARDR_CORE_CAPITAL_RATIO_TIER2</t>
  </si>
  <si>
    <t>Total Shareholder Equity Excludes Minority</t>
  </si>
  <si>
    <t>ARDR_TOT_SHARE_EQY_EXCL_MINORITY</t>
  </si>
  <si>
    <t>Contingent Liabilities And Commitments</t>
  </si>
  <si>
    <t>ARDR_CONTINGENT_LIAB_COMMITMENTS</t>
  </si>
  <si>
    <t>Non-Performing Loans</t>
  </si>
  <si>
    <t>ARDR_NON_PERFORMING_LOANS</t>
  </si>
  <si>
    <t>Loans From Financial Institutions (LT)</t>
  </si>
  <si>
    <t>ARDR_LOANS_FROM_FINL_INSTIT_LT</t>
  </si>
  <si>
    <t>ARDR_FAIR_VAL_OTHER_RESERVES</t>
  </si>
  <si>
    <t>Overdrafts And Bank Loans (Short Term)</t>
  </si>
  <si>
    <t>ARDR_OVERDRAFTS_BANK_LOANS_ST</t>
  </si>
  <si>
    <t>Cash Equivalents</t>
  </si>
  <si>
    <t>ARDR_CASH_EQUIVS</t>
  </si>
  <si>
    <t>Shares Outstanding Excl Treasury Shares</t>
  </si>
  <si>
    <t>ARDR_SHRS_OUT_EXCL_TRSY_SHRS</t>
  </si>
  <si>
    <t>Non-Performing Loan Ratio (%)</t>
  </si>
  <si>
    <t>ARDR_NON_PERFORMING_LOAN_%</t>
  </si>
  <si>
    <t>Cash</t>
  </si>
  <si>
    <t>ARDR_CASH</t>
  </si>
  <si>
    <t>Shares Outstanding Including Treasury Shrs</t>
  </si>
  <si>
    <t>ARDR_SH_OUT_INCL_TREASURY_SHRS</t>
  </si>
  <si>
    <t>Capital Lease Year 1</t>
  </si>
  <si>
    <t>ARDR_CAPITAL_LEASE_YEAR_1</t>
  </si>
  <si>
    <t>Capital Lease Year 2</t>
  </si>
  <si>
    <t>ARDR_CAPITAL_LEASE_YEAR_2</t>
  </si>
  <si>
    <t>Capital Lease Year 3</t>
  </si>
  <si>
    <t>ARDR_CAPITAL_LEASE_YEAR_3</t>
  </si>
  <si>
    <t>Capital Lease Beyond Year 5</t>
  </si>
  <si>
    <t>ARDR_CAPITAL_LEASE_BEYOND_YEAR_5</t>
  </si>
  <si>
    <t>Tier 1 Common Equity</t>
  </si>
  <si>
    <t>ARDR_TIER1_COMMON_EQUITY</t>
  </si>
  <si>
    <t>Tier 1 Common Equity Ratio</t>
  </si>
  <si>
    <t>ARDR_TIER1_COM_EQUITY_RATIO</t>
  </si>
  <si>
    <t>FV Non-Hedging Deriv Assets - FX Contract</t>
  </si>
  <si>
    <t>ARDR_FV_NON_HEDG_DERIV_ASSETS_FX</t>
  </si>
  <si>
    <t>FV Non-Hedging Deriv Liabs - FX Contract</t>
  </si>
  <si>
    <t>ARDR_FV_HEDG_DERIV_LIABS_FX</t>
  </si>
  <si>
    <t>ARDR FV Non Hedging Derivative Assets IR Contract</t>
  </si>
  <si>
    <t>ARDR_FV_N_HEDG_DERIV_AST_IR_CONT</t>
  </si>
  <si>
    <t>ARDR FV Non Hedging Derivative Liabilities IR</t>
  </si>
  <si>
    <t>ARDR_FV_NON_HEDG_DERIV_LIABS_IR</t>
  </si>
  <si>
    <t>Hedging Derivative Liabs-Foreign Exchange</t>
  </si>
  <si>
    <t>ARDR_FV_HEDG_DERIV_LIABI_FX</t>
  </si>
  <si>
    <t>Auto Loans</t>
  </si>
  <si>
    <t>ARDR_AUTO_LOANS</t>
  </si>
  <si>
    <t>Number of ATMs</t>
  </si>
  <si>
    <t>ARDR_NUMBER_OF_ATM</t>
  </si>
  <si>
    <t>FV Hedging Deriv Assets-Int Rate Contract</t>
  </si>
  <si>
    <t>ARDR_FV_HEDG_DERIV_ASSETS_IR</t>
  </si>
  <si>
    <t>FV Hedging Deriv Liabs - Int Rate Contract</t>
  </si>
  <si>
    <t>ARDR_FV_DERIV_LIABS_IR</t>
  </si>
  <si>
    <t>As Reported Data Reference FV Hedging Total Assets</t>
  </si>
  <si>
    <t>ARDR_FV_HEDGING_TOTAL_ASSETS</t>
  </si>
  <si>
    <t>ARDR FV Hedging Total Liabilities</t>
  </si>
  <si>
    <t>ARDR_FV_HEDGING_TOTAL_LIABS</t>
  </si>
  <si>
    <t>Fair Value Non Hedging Total Assets</t>
  </si>
  <si>
    <t>ARDR_FV_NON_HEDGING_TOTAL_ASSETS</t>
  </si>
  <si>
    <t>Fair Value Non Hedging Total Liabilities</t>
  </si>
  <si>
    <t>ARDR_FV_NON_HEDGING_TOTAL_LIABS</t>
  </si>
  <si>
    <t>Liquidity Coverage Ratio</t>
  </si>
  <si>
    <t>ARDR_LIQUIDITY_COVERAGE_RATIO</t>
  </si>
  <si>
    <t>Net Stable Funding Ratio</t>
  </si>
  <si>
    <t>ARDR_NET_STABLE_FUNDING_RATIO</t>
  </si>
  <si>
    <t>ARDR_TOTAL_DERIVATIVE_ASSETS</t>
  </si>
  <si>
    <t>ARDR Basel III CE Tr1 Rti % Fly Phd in (Advanced)</t>
  </si>
  <si>
    <t>ARDR_EST_BASEL_III_TR1_COM_E_RTI</t>
  </si>
  <si>
    <t>ARDR Basel III RWA Fully Phased in (Advanced)</t>
  </si>
  <si>
    <t>ARDR_ESTIMATED_BASEL_III_RWA</t>
  </si>
  <si>
    <t>ARDR Basel III CE Tr1 (Amount) Fly Phd in (Adv)</t>
  </si>
  <si>
    <t>ARDR_EST_TIER_1_COMMON_EQUITY</t>
  </si>
  <si>
    <t>ARDR Investment Securities HTM FV</t>
  </si>
  <si>
    <t>ARDR_INVESTMENT_SECS_HTM_FV</t>
  </si>
  <si>
    <t>ARDR Basel III Tr1 Cap Rti % Fly Phd in (Advanced)</t>
  </si>
  <si>
    <t>ARDR_TIER_1_CAP_RATIO_FULLY_LOAD</t>
  </si>
  <si>
    <t>ARDR Basel III Tr1 Cap (Amount) Fly Phd in (Adv)</t>
  </si>
  <si>
    <t>ARDR_TIER_1_CAPITAL_FULLY_LOADED</t>
  </si>
  <si>
    <t>ARDR Basel III Tr2 Cap (Amount) Fly Phd in (Adv)</t>
  </si>
  <si>
    <t>ARDR_TIER_2_CAPITAL_FULLY_LOADED</t>
  </si>
  <si>
    <t>ARDR Basel III T Rs B Cap (Amt) Fly Phd in (Adv)</t>
  </si>
  <si>
    <t>ARDR_TOT_RISK_BSD_CAP_FULLY_LOAD</t>
  </si>
  <si>
    <t>Grupo Financiero Banorte SAB de CV (GFNORTEO MM) - Common Size</t>
  </si>
  <si>
    <t>—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</si>
  <si>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</si>
  <si>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</si>
  <si>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</si>
  <si>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</si>
  <si>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</si>
  <si>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Provision for Loan Losses</t>
  </si>
  <si>
    <t>CF_PROVISION_FOR_LOAN_LOSSES</t>
  </si>
  <si>
    <t xml:space="preserve">  + Non-Cash Items</t>
  </si>
  <si>
    <t>NON_CASH_ITEMS_DETAILED</t>
  </si>
  <si>
    <t xml:space="preserve">    + Other Non - Cash Adjusted</t>
  </si>
  <si>
    <t>OTHER_NON_CASH_ADJ_LESS_DETAILED</t>
  </si>
  <si>
    <t xml:space="preserve">  + Net Ch in Operating Capital</t>
  </si>
  <si>
    <t>CF_CHNG_NON_CASH_WORK_CAP</t>
  </si>
  <si>
    <t xml:space="preserve">    + Net Ch of Investments</t>
  </si>
  <si>
    <t>CF_NET_CHANGES_INVEST_IN_OPER</t>
  </si>
  <si>
    <t xml:space="preserve">    + Net Ch of Interbank Liab</t>
  </si>
  <si>
    <t>CF_NET_CHANGES_INTERBANK_LIABS</t>
  </si>
  <si>
    <t xml:space="preserve">    + Other Op Assets/Liab</t>
  </si>
  <si>
    <t>CF_INC_DEC_IN_OT_OP_AST_LIAB</t>
  </si>
  <si>
    <t xml:space="preserve">  + Net Cash From Disc Ops</t>
  </si>
  <si>
    <t>CF_NET_CASH_DISCONT_OPS_OPER</t>
  </si>
  <si>
    <t>Cash from Investing Activities</t>
  </si>
  <si>
    <t xml:space="preserve">  + Net Change in Fixed Assets</t>
  </si>
  <si>
    <t>FIXED_INTANG_ASST_CHANGE</t>
  </si>
  <si>
    <t xml:space="preserve">    + Disposal of Fixed Assets</t>
  </si>
  <si>
    <t>CF_DISP_FIX_ASSET</t>
  </si>
  <si>
    <t xml:space="preserve">    + Capital Expenditures/Prop Add</t>
  </si>
  <si>
    <t>CF_CAP_EXPEND_PRPTY_ADD</t>
  </si>
  <si>
    <t xml:space="preserve">  + Net Change in Investments</t>
  </si>
  <si>
    <t>NET_CHG_IN_LT_INVEST_DETAILED</t>
  </si>
  <si>
    <t xml:space="preserve">    + Decrease in Investments</t>
  </si>
  <si>
    <t>CF_DECR_INVEST</t>
  </si>
  <si>
    <t xml:space="preserve">    + Dec in HTM Investments</t>
  </si>
  <si>
    <t>CF_PROCEEDS_HTM_INVESTMENTS</t>
  </si>
  <si>
    <t xml:space="preserve">    + Dec in AFS Investments</t>
  </si>
  <si>
    <t>CF_PROCEEDS_AFS_INVESTMENTS</t>
  </si>
  <si>
    <t xml:space="preserve">    + Dec in Other Investments</t>
  </si>
  <si>
    <t>CF_PROCEEDS_OTHER_INVESTMENTS</t>
  </si>
  <si>
    <t xml:space="preserve">    + Increase in Investments</t>
  </si>
  <si>
    <t>CF_INCR_INVEST</t>
  </si>
  <si>
    <t xml:space="preserve">    + Inc in HTM Investments</t>
  </si>
  <si>
    <t>CF_PURCHASE_HTM_INVESTMENTS</t>
  </si>
  <si>
    <t xml:space="preserve">    + Inc in AFS Investments</t>
  </si>
  <si>
    <t>CF_PURCHASE_AFS_INVESTMENTS</t>
  </si>
  <si>
    <t xml:space="preserve">    + Inc in Other Investments</t>
  </si>
  <si>
    <t>CF_PURCHASE_OTHER_INVESTMENTS</t>
  </si>
  <si>
    <t xml:space="preserve">  + Net Ch in Loans &amp; Interbank</t>
  </si>
  <si>
    <t>CF_CHANGE_IN_LOANS</t>
  </si>
  <si>
    <t xml:space="preserve">    + Net Ch in Customer Loans</t>
  </si>
  <si>
    <t>CF_NET_CHANGE_IN_LOANS_CUSTOMERS</t>
  </si>
  <si>
    <t xml:space="preserve">    + Net Ch in Interbank Assets</t>
  </si>
  <si>
    <t>CF_NET_CHG_IN_INTERBANK_ASSETS</t>
  </si>
  <si>
    <t xml:space="preserve">    + Net Ch in Loans</t>
  </si>
  <si>
    <t>CF_SALES_PURCHASES_LOANS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</si>
  <si>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</si>
  <si>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</si>
  <si>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</si>
  <si>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</si>
  <si>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</si>
  <si>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</si>
  <si>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</si>
  <si>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</si>
  <si>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</si>
  <si>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</si>
  <si>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</si>
  <si>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</si>
  <si>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</si>
  <si>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</si>
  <si>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</si>
  <si>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</si>
  <si>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</si>
  <si>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</si>
  <si>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</si>
  <si>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</si>
  <si>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</si>
  <si>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</si>
  <si>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Net Change In Deposits</t>
  </si>
  <si>
    <t>CF_INCR_DECR_DPST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</si>
  <si>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</si>
  <si>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</si>
  <si>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</si>
  <si>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</si>
  <si>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</si>
  <si>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</si>
  <si>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Cash Paid for Taxes</t>
  </si>
  <si>
    <t>CF_CASH_PAID_FOR_TAX</t>
  </si>
  <si>
    <t>Interest Received</t>
  </si>
  <si>
    <t>CF_INTEREST_RECEIVED</t>
  </si>
  <si>
    <t>Free Cash Flow</t>
  </si>
  <si>
    <t>CF_FREE_CASH_FLOW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</si>
  <si>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</si>
  <si>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</si>
  <si>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</si>
  <si>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</si>
  <si>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</si>
  <si>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Cash Flow to Net Income</t>
  </si>
  <si>
    <t>CASH_FLOW_TO_NET_INC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</si>
  <si>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</si>
  <si>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</si>
  <si>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</si>
  <si>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</si>
  <si>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</si>
  <si>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</si>
  <si>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Amortization - CF</t>
  </si>
  <si>
    <t>ARD_AMORTIZATION_CF</t>
  </si>
  <si>
    <t>Minority Interest - CF</t>
  </si>
  <si>
    <t>ARD_MINORITY_INTEREST_CF</t>
  </si>
  <si>
    <t>Discontinued Operations (Operating)</t>
  </si>
  <si>
    <t>ARD_DISCONTINUED_OPS_OPERATING</t>
  </si>
  <si>
    <t>Other Non-Cash Items</t>
  </si>
  <si>
    <t>ARD_OTHER_NON_CASH_ITEMS</t>
  </si>
  <si>
    <t>Equity In Earnings Of Affiliates/JV-CF</t>
  </si>
  <si>
    <t>ARD_EQY_IN_EARN_OF_AFF_JV_CF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</si>
  <si>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</si>
  <si>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</si>
  <si>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</si>
  <si>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</si>
  <si>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</si>
  <si>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</si>
  <si>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Net Change In Loans</t>
  </si>
  <si>
    <t>ARD_NET_CHANGE_IN_LOANS</t>
  </si>
  <si>
    <t>Increase (Decrease) In Deposits</t>
  </si>
  <si>
    <t>ARD_INCREASE_DECREASE_IN_DEPOSIT</t>
  </si>
  <si>
    <t>ARD_INTEREST_RECEIVED</t>
  </si>
  <si>
    <t>Change In Other Provisions</t>
  </si>
  <si>
    <t>ARD_CHANGE_OTHER_PROVISIONS</t>
  </si>
  <si>
    <t>Income Tax Expense</t>
  </si>
  <si>
    <t>ARD_INC_TAX_EXPENSE</t>
  </si>
  <si>
    <t>Interest Expense</t>
  </si>
  <si>
    <t>ARD_INTEREST_EXPENSE</t>
  </si>
  <si>
    <t>Change In Other Receivable</t>
  </si>
  <si>
    <t>ARD_CHANGE_IN_OTHER_RECEIVABLE</t>
  </si>
  <si>
    <t>Other Operating Assets</t>
  </si>
  <si>
    <t>ARD_OTHER_OPER_ASSETS</t>
  </si>
  <si>
    <t>Other Operating Liabilities</t>
  </si>
  <si>
    <t>ARD_OTHER_OPERATING_LIABILITIES</t>
  </si>
  <si>
    <t>Profit Before Taxation And Minority Interest</t>
  </si>
  <si>
    <t>ARD_PROF_BEFORE_TAX_MINORITY_INT</t>
  </si>
  <si>
    <t>Tax Paid</t>
  </si>
  <si>
    <t>ARD_TAX_PAID</t>
  </si>
  <si>
    <t>Insurance Payments</t>
  </si>
  <si>
    <t>ARD_INSURANCE_PAYMNTS</t>
  </si>
  <si>
    <t>Change In Other Investments In Securities</t>
  </si>
  <si>
    <t>ARD_CHG_IN_OTH_INVEST_IN_SECS</t>
  </si>
  <si>
    <t>Increase/Decrease In Due To Banks</t>
  </si>
  <si>
    <t>ARD_INCR_DECR_DUE_TO_BANKS</t>
  </si>
  <si>
    <t>Change In Derivatives</t>
  </si>
  <si>
    <t>ARD_CHANGE_IN_DERIVATIVES</t>
  </si>
  <si>
    <t>Secs Sold Under Repurchase Agreements - Invest</t>
  </si>
  <si>
    <t>ARD_SECS_SOLD_UNDER_REPURC_INVST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</si>
  <si>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</si>
  <si>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</si>
  <si>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</si>
  <si>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</si>
  <si>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</si>
  <si>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</si>
  <si>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</si>
  <si>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Purchases of Long-Term Investments</t>
  </si>
  <si>
    <t>ARD_PURCHASES_OF_LT_INVEST</t>
  </si>
  <si>
    <t>Other Investing Activities</t>
  </si>
  <si>
    <t>ARD_OTHER_INVESTING_ACTIVITIES</t>
  </si>
  <si>
    <t>Purchase of Intangibles</t>
  </si>
  <si>
    <t>ARD_PURCHASE_OF_INTANGIBLES</t>
  </si>
  <si>
    <t>Proceeds From Sale Of Assocs/Joint Ventures</t>
  </si>
  <si>
    <t>ARD_PROC_FROM_SALE_OF_ASSOC_JV</t>
  </si>
  <si>
    <t>Purchase Of Associates/Joint Ventures</t>
  </si>
  <si>
    <t>ARD_PURCHASE_ASSOC_JOINT_VENTURE</t>
  </si>
  <si>
    <t>Dividend Received From Investing Activities</t>
  </si>
  <si>
    <t>ARD_DIV_REC_INVESTING_ACTIVITIES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</si>
  <si>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</si>
  <si>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</si>
  <si>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</si>
  <si>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</si>
  <si>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</si>
  <si>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</si>
  <si>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</si>
  <si>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</si>
  <si>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</si>
  <si>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</si>
  <si>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</si>
  <si>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</si>
  <si>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</si>
  <si>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</si>
  <si>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</si>
  <si>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</si>
  <si>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</si>
  <si>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Increase/Decrease In Subordinated Debts</t>
  </si>
  <si>
    <t>ARD_INCR_DECR_IN_SUBORD_DEBTS</t>
  </si>
  <si>
    <t>Decrease In Borrowings</t>
  </si>
  <si>
    <t>ARD_DECREASE_IN_BORROWINGS</t>
  </si>
  <si>
    <t>Return Of Capital To Shareholders</t>
  </si>
  <si>
    <t>ARD_RETURN_OF_CAP_TO_SHAREHOLDER</t>
  </si>
  <si>
    <t>Total Cash Flows From Financing</t>
  </si>
  <si>
    <t>ARD_TOT_CASHFLOWS_FROM_FINANCING</t>
  </si>
  <si>
    <t>Grupo Financiero Banorte SAB de CV (GFNORTEO MM) - Profitability</t>
  </si>
  <si>
    <t>Returns</t>
  </si>
  <si>
    <t>Return on Capital</t>
  </si>
  <si>
    <t>RETURN_ON_CAP</t>
  </si>
  <si>
    <t>Margins</t>
  </si>
  <si>
    <t>EBITDA Margin</t>
  </si>
  <si>
    <t>EBITDA_TO_REVENUE</t>
  </si>
  <si>
    <t>Operating Margin</t>
  </si>
  <si>
    <t>OPER_MARGIN</t>
  </si>
  <si>
    <t>Incremental Operating Margin</t>
  </si>
  <si>
    <t>INCREMENTAL_OPERATING_MARGIN</t>
  </si>
  <si>
    <t>Income before XO Margin</t>
  </si>
  <si>
    <t>INC_BEF_XO_ITEMS_TO_NET_SALES</t>
  </si>
  <si>
    <t>Net Income Margin</t>
  </si>
  <si>
    <t>PROF_MARGIN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</si>
  <si>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</si>
  <si>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</si>
  <si>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</si>
  <si>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</si>
  <si>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</si>
  <si>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</si>
  <si>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</si>
  <si>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</si>
  <si>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</si>
  <si>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Grupo Financiero Banorte SAB de CV (GFNORTEO MM) - By Measure</t>
  </si>
  <si>
    <t>Net Revenues</t>
  </si>
  <si>
    <t xml:space="preserve">  Commercial Banking</t>
  </si>
  <si>
    <t xml:space="preserve">  Creditor</t>
  </si>
  <si>
    <t xml:space="preserve">  Ahorro y Previsin</t>
  </si>
  <si>
    <t xml:space="preserve">  IXE Stock Exchange</t>
  </si>
  <si>
    <t xml:space="preserve">  Leasing</t>
  </si>
  <si>
    <t xml:space="preserve">  Funds</t>
  </si>
  <si>
    <t xml:space="preserve">  Holding Company</t>
  </si>
  <si>
    <t xml:space="preserve">  Warehousing</t>
  </si>
  <si>
    <t xml:space="preserve">  Charges</t>
  </si>
  <si>
    <t xml:space="preserve">  Eliminations</t>
  </si>
  <si>
    <t xml:space="preserve">  IXE Services</t>
  </si>
  <si>
    <t>Interest Income</t>
  </si>
  <si>
    <t>Assets</t>
  </si>
  <si>
    <t>Grupo Financiero Banorte SAB de CV (GFNORTEO MM) - By Geography</t>
  </si>
  <si>
    <t xml:space="preserve">  Mexico</t>
  </si>
  <si>
    <t>Pretax Income</t>
  </si>
  <si>
    <t>Income Taxes</t>
  </si>
  <si>
    <t>Property/Plant/Equipment</t>
  </si>
  <si>
    <t>Liabilities</t>
  </si>
  <si>
    <t>Number of Outlets and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</si>
</sst>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"/>
    <numFmt numFmtId="173" formatCode="0.0%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72" fontId="11" fillId="34" borderId="2">
      <alignment horizontal="right"/>
    </xf>
    <xf numFmtId="3" fontId="11" fillId="35" borderId="2">
      <alignment horizontal="right"/>
    </xf>
    <xf numFmtId="0" fontId="7" fillId="33" borderId="16">
      <alignment horizontal="centerContinuous"/>
    </xf>
    <xf numFmtId="0" fontId="7" fillId="33" borderId="17">
      <alignment horizontal="centerContinuous"/>
    </xf>
    <xf numFmtId="172" fontId="1" fillId="34" borderId="18">
      <alignment horizontal="right"/>
    </xf>
    <xf numFmtId="173" fontId="1" fillId="34" borderId="19">
      <alignment horizontal="right"/>
    </xf>
    <xf numFmtId="4" fontId="1" fillId="34" borderId="18">
      <alignment horizontal="right"/>
    </xf>
    <xf numFmtId="10" fontId="1" fillId="34" borderId="19">
      <alignment horizontal="right"/>
    </xf>
    <xf numFmtId="172" fontId="8" fillId="34" borderId="18">
      <alignment horizontal="right"/>
    </xf>
    <xf numFmtId="173" fontId="8" fillId="34" borderId="19">
      <alignment horizontal="right"/>
    </xf>
    <xf numFmtId="4" fontId="8" fillId="34" borderId="18">
      <alignment horizontal="right"/>
    </xf>
    <xf numFmtId="10" fontId="8" fillId="34" borderId="19">
      <alignment horizontal="right"/>
    </xf>
  </cellStyleXfs>
  <cellXfs count="38">
    <xf numFmtId="0" fontId="0" fillId="0" borderId="0" xfId="0"/>
    <xf numFmtId="4" fontId="8" fillId="34" borderId="5" xfId="35" applyNumberFormat="1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72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72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72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72" fontId="8" fillId="35" borderId="2" xfId="63">
      <alignment horizontal="right"/>
    </xf>
    <xf numFmtId="4" fontId="8" fillId="35" borderId="2" xfId="64">
      <alignment horizontal="right"/>
    </xf>
    <xf numFmtId="3" fontId="11" fillId="34" borderId="2" xfId="65">
      <alignment horizontal="right"/>
    </xf>
    <xf numFmtId="172" fontId="11" fillId="34" borderId="2" xfId="66">
      <alignment horizontal="right"/>
    </xf>
    <xf numFmtId="3" fontId="11" fillId="35" borderId="2" xfId="67">
      <alignment horizontal="right"/>
    </xf>
    <xf numFmtId="0" fontId="7" fillId="33" borderId="16" xfId="68">
      <alignment horizontal="centerContinuous"/>
    </xf>
    <xf numFmtId="0" fontId="7" fillId="33" borderId="17" xfId="69">
      <alignment horizontal="centerContinuous"/>
    </xf>
    <xf numFmtId="172" fontId="1" fillId="34" borderId="18" xfId="70">
      <alignment horizontal="right"/>
    </xf>
    <xf numFmtId="173" fontId="1" fillId="34" borderId="19" xfId="71">
      <alignment horizontal="right"/>
    </xf>
    <xf numFmtId="4" fontId="1" fillId="34" borderId="18" xfId="72">
      <alignment horizontal="right"/>
    </xf>
    <xf numFmtId="10" fontId="1" fillId="34" borderId="19" xfId="73">
      <alignment horizontal="right"/>
    </xf>
    <xf numFmtId="172" fontId="8" fillId="34" borderId="18" xfId="74">
      <alignment horizontal="right"/>
    </xf>
    <xf numFmtId="173" fontId="8" fillId="34" borderId="19" xfId="75">
      <alignment horizontal="right"/>
    </xf>
    <xf numFmtId="4" fontId="8" fillId="34" borderId="18" xfId="76">
      <alignment horizontal="right"/>
    </xf>
    <xf numFmtId="10" fontId="8" fillId="34" borderId="19" xfId="77">
      <alignment horizontal="right"/>
    </xf>
  </cellXfs>
  <cellStyles count="7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lp_title_header_row_left" xfId="51" xr:uid="{00000000-0005-0000-0000-00001A000000}"/>
    <cellStyle name="Bueno" xfId="38" builtinId="26" customBuiltin="1"/>
    <cellStyle name="Cálculo" xfId="27" builtinId="22" customBuiltin="1"/>
    <cellStyle name="Celda de comprobación" xfId="28" builtinId="23" customBuiltin="1"/>
    <cellStyle name="Celda vinculada" xfId="44" builtinId="24" customBuiltin="1"/>
    <cellStyle name="Encabezado 1" xfId="39" builtinId="16" customBuiltin="1"/>
    <cellStyle name="Encabezado 4" xfId="42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43" builtinId="20" customBuiltin="1"/>
    <cellStyle name="fa_column_header_bottom" xfId="30" xr:uid="{00000000-0005-0000-0000-00001E000000}"/>
    <cellStyle name="fa_column_header_bottom_centered" xfId="69" xr:uid="{00000000-0005-0000-0000-00001F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centered" xfId="68" xr:uid="{00000000-0005-0000-0000-000023000000}"/>
    <cellStyle name="fa_column_header_top_left" xfId="33" xr:uid="{00000000-0005-0000-0000-000024000000}"/>
    <cellStyle name="fa_data_bold_0_grouped" xfId="59" xr:uid="{00000000-0005-0000-0000-000025000000}"/>
    <cellStyle name="fa_data_bold_1_grouped" xfId="60" xr:uid="{00000000-0005-0000-0000-000026000000}"/>
    <cellStyle name="fa_data_bold_1_grouped_single_border" xfId="74" xr:uid="{00000000-0005-0000-0000-000027000000}"/>
    <cellStyle name="fa_data_bold_1_percent_single_border" xfId="75" xr:uid="{00000000-0005-0000-0000-000028000000}"/>
    <cellStyle name="fa_data_bold_2_grouped" xfId="61" xr:uid="{00000000-0005-0000-0000-000029000000}"/>
    <cellStyle name="fa_data_bold_2_grouped_single_border" xfId="76" xr:uid="{00000000-0005-0000-0000-00002A000000}"/>
    <cellStyle name="fa_data_bold_2_percent_single_border" xfId="77" xr:uid="{00000000-0005-0000-0000-00002B000000}"/>
    <cellStyle name="fa_data_current_bold_0_grouped" xfId="62" xr:uid="{00000000-0005-0000-0000-00002C000000}"/>
    <cellStyle name="fa_data_current_bold_1_grouped" xfId="63" xr:uid="{00000000-0005-0000-0000-00002D000000}"/>
    <cellStyle name="fa_data_current_bold_2_grouped" xfId="64" xr:uid="{00000000-0005-0000-0000-00002E000000}"/>
    <cellStyle name="fa_data_current_italic_0_grouped" xfId="67" xr:uid="{00000000-0005-0000-0000-00002F000000}"/>
    <cellStyle name="fa_data_current_standard_0_grouped" xfId="56" xr:uid="{00000000-0005-0000-0000-000030000000}"/>
    <cellStyle name="fa_data_current_standard_1_grouped" xfId="57" xr:uid="{00000000-0005-0000-0000-000031000000}"/>
    <cellStyle name="fa_data_current_standard_2_grouped" xfId="58" xr:uid="{00000000-0005-0000-0000-000032000000}"/>
    <cellStyle name="fa_data_italic_0_grouped" xfId="65" xr:uid="{00000000-0005-0000-0000-000033000000}"/>
    <cellStyle name="fa_data_italic_1_grouped" xfId="66" xr:uid="{00000000-0005-0000-0000-000034000000}"/>
    <cellStyle name="fa_data_standard_0_grouped" xfId="53" xr:uid="{00000000-0005-0000-0000-000035000000}"/>
    <cellStyle name="fa_data_standard_1_grouped" xfId="54" xr:uid="{00000000-0005-0000-0000-000036000000}"/>
    <cellStyle name="fa_data_standard_1_grouped_single_border" xfId="70" xr:uid="{00000000-0005-0000-0000-000037000000}"/>
    <cellStyle name="fa_data_standard_1_percent_single_border" xfId="71" xr:uid="{00000000-0005-0000-0000-000038000000}"/>
    <cellStyle name="fa_data_standard_2_grouped" xfId="55" xr:uid="{00000000-0005-0000-0000-000039000000}"/>
    <cellStyle name="fa_data_standard_2_grouped_single_border" xfId="72" xr:uid="{00000000-0005-0000-0000-00003A000000}"/>
    <cellStyle name="fa_data_standard_2_percent_single_border" xfId="73" xr:uid="{00000000-0005-0000-0000-00003B000000}"/>
    <cellStyle name="fa_footer_italic" xfId="34" xr:uid="{00000000-0005-0000-0000-00003C000000}"/>
    <cellStyle name="fa_row_header_bold" xfId="35" xr:uid="{00000000-0005-0000-0000-00003D000000}"/>
    <cellStyle name="fa_row_header_italic" xfId="36" xr:uid="{00000000-0005-0000-0000-00003E000000}"/>
    <cellStyle name="fa_row_header_standard" xfId="37" xr:uid="{00000000-0005-0000-0000-00003F000000}"/>
    <cellStyle name="Incorrecto" xfId="25" builtinId="27" customBuiltin="1"/>
    <cellStyle name="Neutral" xfId="45" builtinId="28" customBuiltin="1"/>
    <cellStyle name="Normal" xfId="0" builtinId="0"/>
    <cellStyle name="Notas" xfId="46" builtinId="10" customBuiltin="1"/>
    <cellStyle name="Salida" xfId="47" builtinId="21" customBuiltin="1"/>
    <cellStyle name="Texto de advertencia" xfId="50" builtinId="11" customBuiltin="1"/>
    <cellStyle name="Texto explicativo" xfId="29" builtinId="53" customBuiltin="1"/>
    <cellStyle name="Título" xfId="48" builtinId="15" customBuiltin="1"/>
    <cellStyle name="Título 2" xfId="40" builtinId="17" customBuiltin="1"/>
    <cellStyle name="Título 3" xfId="41" builtinId="18" customBuiltin="1"/>
    <cellStyle name="Total" xfId="4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BDH|15952277005149079533</stp>
        <tr r="AA16" s="2"/>
      </tp>
      <tp t="s">
        <v>#N/A N/A</v>
        <stp/>
        <stp>BDH|14300979924632714473</stp>
        <tr r="AA18" s="2"/>
      </tp>
      <tp t="s">
        <v>#N/A N/A</v>
        <stp/>
        <stp>BDH|14746673281087239494</stp>
        <tr r="F6" s="13"/>
      </tp>
      <tp t="s">
        <v>#N/A N/A</v>
        <stp/>
        <stp>BDH|17656344601449843219</stp>
        <tr r="V6" s="13"/>
      </tp>
      <tp t="s">
        <v>#N/A N/A</v>
        <stp/>
        <stp>BDH|10986538390695586529</stp>
        <tr r="Q6" s="13"/>
      </tp>
      <tp t="s">
        <v>#N/A N/A</v>
        <stp/>
        <stp>BDH|10842302346938935209</stp>
        <tr r="G6" s="13"/>
      </tp>
      <tp t="s">
        <v>#N/A N/A</v>
        <stp/>
        <stp>BDH|12772808809939425104</stp>
        <tr r="AA23" s="2"/>
      </tp>
      <tp t="s">
        <v>#N/A N/A</v>
        <stp/>
        <stp>BDH|12087102270115466381</stp>
        <tr r="P6" s="13"/>
      </tp>
      <tp t="s">
        <v>#N/A N/A</v>
        <stp/>
        <stp>BDH|15808030015952450526</stp>
        <tr r="AA12" s="2"/>
      </tp>
      <tp t="s">
        <v>#N/A N/A</v>
        <stp/>
        <stp>BDH|14231851138018987499</stp>
        <tr r="AA7" s="2"/>
      </tp>
      <tp t="s">
        <v>#N/A N/A</v>
        <stp/>
        <stp>BDH|15087138958185251443</stp>
        <tr r="AA13" s="2"/>
      </tp>
      <tp t="s">
        <v>#N/A N/A</v>
        <stp/>
        <stp>BDH|10108685515523252430</stp>
        <tr r="Y6" s="13"/>
      </tp>
      <tp t="s">
        <v>#N/A N/A</v>
        <stp/>
        <stp>BDH|11221728762295280444</stp>
        <tr r="E6" s="13"/>
      </tp>
      <tp t="s">
        <v>#N/A N/A</v>
        <stp/>
        <stp>BDH|10537693761347222616</stp>
        <tr r="O6" s="13"/>
      </tp>
      <tp t="s">
        <v>#N/A N/A</v>
        <stp/>
        <stp>BDH|17413457705607832524</stp>
        <tr r="U6" s="13"/>
      </tp>
      <tp t="s">
        <v>#N/A N/A</v>
        <stp/>
        <stp>BDH|11445651831807522753</stp>
        <tr r="X6" s="13"/>
      </tp>
      <tp t="s">
        <v>#N/A N/A</v>
        <stp/>
        <stp>BDH|10529676958747513171</stp>
        <tr r="H6" s="13"/>
      </tp>
    </main>
    <main first="bofaddin.rtdserver">
      <tp t="s">
        <v>#N/A N/A</v>
        <stp/>
        <stp>BDH|8500287859356997500</stp>
        <tr r="S6" s="13"/>
      </tp>
      <tp t="s">
        <v>#N/A N/A</v>
        <stp/>
        <stp>BDH|4770042576986203928</stp>
        <tr r="AA6" s="13"/>
        <tr r="AA10" s="2"/>
      </tp>
      <tp t="s">
        <v>#N/A N/A</v>
        <stp/>
        <stp>BDH|8632522176857277156</stp>
        <tr r="L6" s="13"/>
      </tp>
      <tp t="s">
        <v>#N/A N/A</v>
        <stp/>
        <stp>BDH|5175248123861814945</stp>
        <tr r="C6" s="13"/>
      </tp>
      <tp t="s">
        <v>#N/A N/A</v>
        <stp/>
        <stp>BDH|2724772562416294841</stp>
        <tr r="J6" s="13"/>
      </tp>
    </main>
    <main first="bofaddin.rtdserver">
      <tp t="s">
        <v>#N/A N/A</v>
        <stp/>
        <stp>BDH|9667248364956417440</stp>
        <tr r="AA8" s="2"/>
      </tp>
      <tp t="s">
        <v>#N/A N/A</v>
        <stp/>
        <stp>BDH|8358877082636550781</stp>
        <tr r="Z6" s="13"/>
      </tp>
      <tp t="s">
        <v>#N/A N/A</v>
        <stp/>
        <stp>BDH|2457599784153359566</stp>
        <tr r="AA14" s="2"/>
      </tp>
      <tp t="s">
        <v>#N/A N/A</v>
        <stp/>
        <stp>BDH|7084397946352526987</stp>
        <tr r="AA6" s="2"/>
      </tp>
      <tp t="s">
        <v>#N/A N/A</v>
        <stp/>
        <stp>BDH|5259152150299283373</stp>
        <tr r="R6" s="13"/>
      </tp>
      <tp t="s">
        <v>#N/A N/A</v>
        <stp/>
        <stp>BDH|9627509228436141383</stp>
        <tr r="N6" s="13"/>
      </tp>
      <tp t="s">
        <v>#N/A N/A</v>
        <stp/>
        <stp>BDH|9373044560093949999</stp>
        <tr r="I6" s="13"/>
      </tp>
      <tp t="s">
        <v>#N/A N/A</v>
        <stp/>
        <stp>BDH|3415948894135465634</stp>
        <tr r="AA24" s="2"/>
      </tp>
      <tp t="s">
        <v>#N/A N/A</v>
        <stp/>
        <stp>BDH|6862038035722698787</stp>
        <tr r="T6" s="13"/>
      </tp>
      <tp t="s">
        <v>#N/A N/A</v>
        <stp/>
        <stp>BDH|5908680579701285403</stp>
        <tr r="W6" s="13"/>
      </tp>
      <tp t="s">
        <v>#N/A N/A</v>
        <stp/>
        <stp>BDH|5700056878418254806</stp>
        <tr r="M6" s="13"/>
      </tp>
      <tp t="s">
        <v>#N/A N/A</v>
        <stp/>
        <stp>BDH|3279849898961446006</stp>
        <tr r="AA9" s="2"/>
      </tp>
      <tp t="s">
        <v>#N/A N/A</v>
        <stp/>
        <stp>BDH|2543089146326383322</stp>
        <tr r="AA20" s="2"/>
      </tp>
      <tp t="s">
        <v>#N/A N/A</v>
        <stp/>
        <stp>BDH|1433416869143947383</stp>
        <tr r="D6" s="13"/>
      </tp>
    </main>
    <main first="bofaddin.rtdserver">
      <tp t="s">
        <v>#N/A N/A</v>
        <stp/>
        <stp>BDH|785951762429123604</stp>
        <tr r="AA25" s="2"/>
      </tp>
      <tp t="s">
        <v>#N/A N/A</v>
        <stp/>
        <stp>BDH|239451942366570411</stp>
        <tr r="K6" s="1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volatileDependencies" Target="volatileDependencies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opLeftCell="L1" workbookViewId="0">
      <selection activeCell="T10" sqref="T10"/>
    </sheetView>
  </sheetViews>
  <sheetFormatPr baseColWidth="10" defaultRowHeight="15" x14ac:dyDescent="0.25"/>
  <cols>
    <col min="1" max="1" width="23.57031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30</v>
      </c>
    </row>
    <row r="5" spans="1:27" x14ac:dyDescent="0.25">
      <c r="A5" s="10" t="s">
        <v>31</v>
      </c>
      <c r="B5" s="10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44</v>
      </c>
      <c r="O5" s="6" t="s">
        <v>45</v>
      </c>
      <c r="P5" s="6" t="s">
        <v>46</v>
      </c>
      <c r="Q5" s="6" t="s">
        <v>47</v>
      </c>
      <c r="R5" s="6" t="s">
        <v>48</v>
      </c>
      <c r="S5" s="6" t="s">
        <v>49</v>
      </c>
      <c r="T5" s="6" t="s">
        <v>50</v>
      </c>
      <c r="U5" s="6" t="s">
        <v>51</v>
      </c>
      <c r="V5" s="6" t="s">
        <v>52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56</v>
      </c>
    </row>
    <row r="6" spans="1:27" x14ac:dyDescent="0.25">
      <c r="A6" s="7" t="s">
        <v>57</v>
      </c>
      <c r="B6" s="1">
        <v>187427.5</v>
      </c>
      <c r="C6" s="20">
        <v>229869.2</v>
      </c>
      <c r="D6" s="20">
        <v>220930.4</v>
      </c>
      <c r="E6" s="20">
        <v>312953.59999999998</v>
      </c>
      <c r="F6" s="20">
        <v>331977.40000000002</v>
      </c>
      <c r="G6" s="20">
        <v>371273.9</v>
      </c>
      <c r="H6" s="20">
        <v>382259.8</v>
      </c>
      <c r="I6" s="20">
        <v>380096.5</v>
      </c>
      <c r="J6" s="20">
        <v>431227.4</v>
      </c>
      <c r="K6" s="20">
        <v>323437.3</v>
      </c>
      <c r="L6" s="20">
        <v>372888.6</v>
      </c>
      <c r="M6" s="20">
        <v>399736.9</v>
      </c>
      <c r="N6" s="20">
        <v>437997.1</v>
      </c>
      <c r="O6" s="20">
        <v>407172.9</v>
      </c>
      <c r="P6" s="20">
        <v>421301.8</v>
      </c>
      <c r="Q6" s="20">
        <v>489469.2</v>
      </c>
      <c r="R6" s="20">
        <v>508555.2</v>
      </c>
      <c r="S6" s="20">
        <v>411065.59999999998</v>
      </c>
      <c r="T6" s="20">
        <v>392435.3</v>
      </c>
      <c r="U6" s="20">
        <v>373424.1</v>
      </c>
      <c r="V6" s="20">
        <v>399271.3</v>
      </c>
      <c r="W6" s="20">
        <v>482512.6</v>
      </c>
      <c r="X6" s="20">
        <v>512600.5</v>
      </c>
      <c r="Y6" s="20">
        <v>469628.4</v>
      </c>
      <c r="Z6" s="20">
        <v>559199.30000000005</v>
      </c>
      <c r="AA6" s="20" cm="1">
        <f t="array" ref="AA6">_xll.BDH("GFNORTEO MM Equity","HISTORICAL_MARKET_CAP","FQ1 2026","FQ1 2026","Currency=MXN","Period=FQ","BEST_FPERIOD_OVERRIDE=FQ","FILING_STATUS=MR","SCALING_FORMAT=MLN","Sort=A","Dates=H","DateFormat=P","Fill=—","Direction=H","UseDPDF=Y")</f>
        <v>559199.26780000003</v>
      </c>
    </row>
    <row r="7" spans="1:27" x14ac:dyDescent="0.25">
      <c r="A7" s="7" t="s">
        <v>59</v>
      </c>
      <c r="B7" s="1">
        <v>195213</v>
      </c>
      <c r="C7" s="20">
        <v>205901.2</v>
      </c>
      <c r="D7" s="20">
        <v>214651.5</v>
      </c>
      <c r="E7" s="20">
        <v>222242</v>
      </c>
      <c r="F7" s="20">
        <v>227234</v>
      </c>
      <c r="G7" s="20">
        <v>226297.3</v>
      </c>
      <c r="H7" s="20">
        <v>234043</v>
      </c>
      <c r="I7" s="20">
        <v>234234</v>
      </c>
      <c r="J7" s="20">
        <v>241017</v>
      </c>
      <c r="K7" s="20">
        <v>230527.8</v>
      </c>
      <c r="L7" s="20">
        <v>241082</v>
      </c>
      <c r="M7" s="20">
        <v>236043</v>
      </c>
      <c r="N7" s="20">
        <v>249390</v>
      </c>
      <c r="O7" s="20">
        <v>239425</v>
      </c>
      <c r="P7" s="20">
        <v>250084</v>
      </c>
      <c r="Q7" s="20">
        <v>249353</v>
      </c>
      <c r="R7" s="20">
        <v>261850</v>
      </c>
      <c r="S7" s="20">
        <v>242825</v>
      </c>
      <c r="T7" s="20">
        <v>253823</v>
      </c>
      <c r="U7" s="20">
        <v>249409</v>
      </c>
      <c r="V7" s="20">
        <v>267056</v>
      </c>
      <c r="W7" s="20">
        <v>252883</v>
      </c>
      <c r="X7" s="20">
        <v>262803</v>
      </c>
      <c r="Y7" s="20">
        <v>249090</v>
      </c>
      <c r="Z7" s="20">
        <v>261132</v>
      </c>
      <c r="AA7" s="20" cm="1">
        <f t="array" ref="AA7">_xll.BDH("GFNORTEO MM Equity","TOT_COMMON_EQY","FQ1 2026","FQ1 2026","Currency=MXN","Period=FQ","BEST_FPERIOD_OVERRIDE=FQ","FILING_STATUS=MR","SCALING_FORMAT=MLN","Sort=A","Dates=H","DateFormat=P","Fill=—","Direction=H","UseDPDF=Y")</f>
        <v>261132</v>
      </c>
    </row>
    <row r="8" spans="1:27" x14ac:dyDescent="0.25">
      <c r="A8" s="7" t="s">
        <v>61</v>
      </c>
      <c r="B8" s="1">
        <v>772992</v>
      </c>
      <c r="C8" s="20">
        <v>801147.9</v>
      </c>
      <c r="D8" s="20">
        <v>813104.1</v>
      </c>
      <c r="E8" s="20">
        <v>821712</v>
      </c>
      <c r="F8" s="20">
        <v>830530</v>
      </c>
      <c r="G8" s="20">
        <v>810082.1</v>
      </c>
      <c r="H8" s="20">
        <v>793291.7</v>
      </c>
      <c r="I8" s="20">
        <v>799025</v>
      </c>
      <c r="J8" s="20">
        <v>836028</v>
      </c>
      <c r="K8" s="20">
        <v>865190.9</v>
      </c>
      <c r="L8" s="20">
        <v>872911.8</v>
      </c>
      <c r="M8" s="20">
        <v>897192</v>
      </c>
      <c r="N8" s="20">
        <v>916969</v>
      </c>
      <c r="O8" s="20">
        <v>976796</v>
      </c>
      <c r="P8" s="20">
        <v>1036962</v>
      </c>
      <c r="Q8" s="20">
        <v>1052762</v>
      </c>
      <c r="R8" s="20">
        <v>1072431</v>
      </c>
      <c r="S8" s="20">
        <v>1105118</v>
      </c>
      <c r="T8" s="20">
        <v>1124606</v>
      </c>
      <c r="U8" s="20">
        <v>1133500</v>
      </c>
      <c r="V8" s="20">
        <v>1177314</v>
      </c>
      <c r="W8" s="20">
        <v>1188432</v>
      </c>
      <c r="X8" s="20">
        <v>1161756</v>
      </c>
      <c r="Y8" s="20">
        <v>1242007</v>
      </c>
      <c r="Z8" s="20">
        <v>1243419</v>
      </c>
      <c r="AA8" s="20" cm="1">
        <f t="array" ref="AA8">_xll.BDH("GFNORTEO MM Equity","BS_CUSTOMER_DEPOSITS","FQ1 2026","FQ1 2026","Currency=MXN","Period=FQ","BEST_FPERIOD_OVERRIDE=FQ","FILING_STATUS=MR","SCALING_FORMAT=MLN","Sort=A","Dates=H","DateFormat=P","Fill=—","Direction=H","UseDPDF=Y")</f>
        <v>1243419</v>
      </c>
    </row>
    <row r="9" spans="1:27" x14ac:dyDescent="0.25">
      <c r="A9" s="7" t="s">
        <v>63</v>
      </c>
      <c r="B9" s="1">
        <v>783963</v>
      </c>
      <c r="C9" s="20">
        <v>791389.2</v>
      </c>
      <c r="D9" s="20">
        <v>795256</v>
      </c>
      <c r="E9" s="20">
        <v>799896</v>
      </c>
      <c r="F9" s="20">
        <v>795347</v>
      </c>
      <c r="G9" s="20">
        <v>796872.2</v>
      </c>
      <c r="H9" s="20">
        <v>815015.4</v>
      </c>
      <c r="I9" s="20">
        <v>818423</v>
      </c>
      <c r="J9" s="20">
        <v>819118</v>
      </c>
      <c r="K9" s="20">
        <v>855218</v>
      </c>
      <c r="L9" s="20">
        <v>870144.8</v>
      </c>
      <c r="M9" s="20">
        <v>914762</v>
      </c>
      <c r="N9" s="20">
        <v>933820</v>
      </c>
      <c r="O9" s="20">
        <v>947425</v>
      </c>
      <c r="P9" s="20">
        <v>1002221</v>
      </c>
      <c r="Q9" s="20">
        <v>1020727</v>
      </c>
      <c r="R9" s="20">
        <v>1031873</v>
      </c>
      <c r="S9" s="20">
        <v>1082361</v>
      </c>
      <c r="T9" s="20">
        <v>1102993</v>
      </c>
      <c r="U9" s="20">
        <v>1155286</v>
      </c>
      <c r="V9" s="20">
        <v>1165419</v>
      </c>
      <c r="W9" s="20">
        <v>1154281</v>
      </c>
      <c r="X9" s="20">
        <v>1176691</v>
      </c>
      <c r="Y9" s="20">
        <v>1238949</v>
      </c>
      <c r="Z9" s="20">
        <v>1230265</v>
      </c>
      <c r="AA9" s="20" cm="1">
        <f t="array" ref="AA9">_xll.BDH("GFNORTEO MM Equity","BS_TOT_LOAN","FQ1 2026","FQ1 2026","Currency=MXN","Period=FQ","BEST_FPERIOD_OVERRIDE=FQ","FILING_STATUS=MR","SCALING_FORMAT=MLN","Sort=A","Dates=H","DateFormat=P","Fill=—","Direction=H","UseDPDF=Y")</f>
        <v>1230265</v>
      </c>
    </row>
    <row r="10" spans="1:27" x14ac:dyDescent="0.25">
      <c r="A10" s="7" t="s">
        <v>65</v>
      </c>
      <c r="B10" s="1">
        <v>1729280</v>
      </c>
      <c r="C10" s="20">
        <v>1783581.2</v>
      </c>
      <c r="D10" s="20">
        <v>1795305.6</v>
      </c>
      <c r="E10" s="20">
        <v>1787904</v>
      </c>
      <c r="F10" s="20">
        <v>1917900</v>
      </c>
      <c r="G10" s="20">
        <v>1802363.1</v>
      </c>
      <c r="H10" s="20">
        <v>1803695.2</v>
      </c>
      <c r="I10" s="20">
        <v>1850879</v>
      </c>
      <c r="J10" s="20">
        <v>2035427</v>
      </c>
      <c r="K10" s="20">
        <v>2033315.6</v>
      </c>
      <c r="L10" s="20">
        <v>2033008.1</v>
      </c>
      <c r="M10" s="20">
        <v>2070072</v>
      </c>
      <c r="N10" s="20">
        <v>2130031</v>
      </c>
      <c r="O10" s="20">
        <v>2191378</v>
      </c>
      <c r="P10" s="20">
        <v>2298368</v>
      </c>
      <c r="Q10" s="20">
        <v>2274859</v>
      </c>
      <c r="R10" s="20">
        <v>2395399</v>
      </c>
      <c r="S10" s="20">
        <v>2435013</v>
      </c>
      <c r="T10" s="20">
        <v>2420031</v>
      </c>
      <c r="U10" s="20">
        <v>2471209</v>
      </c>
      <c r="V10" s="20">
        <v>2552759</v>
      </c>
      <c r="W10" s="20">
        <v>2524481</v>
      </c>
      <c r="X10" s="20">
        <v>2509263</v>
      </c>
      <c r="Y10" s="20">
        <v>2598663</v>
      </c>
      <c r="Z10" s="20">
        <v>2635909</v>
      </c>
      <c r="AA10" s="20" cm="1">
        <f t="array" ref="AA10">_xll.BDH("GFNORTEO MM Equity","BS_TOT_ASSET","FQ1 2026","FQ1 2026","Currency=MXN","Period=FQ","BEST_FPERIOD_OVERRIDE=FQ","FILING_STATUS=MR","SCALING_FORMAT=MLN","Sort=A","Dates=H","DateFormat=P","Fill=—","Direction=H","UseDPDF=Y")</f>
        <v>2635909</v>
      </c>
    </row>
    <row r="11" spans="1:27" x14ac:dyDescent="0.25">
      <c r="A11" s="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7" t="s">
        <v>67</v>
      </c>
      <c r="B12" s="1">
        <v>29576</v>
      </c>
      <c r="C12" s="20">
        <v>30228</v>
      </c>
      <c r="D12" s="20">
        <v>37788</v>
      </c>
      <c r="E12" s="20">
        <v>38719.699999999997</v>
      </c>
      <c r="F12" s="20">
        <v>45352</v>
      </c>
      <c r="G12" s="20">
        <v>27783</v>
      </c>
      <c r="H12" s="20">
        <v>28728</v>
      </c>
      <c r="I12" s="20">
        <v>47775.8</v>
      </c>
      <c r="J12" s="20">
        <v>50722</v>
      </c>
      <c r="K12" s="20">
        <v>44821</v>
      </c>
      <c r="L12" s="20">
        <v>47623</v>
      </c>
      <c r="M12" s="20">
        <v>49422.3</v>
      </c>
      <c r="N12" s="20">
        <v>53613</v>
      </c>
      <c r="O12" s="20">
        <v>49736</v>
      </c>
      <c r="P12" s="20">
        <v>52653</v>
      </c>
      <c r="Q12" s="20">
        <v>58724</v>
      </c>
      <c r="R12" s="20">
        <v>62609</v>
      </c>
      <c r="S12" s="20">
        <v>56427</v>
      </c>
      <c r="T12" s="20">
        <v>58529</v>
      </c>
      <c r="U12" s="20">
        <v>61665</v>
      </c>
      <c r="V12" s="20">
        <v>68397</v>
      </c>
      <c r="W12" s="20">
        <v>62625</v>
      </c>
      <c r="X12" s="20">
        <v>62382</v>
      </c>
      <c r="Y12" s="20">
        <v>71482</v>
      </c>
      <c r="Z12" s="20">
        <v>73459</v>
      </c>
      <c r="AA12" s="20" cm="1">
        <f t="array" ref="AA12">_xll.BDH("GFNORTEO MM Equity","NET_REV","FQ1 2026","FQ1 2026","Currency=MXN","Period=FQ","BEST_FPERIOD_OVERRIDE=FQ","FILING_STATUS=MR","SCALING_FORMAT=MLN","FA_ADJUSTED=Adjusted","Sort=A","Dates=H","DateFormat=P","Fill=—","Direction=H","UseDPDF=Y")</f>
        <v>73459</v>
      </c>
    </row>
    <row r="13" spans="1:27" x14ac:dyDescent="0.25">
      <c r="A13" s="12" t="s">
        <v>69</v>
      </c>
      <c r="B13" s="12">
        <v>-27.4</v>
      </c>
      <c r="C13" s="26">
        <v>-8.9</v>
      </c>
      <c r="D13" s="26">
        <v>6.2</v>
      </c>
      <c r="E13" s="26">
        <v>0.7</v>
      </c>
      <c r="F13" s="26">
        <v>53.3</v>
      </c>
      <c r="G13" s="26">
        <v>-8.1</v>
      </c>
      <c r="H13" s="26">
        <v>-24</v>
      </c>
      <c r="I13" s="26">
        <v>23.4</v>
      </c>
      <c r="J13" s="26">
        <v>11.8</v>
      </c>
      <c r="K13" s="26">
        <v>61.3</v>
      </c>
      <c r="L13" s="26">
        <v>65.8</v>
      </c>
      <c r="M13" s="26">
        <v>3.4</v>
      </c>
      <c r="N13" s="26">
        <v>5.7</v>
      </c>
      <c r="O13" s="26">
        <v>11</v>
      </c>
      <c r="P13" s="26">
        <v>10.6</v>
      </c>
      <c r="Q13" s="26">
        <v>18.8</v>
      </c>
      <c r="R13" s="26">
        <v>16.8</v>
      </c>
      <c r="S13" s="26">
        <v>13.5</v>
      </c>
      <c r="T13" s="26">
        <v>11.2</v>
      </c>
      <c r="U13" s="26">
        <v>5</v>
      </c>
      <c r="V13" s="26">
        <v>9.1999999999999993</v>
      </c>
      <c r="W13" s="26">
        <v>11</v>
      </c>
      <c r="X13" s="26">
        <v>6.6</v>
      </c>
      <c r="Y13" s="26">
        <v>15.9</v>
      </c>
      <c r="Z13" s="26">
        <v>7.4</v>
      </c>
      <c r="AA13" s="26" cm="1">
        <f t="array" ref="AA13">_xll.BDH("GFNORTEO MM Equity","NET_REV_GROWTH","FQ1 2026","FQ1 2026","Currency=MXN","Period=FQ","BEST_FPERIOD_OVERRIDE=FQ","FILING_STATUS=MR","FA_ADJUSTED=Adjusted","Sort=A","Dates=H","DateFormat=P","Fill=—","Direction=H","UseDPDF=Y")</f>
        <v>7.4009</v>
      </c>
    </row>
    <row r="14" spans="1:27" x14ac:dyDescent="0.25">
      <c r="A14" s="7" t="s">
        <v>70</v>
      </c>
      <c r="B14" s="1">
        <v>16362</v>
      </c>
      <c r="C14" s="20">
        <v>17452</v>
      </c>
      <c r="D14" s="20">
        <v>14744.6</v>
      </c>
      <c r="E14" s="20">
        <v>13666</v>
      </c>
      <c r="F14" s="20">
        <v>14032</v>
      </c>
      <c r="G14" s="20">
        <v>13404</v>
      </c>
      <c r="H14" s="20">
        <v>14350</v>
      </c>
      <c r="I14" s="20">
        <v>14012.6</v>
      </c>
      <c r="J14" s="20">
        <v>17546</v>
      </c>
      <c r="K14" s="20">
        <v>17502</v>
      </c>
      <c r="L14" s="20">
        <v>18698</v>
      </c>
      <c r="M14" s="20">
        <v>18528.8</v>
      </c>
      <c r="N14" s="20">
        <v>21043</v>
      </c>
      <c r="O14" s="20">
        <v>21627</v>
      </c>
      <c r="P14" s="20">
        <v>22017</v>
      </c>
      <c r="Q14" s="20">
        <v>19882</v>
      </c>
      <c r="R14" s="20">
        <v>24591</v>
      </c>
      <c r="S14" s="20">
        <v>22930</v>
      </c>
      <c r="T14" s="20">
        <v>23753</v>
      </c>
      <c r="U14" s="20">
        <v>21781</v>
      </c>
      <c r="V14" s="20">
        <v>26829</v>
      </c>
      <c r="W14" s="20">
        <v>24397</v>
      </c>
      <c r="X14" s="20">
        <v>26315</v>
      </c>
      <c r="Y14" s="20">
        <v>25554</v>
      </c>
      <c r="Z14" s="20">
        <v>28718</v>
      </c>
      <c r="AA14" s="20" cm="1">
        <f t="array" ref="AA14">_xll.BDH("GFNORTEO MM Equity","PRE_TAX_PRE_PROVISION_PROFIT","FQ1 2026","FQ1 2026","Currency=MXN","Period=FQ","BEST_FPERIOD_OVERRIDE=FQ","FILING_STATUS=MR","SCALING_FORMAT=MLN","FA_ADJUSTED=Adjusted","Sort=A","Dates=H","DateFormat=P","Fill=—","Direction=H","UseDPDF=Y")</f>
        <v>28718</v>
      </c>
    </row>
    <row r="15" spans="1:27" x14ac:dyDescent="0.25">
      <c r="A15" s="12" t="s">
        <v>72</v>
      </c>
      <c r="B15" s="12">
        <v>55.3</v>
      </c>
      <c r="C15" s="26">
        <v>57.7</v>
      </c>
      <c r="D15" s="26">
        <v>39</v>
      </c>
      <c r="E15" s="26">
        <v>35.299999999999997</v>
      </c>
      <c r="F15" s="26">
        <v>30.9</v>
      </c>
      <c r="G15" s="26">
        <v>48.2</v>
      </c>
      <c r="H15" s="26">
        <v>50</v>
      </c>
      <c r="I15" s="26">
        <v>29.3</v>
      </c>
      <c r="J15" s="26">
        <v>34.6</v>
      </c>
      <c r="K15" s="26">
        <v>39</v>
      </c>
      <c r="L15" s="26">
        <v>39.299999999999997</v>
      </c>
      <c r="M15" s="26">
        <v>37.5</v>
      </c>
      <c r="N15" s="26">
        <v>39.200000000000003</v>
      </c>
      <c r="O15" s="26">
        <v>43.5</v>
      </c>
      <c r="P15" s="26">
        <v>41.8</v>
      </c>
      <c r="Q15" s="26">
        <v>33.9</v>
      </c>
      <c r="R15" s="26">
        <v>39.299999999999997</v>
      </c>
      <c r="S15" s="26">
        <v>40.6</v>
      </c>
      <c r="T15" s="26">
        <v>40.6</v>
      </c>
      <c r="U15" s="26">
        <v>35.299999999999997</v>
      </c>
      <c r="V15" s="26">
        <v>39.200000000000003</v>
      </c>
      <c r="W15" s="26">
        <v>39</v>
      </c>
      <c r="X15" s="26">
        <v>42.2</v>
      </c>
      <c r="Y15" s="26">
        <v>35.700000000000003</v>
      </c>
      <c r="Z15" s="26">
        <v>39.1</v>
      </c>
      <c r="AA15" s="26">
        <v>39.093916334281701</v>
      </c>
    </row>
    <row r="16" spans="1:27" x14ac:dyDescent="0.25">
      <c r="A16" s="7" t="s">
        <v>73</v>
      </c>
      <c r="B16" s="1">
        <v>12018</v>
      </c>
      <c r="C16" s="20">
        <v>8996</v>
      </c>
      <c r="D16" s="20">
        <v>11606.6</v>
      </c>
      <c r="E16" s="20">
        <v>7673.8</v>
      </c>
      <c r="F16" s="20">
        <v>10818</v>
      </c>
      <c r="G16" s="20">
        <v>10639</v>
      </c>
      <c r="H16" s="20">
        <v>11697</v>
      </c>
      <c r="I16" s="20">
        <v>11294</v>
      </c>
      <c r="J16" s="20">
        <v>14878</v>
      </c>
      <c r="K16" s="20">
        <v>15068</v>
      </c>
      <c r="L16" s="20">
        <v>15550</v>
      </c>
      <c r="M16" s="20">
        <v>14897.1</v>
      </c>
      <c r="N16" s="20">
        <v>17272</v>
      </c>
      <c r="O16" s="20">
        <v>17589</v>
      </c>
      <c r="P16" s="20">
        <v>17476</v>
      </c>
      <c r="Q16" s="20">
        <v>16291</v>
      </c>
      <c r="R16" s="20">
        <v>19723</v>
      </c>
      <c r="S16" s="20">
        <v>18076</v>
      </c>
      <c r="T16" s="20">
        <v>19138</v>
      </c>
      <c r="U16" s="20">
        <v>17995</v>
      </c>
      <c r="V16" s="20">
        <v>21743</v>
      </c>
      <c r="W16" s="20">
        <v>19189</v>
      </c>
      <c r="X16" s="20">
        <v>18139</v>
      </c>
      <c r="Y16" s="20">
        <v>22785</v>
      </c>
      <c r="Z16" s="20">
        <v>21802</v>
      </c>
      <c r="AA16" s="20" cm="1">
        <f t="array" ref="AA16">_xll.BDH("GFNORTEO MM Equity","IS_OPER_INC","FQ1 2026","FQ1 2026","Currency=MXN","Period=FQ","BEST_FPERIOD_OVERRIDE=FQ","FILING_STATUS=MR","SCALING_FORMAT=MLN","FA_ADJUSTED=Adjusted","Sort=A","Dates=H","DateFormat=P","Fill=—","Direction=H","UseDPDF=Y")</f>
        <v>21802</v>
      </c>
    </row>
    <row r="17" spans="1:27" x14ac:dyDescent="0.25">
      <c r="A17" s="12" t="s">
        <v>72</v>
      </c>
      <c r="B17" s="12">
        <v>40.6</v>
      </c>
      <c r="C17" s="26">
        <v>29.8</v>
      </c>
      <c r="D17" s="26">
        <v>30.7</v>
      </c>
      <c r="E17" s="26">
        <v>19.8</v>
      </c>
      <c r="F17" s="26">
        <v>23.9</v>
      </c>
      <c r="G17" s="26">
        <v>38.299999999999997</v>
      </c>
      <c r="H17" s="26">
        <v>40.700000000000003</v>
      </c>
      <c r="I17" s="26">
        <v>23.6</v>
      </c>
      <c r="J17" s="26">
        <v>29.3</v>
      </c>
      <c r="K17" s="26">
        <v>33.6</v>
      </c>
      <c r="L17" s="26">
        <v>32.700000000000003</v>
      </c>
      <c r="M17" s="26">
        <v>30.1</v>
      </c>
      <c r="N17" s="26">
        <v>32.200000000000003</v>
      </c>
      <c r="O17" s="26">
        <v>35.4</v>
      </c>
      <c r="P17" s="26">
        <v>33.200000000000003</v>
      </c>
      <c r="Q17" s="26">
        <v>27.7</v>
      </c>
      <c r="R17" s="26">
        <v>31.5</v>
      </c>
      <c r="S17" s="26">
        <v>32</v>
      </c>
      <c r="T17" s="26">
        <v>32.700000000000003</v>
      </c>
      <c r="U17" s="26">
        <v>29.2</v>
      </c>
      <c r="V17" s="26">
        <v>31.8</v>
      </c>
      <c r="W17" s="26">
        <v>30.6</v>
      </c>
      <c r="X17" s="26">
        <v>29.1</v>
      </c>
      <c r="Y17" s="26">
        <v>31.9</v>
      </c>
      <c r="Z17" s="26">
        <v>29.7</v>
      </c>
      <c r="AA17" s="26">
        <v>29.679140745177602</v>
      </c>
    </row>
    <row r="18" spans="1:27" x14ac:dyDescent="0.25">
      <c r="A18" s="7" t="s">
        <v>75</v>
      </c>
      <c r="B18" s="1">
        <v>9056.4</v>
      </c>
      <c r="C18" s="20">
        <v>6425.6</v>
      </c>
      <c r="D18" s="20">
        <v>8828.7999999999993</v>
      </c>
      <c r="E18" s="20">
        <v>6235.5</v>
      </c>
      <c r="F18" s="20">
        <v>8483.1</v>
      </c>
      <c r="G18" s="20">
        <v>8475.6</v>
      </c>
      <c r="H18" s="20">
        <v>9050.4</v>
      </c>
      <c r="I18" s="20">
        <v>9476.4</v>
      </c>
      <c r="J18" s="20">
        <v>10650</v>
      </c>
      <c r="K18" s="20">
        <v>11385.8</v>
      </c>
      <c r="L18" s="20">
        <v>11469.1</v>
      </c>
      <c r="M18" s="20">
        <v>11461.7</v>
      </c>
      <c r="N18" s="20">
        <v>12920</v>
      </c>
      <c r="O18" s="20">
        <v>12979.5</v>
      </c>
      <c r="P18" s="20">
        <v>13095.1</v>
      </c>
      <c r="Q18" s="20">
        <v>12769.3</v>
      </c>
      <c r="R18" s="20">
        <v>14308.8</v>
      </c>
      <c r="S18" s="20">
        <v>13868.9</v>
      </c>
      <c r="T18" s="20">
        <v>14314.5</v>
      </c>
      <c r="U18" s="20">
        <v>14082.3</v>
      </c>
      <c r="V18" s="20">
        <v>15710.9</v>
      </c>
      <c r="W18" s="20">
        <v>14551.5</v>
      </c>
      <c r="X18" s="20">
        <v>14452.5</v>
      </c>
      <c r="Y18" s="20">
        <v>16052.1</v>
      </c>
      <c r="Z18" s="20">
        <v>15707</v>
      </c>
      <c r="AA18" s="20" cm="1">
        <f t="array" ref="AA18">_xll.BDH("GFNORTEO MM Equity","EARN_FOR_COMMON","FQ1 2026","FQ1 2026","Currency=MXN","Period=FQ","BEST_FPERIOD_OVERRIDE=FQ","FILING_STATUS=MR","SCALING_FORMAT=MLN","FA_ADJUSTED=Adjusted","Sort=A","Dates=H","DateFormat=P","Fill=—","Direction=H","UseDPDF=Y")</f>
        <v>15707</v>
      </c>
    </row>
    <row r="19" spans="1:27" x14ac:dyDescent="0.25">
      <c r="A19" s="12" t="s">
        <v>72</v>
      </c>
      <c r="B19" s="12">
        <v>30.6</v>
      </c>
      <c r="C19" s="26">
        <v>21.3</v>
      </c>
      <c r="D19" s="26">
        <v>23.4</v>
      </c>
      <c r="E19" s="26">
        <v>16.100000000000001</v>
      </c>
      <c r="F19" s="26">
        <v>18.7</v>
      </c>
      <c r="G19" s="26">
        <v>30.5</v>
      </c>
      <c r="H19" s="26">
        <v>31.5</v>
      </c>
      <c r="I19" s="26">
        <v>19.8</v>
      </c>
      <c r="J19" s="26">
        <v>21</v>
      </c>
      <c r="K19" s="26">
        <v>25.4</v>
      </c>
      <c r="L19" s="26">
        <v>24.1</v>
      </c>
      <c r="M19" s="26">
        <v>23.2</v>
      </c>
      <c r="N19" s="26">
        <v>24.1</v>
      </c>
      <c r="O19" s="26">
        <v>26.1</v>
      </c>
      <c r="P19" s="26">
        <v>24.9</v>
      </c>
      <c r="Q19" s="26">
        <v>21.7</v>
      </c>
      <c r="R19" s="26">
        <v>22.9</v>
      </c>
      <c r="S19" s="26">
        <v>24.6</v>
      </c>
      <c r="T19" s="26">
        <v>24.5</v>
      </c>
      <c r="U19" s="26">
        <v>22.8</v>
      </c>
      <c r="V19" s="26">
        <v>23</v>
      </c>
      <c r="W19" s="26">
        <v>23.2</v>
      </c>
      <c r="X19" s="26">
        <v>23.2</v>
      </c>
      <c r="Y19" s="26">
        <v>22.5</v>
      </c>
      <c r="Z19" s="26">
        <v>21.4</v>
      </c>
      <c r="AA19" s="26">
        <v>21.381995398793901</v>
      </c>
    </row>
    <row r="20" spans="1:27" x14ac:dyDescent="0.25">
      <c r="A20" s="7" t="s">
        <v>77</v>
      </c>
      <c r="B20" s="7">
        <v>3.14</v>
      </c>
      <c r="C20" s="21">
        <v>2.23</v>
      </c>
      <c r="D20" s="21">
        <v>3.06</v>
      </c>
      <c r="E20" s="21">
        <v>2.2799999999999998</v>
      </c>
      <c r="F20" s="21">
        <v>2.94</v>
      </c>
      <c r="G20" s="21">
        <v>2.94</v>
      </c>
      <c r="H20" s="21">
        <v>3.14</v>
      </c>
      <c r="I20" s="21">
        <v>3.41</v>
      </c>
      <c r="J20" s="21">
        <v>3.69</v>
      </c>
      <c r="K20" s="21">
        <v>3.95</v>
      </c>
      <c r="L20" s="21">
        <v>3.98</v>
      </c>
      <c r="M20" s="21">
        <v>3.98</v>
      </c>
      <c r="N20" s="21">
        <v>4.4800000000000004</v>
      </c>
      <c r="O20" s="21">
        <v>4.5</v>
      </c>
      <c r="P20" s="21">
        <v>4.54</v>
      </c>
      <c r="Q20" s="21">
        <v>4.43</v>
      </c>
      <c r="R20" s="21">
        <v>4.96</v>
      </c>
      <c r="S20" s="21">
        <v>4.8099999999999996</v>
      </c>
      <c r="T20" s="21">
        <v>4.96</v>
      </c>
      <c r="U20" s="21">
        <v>5.13</v>
      </c>
      <c r="V20" s="21">
        <v>5.58</v>
      </c>
      <c r="W20" s="21">
        <v>5.12</v>
      </c>
      <c r="X20" s="21">
        <v>5.14</v>
      </c>
      <c r="Y20" s="21">
        <v>5.64</v>
      </c>
      <c r="Z20" s="21">
        <v>5.58</v>
      </c>
      <c r="AA20" s="21" cm="1">
        <f t="array" ref="AA20">_xll.BDH("GFNORTEO MM Equity","IS_DIL_EPS_CONT_OPS","FQ1 2026","FQ1 2026","Currency=MXN","Period=FQ","BEST_FPERIOD_OVERRIDE=FQ","FILING_STATUS=MR","Sort=A","Dates=H","DateFormat=P","Fill=—","Direction=H","UseDPDF=Y")</f>
        <v>5.5834000000000001</v>
      </c>
    </row>
    <row r="21" spans="1:27" x14ac:dyDescent="0.25">
      <c r="A21" s="12" t="s">
        <v>69</v>
      </c>
      <c r="B21" s="12">
        <v>-8.8000000000000007</v>
      </c>
      <c r="C21" s="26">
        <v>-26.4</v>
      </c>
      <c r="D21" s="26">
        <v>1.1000000000000001</v>
      </c>
      <c r="E21" s="26">
        <v>-33.4</v>
      </c>
      <c r="F21" s="26">
        <v>-6.3</v>
      </c>
      <c r="G21" s="26">
        <v>31.9</v>
      </c>
      <c r="H21" s="26">
        <v>2.5</v>
      </c>
      <c r="I21" s="26">
        <v>49.7</v>
      </c>
      <c r="J21" s="26">
        <v>25.5</v>
      </c>
      <c r="K21" s="26">
        <v>34.299999999999997</v>
      </c>
      <c r="L21" s="26">
        <v>26.7</v>
      </c>
      <c r="M21" s="26">
        <v>16.600000000000001</v>
      </c>
      <c r="N21" s="26">
        <v>21.3</v>
      </c>
      <c r="O21" s="26">
        <v>14</v>
      </c>
      <c r="P21" s="26">
        <v>14.2</v>
      </c>
      <c r="Q21" s="26">
        <v>11.4</v>
      </c>
      <c r="R21" s="26">
        <v>10.7</v>
      </c>
      <c r="S21" s="26">
        <v>6.9</v>
      </c>
      <c r="T21" s="26">
        <v>9.3000000000000007</v>
      </c>
      <c r="U21" s="26">
        <v>15.8</v>
      </c>
      <c r="V21" s="26">
        <v>12.5</v>
      </c>
      <c r="W21" s="26">
        <v>6.5</v>
      </c>
      <c r="X21" s="26">
        <v>3.5</v>
      </c>
      <c r="Y21" s="26">
        <v>10</v>
      </c>
      <c r="Z21" s="26">
        <v>0</v>
      </c>
      <c r="AA21" s="26">
        <v>-2.4817388071954299E-2</v>
      </c>
    </row>
    <row r="22" spans="1:27" x14ac:dyDescent="0.25">
      <c r="A22" s="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7" t="s">
        <v>79</v>
      </c>
      <c r="B23" s="7">
        <v>12.16</v>
      </c>
      <c r="C23" s="21">
        <v>13.18</v>
      </c>
      <c r="D23" s="21">
        <v>13.74</v>
      </c>
      <c r="E23" s="21">
        <v>13.91</v>
      </c>
      <c r="F23" s="21">
        <v>15</v>
      </c>
      <c r="G23" s="21">
        <v>15.18</v>
      </c>
      <c r="H23" s="21">
        <v>14.86</v>
      </c>
      <c r="I23" s="21">
        <v>15.32</v>
      </c>
      <c r="J23" s="21">
        <v>16.32</v>
      </c>
      <c r="K23" s="21">
        <v>13.74</v>
      </c>
      <c r="L23" s="21">
        <v>14.71</v>
      </c>
      <c r="M23" s="21">
        <v>15.15</v>
      </c>
      <c r="N23" s="21">
        <v>15.39</v>
      </c>
      <c r="O23" s="21">
        <v>15.42</v>
      </c>
      <c r="P23" s="21">
        <v>15.68</v>
      </c>
      <c r="Q23" s="21">
        <v>14.71</v>
      </c>
      <c r="R23" s="21">
        <v>15.51</v>
      </c>
      <c r="S23" s="21">
        <v>14.08</v>
      </c>
      <c r="T23" s="21">
        <v>13.87</v>
      </c>
      <c r="U23" s="21">
        <v>13.21</v>
      </c>
      <c r="V23" s="21">
        <v>14.4</v>
      </c>
      <c r="W23" s="21">
        <v>13.96</v>
      </c>
      <c r="X23" s="21">
        <v>14.82</v>
      </c>
      <c r="Y23" s="21">
        <v>12.61</v>
      </c>
      <c r="Z23" s="21">
        <v>12.74</v>
      </c>
      <c r="AA23" s="21" cm="1">
        <f t="array" ref="AA23">_xll.BDH("GFNORTEO MM Equity","BS_TIER1_COM_EQUITY_RATIO","FQ1 2026","FQ1 2026","Currency=MXN","Period=FQ","BEST_FPERIOD_OVERRIDE=FQ","FILING_STATUS=MR","Sort=A","Dates=H","DateFormat=P","Fill=—","Direction=H","UseDPDF=Y")</f>
        <v>12.74</v>
      </c>
    </row>
    <row r="24" spans="1:27" x14ac:dyDescent="0.25">
      <c r="A24" s="7" t="s">
        <v>80</v>
      </c>
      <c r="B24" s="7">
        <v>17.84</v>
      </c>
      <c r="C24" s="21">
        <v>18.36</v>
      </c>
      <c r="D24" s="21">
        <v>19.86</v>
      </c>
      <c r="E24" s="21">
        <v>19.239999999999998</v>
      </c>
      <c r="F24" s="21">
        <v>20.81</v>
      </c>
      <c r="G24" s="21">
        <v>20.99</v>
      </c>
      <c r="H24" s="21">
        <v>20.92</v>
      </c>
      <c r="I24" s="21">
        <v>23.78</v>
      </c>
      <c r="J24" s="21">
        <v>24.85</v>
      </c>
      <c r="K24" s="21">
        <v>22.33</v>
      </c>
      <c r="L24" s="21">
        <v>22.55</v>
      </c>
      <c r="M24" s="21">
        <v>22.47</v>
      </c>
      <c r="N24" s="21">
        <v>21.73</v>
      </c>
      <c r="O24" s="21">
        <v>21.42</v>
      </c>
      <c r="P24" s="21">
        <v>21.84</v>
      </c>
      <c r="Q24" s="21">
        <v>20.45</v>
      </c>
      <c r="R24" s="21">
        <v>21.02</v>
      </c>
      <c r="S24" s="21">
        <v>20</v>
      </c>
      <c r="T24" s="21">
        <v>19</v>
      </c>
      <c r="U24" s="21">
        <v>21.56</v>
      </c>
      <c r="V24" s="21">
        <v>22.66</v>
      </c>
      <c r="W24" s="21">
        <v>21.52</v>
      </c>
      <c r="X24" s="21">
        <v>22.1</v>
      </c>
      <c r="Y24" s="21">
        <v>19.66</v>
      </c>
      <c r="Z24" s="21">
        <v>19.329999999999998</v>
      </c>
      <c r="AA24" s="21" cm="1">
        <f t="array" ref="AA24">_xll.BDH("GFNORTEO MM Equity","BS_TIER1_CAP_RATIO","FQ1 2026","FQ1 2026","Currency=MXN","Period=FQ","BEST_FPERIOD_OVERRIDE=FQ","FILING_STATUS=MR","Sort=A","Dates=H","DateFormat=P","Fill=—","Direction=H","UseDPDF=Y")</f>
        <v>19.329999999999998</v>
      </c>
    </row>
    <row r="25" spans="1:27" x14ac:dyDescent="0.25">
      <c r="A25" s="7" t="s">
        <v>82</v>
      </c>
      <c r="B25" s="7">
        <v>18.95</v>
      </c>
      <c r="C25" s="21">
        <v>19.66</v>
      </c>
      <c r="D25" s="21">
        <v>21.12</v>
      </c>
      <c r="E25" s="21">
        <v>20.2</v>
      </c>
      <c r="F25" s="21">
        <v>21.7</v>
      </c>
      <c r="G25" s="21">
        <v>21.92</v>
      </c>
      <c r="H25" s="21">
        <v>21.86</v>
      </c>
      <c r="I25" s="21">
        <v>24.69</v>
      </c>
      <c r="J25" s="21">
        <v>25.89</v>
      </c>
      <c r="K25" s="21">
        <v>22.86</v>
      </c>
      <c r="L25" s="21">
        <v>23.02</v>
      </c>
      <c r="M25" s="21">
        <v>22.86</v>
      </c>
      <c r="N25" s="21">
        <v>22.07</v>
      </c>
      <c r="O25" s="21">
        <v>21.73</v>
      </c>
      <c r="P25" s="21">
        <v>22.15</v>
      </c>
      <c r="Q25" s="21">
        <v>20.69</v>
      </c>
      <c r="R25" s="21">
        <v>21.26</v>
      </c>
      <c r="S25" s="21">
        <v>20.22</v>
      </c>
      <c r="T25" s="21">
        <v>19.23</v>
      </c>
      <c r="U25" s="21">
        <v>21.78</v>
      </c>
      <c r="V25" s="21">
        <v>22.87</v>
      </c>
      <c r="W25" s="21">
        <v>21.72</v>
      </c>
      <c r="X25" s="21">
        <v>22.31</v>
      </c>
      <c r="Y25" s="21">
        <v>20.059999999999999</v>
      </c>
      <c r="Z25" s="21">
        <v>19.739999999999998</v>
      </c>
      <c r="AA25" s="21" cm="1">
        <f t="array" ref="AA25">_xll.BDH("GFNORTEO MM Equity","BS_TOT_CAP_TO_RISK_BASE_CAP","FQ1 2026","FQ1 2026","Currency=MXN","Period=FQ","BEST_FPERIOD_OVERRIDE=FQ","FILING_STATUS=MR","Sort=A","Dates=H","DateFormat=P","Fill=—","Direction=H","UseDPDF=Y")</f>
        <v>19.739999999999998</v>
      </c>
    </row>
    <row r="26" spans="1:27" x14ac:dyDescent="0.25">
      <c r="A26" s="8" t="s">
        <v>84</v>
      </c>
      <c r="B26" s="8" t="s">
        <v>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6"/>
  <sheetViews>
    <sheetView topLeftCell="G1" workbookViewId="0">
      <selection activeCell="G15" sqref="G15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85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11" t="s">
        <v>87</v>
      </c>
      <c r="B6" s="11" t="s">
        <v>88</v>
      </c>
      <c r="C6" s="14">
        <v>21968</v>
      </c>
      <c r="D6" s="14">
        <v>13861</v>
      </c>
      <c r="E6" s="14">
        <v>22911.357800000002</v>
      </c>
      <c r="F6" s="14">
        <v>21037.933499999999</v>
      </c>
      <c r="G6" s="14">
        <v>22777</v>
      </c>
      <c r="H6" s="14">
        <v>19649</v>
      </c>
      <c r="I6" s="14">
        <v>22873</v>
      </c>
      <c r="J6" s="14">
        <v>26456.718400000002</v>
      </c>
      <c r="K6" s="14">
        <v>26922</v>
      </c>
      <c r="L6" s="14">
        <v>27051</v>
      </c>
      <c r="M6" s="14">
        <v>30694</v>
      </c>
      <c r="N6" s="14">
        <v>31224.689399999999</v>
      </c>
      <c r="O6" s="14">
        <v>31730</v>
      </c>
      <c r="P6" s="14">
        <v>28523</v>
      </c>
      <c r="Q6" s="14">
        <v>33189</v>
      </c>
      <c r="R6" s="14">
        <v>34039</v>
      </c>
      <c r="S6" s="14">
        <v>34777</v>
      </c>
      <c r="T6" s="14">
        <v>31938</v>
      </c>
      <c r="U6" s="14">
        <v>35964</v>
      </c>
      <c r="V6" s="14">
        <v>35701</v>
      </c>
      <c r="W6" s="14">
        <v>35746</v>
      </c>
      <c r="X6" s="14">
        <v>35834</v>
      </c>
      <c r="Y6" s="14">
        <v>36614</v>
      </c>
      <c r="Z6" s="14">
        <v>38117</v>
      </c>
      <c r="AA6" s="14">
        <v>39477</v>
      </c>
    </row>
    <row r="7" spans="1:27" x14ac:dyDescent="0.25">
      <c r="A7" s="11" t="s">
        <v>89</v>
      </c>
      <c r="B7" s="11" t="s">
        <v>90</v>
      </c>
      <c r="C7" s="14">
        <v>7608</v>
      </c>
      <c r="D7" s="14">
        <v>16367</v>
      </c>
      <c r="E7" s="14">
        <v>14876.5928</v>
      </c>
      <c r="F7" s="14">
        <v>17681.748200000002</v>
      </c>
      <c r="G7" s="14">
        <v>22575</v>
      </c>
      <c r="H7" s="14">
        <v>8134</v>
      </c>
      <c r="I7" s="14">
        <v>5855</v>
      </c>
      <c r="J7" s="14">
        <v>21319.105</v>
      </c>
      <c r="K7" s="14">
        <v>23800</v>
      </c>
      <c r="L7" s="14">
        <v>17770</v>
      </c>
      <c r="M7" s="14">
        <v>16929</v>
      </c>
      <c r="N7" s="14">
        <v>18197.568800000001</v>
      </c>
      <c r="O7" s="14">
        <v>21883</v>
      </c>
      <c r="P7" s="14">
        <v>21213</v>
      </c>
      <c r="Q7" s="14">
        <v>19464</v>
      </c>
      <c r="R7" s="14">
        <v>24685</v>
      </c>
      <c r="S7" s="14">
        <v>27832</v>
      </c>
      <c r="T7" s="14">
        <v>24489</v>
      </c>
      <c r="U7" s="14">
        <v>22565</v>
      </c>
      <c r="V7" s="14">
        <v>25964</v>
      </c>
      <c r="W7" s="14">
        <v>32651</v>
      </c>
      <c r="X7" s="14">
        <v>26791</v>
      </c>
      <c r="Y7" s="14">
        <v>25768</v>
      </c>
      <c r="Z7" s="14">
        <v>33365</v>
      </c>
      <c r="AA7" s="14">
        <v>33982</v>
      </c>
    </row>
    <row r="8" spans="1:27" x14ac:dyDescent="0.25">
      <c r="A8" s="11" t="s">
        <v>91</v>
      </c>
      <c r="B8" s="11" t="s">
        <v>68</v>
      </c>
      <c r="C8" s="14">
        <v>29576</v>
      </c>
      <c r="D8" s="14">
        <v>30228</v>
      </c>
      <c r="E8" s="14">
        <v>37787.950599999996</v>
      </c>
      <c r="F8" s="14">
        <v>38719.681700000001</v>
      </c>
      <c r="G8" s="14">
        <v>45352</v>
      </c>
      <c r="H8" s="14">
        <v>27783</v>
      </c>
      <c r="I8" s="14">
        <v>28728</v>
      </c>
      <c r="J8" s="14">
        <v>47775.823400000001</v>
      </c>
      <c r="K8" s="14">
        <v>50722</v>
      </c>
      <c r="L8" s="14">
        <v>44821</v>
      </c>
      <c r="M8" s="14">
        <v>47623</v>
      </c>
      <c r="N8" s="14">
        <v>49422.258199999997</v>
      </c>
      <c r="O8" s="14">
        <v>53613</v>
      </c>
      <c r="P8" s="14">
        <v>49736</v>
      </c>
      <c r="Q8" s="14">
        <v>52653</v>
      </c>
      <c r="R8" s="14">
        <v>58724</v>
      </c>
      <c r="S8" s="14">
        <v>62609</v>
      </c>
      <c r="T8" s="14">
        <v>56427</v>
      </c>
      <c r="U8" s="14">
        <v>58529</v>
      </c>
      <c r="V8" s="14">
        <v>61665</v>
      </c>
      <c r="W8" s="14">
        <v>68397</v>
      </c>
      <c r="X8" s="14">
        <v>62625</v>
      </c>
      <c r="Y8" s="14">
        <v>62382</v>
      </c>
      <c r="Z8" s="14">
        <v>71482</v>
      </c>
      <c r="AA8" s="14">
        <v>73459</v>
      </c>
    </row>
    <row r="9" spans="1:27" x14ac:dyDescent="0.25">
      <c r="A9" s="11" t="s">
        <v>92</v>
      </c>
      <c r="B9" s="11" t="s">
        <v>93</v>
      </c>
      <c r="C9" s="14">
        <v>26916</v>
      </c>
      <c r="D9" s="14">
        <v>27891</v>
      </c>
      <c r="E9" s="14">
        <v>35176.712500000001</v>
      </c>
      <c r="F9" s="14">
        <v>35543.876700000001</v>
      </c>
      <c r="G9" s="14">
        <v>42708</v>
      </c>
      <c r="H9" s="14">
        <v>24387</v>
      </c>
      <c r="I9" s="14">
        <v>25114</v>
      </c>
      <c r="J9" s="14">
        <v>43990.427900000002</v>
      </c>
      <c r="K9" s="14">
        <v>47372</v>
      </c>
      <c r="L9" s="14">
        <v>41052</v>
      </c>
      <c r="M9" s="14">
        <v>43707</v>
      </c>
      <c r="N9" s="14">
        <v>45151.323600000003</v>
      </c>
      <c r="O9" s="14">
        <v>49449</v>
      </c>
      <c r="P9" s="14">
        <v>45297</v>
      </c>
      <c r="Q9" s="14">
        <v>48215</v>
      </c>
      <c r="R9" s="14">
        <v>53646</v>
      </c>
      <c r="S9" s="14">
        <v>58004</v>
      </c>
      <c r="T9" s="14">
        <v>51277</v>
      </c>
      <c r="U9" s="14">
        <v>53197</v>
      </c>
      <c r="V9" s="14">
        <v>55897</v>
      </c>
      <c r="W9" s="14">
        <v>62993</v>
      </c>
      <c r="X9" s="14">
        <v>56993</v>
      </c>
      <c r="Y9" s="14">
        <v>57458</v>
      </c>
      <c r="Z9" s="14">
        <v>67001</v>
      </c>
      <c r="AA9" s="14">
        <v>68953</v>
      </c>
    </row>
    <row r="10" spans="1:27" x14ac:dyDescent="0.25">
      <c r="A10" s="11" t="s">
        <v>94</v>
      </c>
      <c r="B10" s="11" t="s">
        <v>95</v>
      </c>
      <c r="C10" s="14">
        <v>4344</v>
      </c>
      <c r="D10" s="14">
        <v>8456</v>
      </c>
      <c r="E10" s="14">
        <v>3137.9470999999999</v>
      </c>
      <c r="F10" s="14">
        <v>5992.1468999999997</v>
      </c>
      <c r="G10" s="14">
        <v>3214</v>
      </c>
      <c r="H10" s="14">
        <v>2765</v>
      </c>
      <c r="I10" s="14">
        <v>2653</v>
      </c>
      <c r="J10" s="14">
        <v>2718.6257000000001</v>
      </c>
      <c r="K10" s="14">
        <v>2668</v>
      </c>
      <c r="L10" s="14">
        <v>2434</v>
      </c>
      <c r="M10" s="14">
        <v>3148</v>
      </c>
      <c r="N10" s="14">
        <v>3631.6623</v>
      </c>
      <c r="O10" s="14">
        <v>3771</v>
      </c>
      <c r="P10" s="14">
        <v>4038</v>
      </c>
      <c r="Q10" s="14">
        <v>4541</v>
      </c>
      <c r="R10" s="14">
        <v>3591</v>
      </c>
      <c r="S10" s="14">
        <v>4868</v>
      </c>
      <c r="T10" s="14">
        <v>4854</v>
      </c>
      <c r="U10" s="14">
        <v>4615</v>
      </c>
      <c r="V10" s="14">
        <v>3786</v>
      </c>
      <c r="W10" s="14">
        <v>5086</v>
      </c>
      <c r="X10" s="14">
        <v>5208</v>
      </c>
      <c r="Y10" s="14">
        <v>8176</v>
      </c>
      <c r="Z10" s="14">
        <v>2769</v>
      </c>
      <c r="AA10" s="14">
        <v>6916</v>
      </c>
    </row>
    <row r="11" spans="1:27" x14ac:dyDescent="0.25">
      <c r="A11" s="11" t="s">
        <v>96</v>
      </c>
      <c r="B11" s="11" t="s">
        <v>97</v>
      </c>
      <c r="C11" s="14">
        <v>3930</v>
      </c>
      <c r="D11" s="14">
        <v>3891</v>
      </c>
      <c r="E11" s="14">
        <v>4037</v>
      </c>
      <c r="F11" s="14">
        <v>4660</v>
      </c>
      <c r="G11" s="14">
        <v>4168</v>
      </c>
      <c r="H11" s="14">
        <v>4273</v>
      </c>
      <c r="I11" s="14">
        <v>4368</v>
      </c>
      <c r="J11" s="14">
        <v>4701</v>
      </c>
      <c r="K11" s="14">
        <v>4330</v>
      </c>
      <c r="L11" s="14">
        <v>4264</v>
      </c>
      <c r="M11" s="14">
        <v>4510</v>
      </c>
      <c r="N11" s="14">
        <v>6476</v>
      </c>
      <c r="O11" s="14">
        <v>4949</v>
      </c>
      <c r="P11" s="14">
        <v>5032</v>
      </c>
      <c r="Q11" s="14">
        <v>5181</v>
      </c>
      <c r="R11" s="14">
        <v>6851</v>
      </c>
      <c r="S11" s="14">
        <v>5744</v>
      </c>
      <c r="T11" s="14">
        <v>5738</v>
      </c>
      <c r="U11" s="14">
        <v>5651</v>
      </c>
      <c r="V11" s="14">
        <v>0</v>
      </c>
      <c r="W11" s="14">
        <v>6184</v>
      </c>
      <c r="X11" s="14">
        <v>6623</v>
      </c>
      <c r="Y11" s="14">
        <v>6637</v>
      </c>
      <c r="Z11" s="14">
        <v>0</v>
      </c>
      <c r="AA11" s="14">
        <v>6879</v>
      </c>
    </row>
    <row r="12" spans="1:27" x14ac:dyDescent="0.25">
      <c r="A12" s="11" t="s">
        <v>98</v>
      </c>
      <c r="B12" s="11" t="s">
        <v>99</v>
      </c>
      <c r="C12" s="14">
        <v>13126</v>
      </c>
      <c r="D12" s="14">
        <v>12644</v>
      </c>
      <c r="E12" s="14">
        <v>22933.359499999999</v>
      </c>
      <c r="F12" s="14">
        <v>25438.7042</v>
      </c>
      <c r="G12" s="14">
        <v>31233</v>
      </c>
      <c r="H12" s="14">
        <v>14247</v>
      </c>
      <c r="I12" s="14">
        <v>14630</v>
      </c>
      <c r="J12" s="14">
        <v>34356.214999999997</v>
      </c>
      <c r="K12" s="14">
        <v>33036</v>
      </c>
      <c r="L12" s="14">
        <v>27123</v>
      </c>
      <c r="M12" s="14">
        <v>28818</v>
      </c>
      <c r="N12" s="14">
        <v>30707.469700000001</v>
      </c>
      <c r="O12" s="14">
        <v>32430</v>
      </c>
      <c r="P12" s="14">
        <v>27954</v>
      </c>
      <c r="Q12" s="14">
        <v>30389</v>
      </c>
      <c r="R12" s="14">
        <v>38451</v>
      </c>
      <c r="S12" s="14">
        <v>38162</v>
      </c>
      <c r="T12" s="14">
        <v>33284</v>
      </c>
      <c r="U12" s="14">
        <v>34531</v>
      </c>
      <c r="V12" s="14">
        <v>39873</v>
      </c>
      <c r="W12" s="14">
        <v>41745</v>
      </c>
      <c r="X12" s="14">
        <v>38133</v>
      </c>
      <c r="Y12" s="14">
        <v>35962</v>
      </c>
      <c r="Z12" s="14">
        <v>45961</v>
      </c>
      <c r="AA12" s="14">
        <v>44841</v>
      </c>
    </row>
    <row r="13" spans="1:27" x14ac:dyDescent="0.25">
      <c r="A13" s="11" t="s">
        <v>100</v>
      </c>
      <c r="B13" s="11" t="s">
        <v>76</v>
      </c>
      <c r="C13" s="14">
        <v>9118</v>
      </c>
      <c r="D13" s="14">
        <v>6518</v>
      </c>
      <c r="E13" s="14">
        <v>8905.8492000000006</v>
      </c>
      <c r="F13" s="14">
        <v>5966.0325999999995</v>
      </c>
      <c r="G13" s="14">
        <v>8544</v>
      </c>
      <c r="H13" s="14">
        <v>8568</v>
      </c>
      <c r="I13" s="14">
        <v>8874</v>
      </c>
      <c r="J13" s="14">
        <v>9061.3258000000005</v>
      </c>
      <c r="K13" s="14">
        <v>10748</v>
      </c>
      <c r="L13" s="14">
        <v>11523</v>
      </c>
      <c r="M13" s="14">
        <v>11544</v>
      </c>
      <c r="N13" s="14">
        <v>11591.899299999999</v>
      </c>
      <c r="O13" s="14">
        <v>13018</v>
      </c>
      <c r="P13" s="14">
        <v>13088</v>
      </c>
      <c r="Q13" s="14">
        <v>13268</v>
      </c>
      <c r="R13" s="14">
        <v>13043</v>
      </c>
      <c r="S13" s="14">
        <v>14208</v>
      </c>
      <c r="T13" s="14">
        <v>14018</v>
      </c>
      <c r="U13" s="14">
        <v>14238</v>
      </c>
      <c r="V13" s="14">
        <v>13724</v>
      </c>
      <c r="W13" s="14">
        <v>15288</v>
      </c>
      <c r="X13" s="14">
        <v>14618</v>
      </c>
      <c r="Y13" s="14">
        <v>13008</v>
      </c>
      <c r="Z13" s="14">
        <v>15874</v>
      </c>
      <c r="AA13" s="14">
        <v>15458</v>
      </c>
    </row>
    <row r="14" spans="1:27" x14ac:dyDescent="0.25">
      <c r="A14" s="11" t="s">
        <v>101</v>
      </c>
      <c r="B14" s="11" t="s">
        <v>102</v>
      </c>
      <c r="C14" s="15">
        <v>3.1621000000000001</v>
      </c>
      <c r="D14" s="15">
        <v>2.2604000000000002</v>
      </c>
      <c r="E14" s="15">
        <v>3.0886</v>
      </c>
      <c r="F14" s="15">
        <v>2.1798000000000002</v>
      </c>
      <c r="G14" s="15">
        <v>2.9630999999999998</v>
      </c>
      <c r="H14" s="15">
        <v>2.9714</v>
      </c>
      <c r="I14" s="15">
        <v>3.0775999999999999</v>
      </c>
      <c r="J14" s="15">
        <v>3.2602000000000002</v>
      </c>
      <c r="K14" s="15">
        <v>3.7273999999999998</v>
      </c>
      <c r="L14" s="15">
        <v>3.9962</v>
      </c>
      <c r="M14" s="15">
        <v>4.0034999999999998</v>
      </c>
      <c r="N14" s="15">
        <v>4.1752000000000002</v>
      </c>
      <c r="O14" s="15">
        <v>4.5147000000000004</v>
      </c>
      <c r="P14" s="15">
        <v>4.5389999999999997</v>
      </c>
      <c r="Q14" s="15">
        <v>4.6013999999999999</v>
      </c>
      <c r="R14" s="15">
        <v>4.5233999999999996</v>
      </c>
      <c r="S14" s="15">
        <v>4.9273999999999996</v>
      </c>
      <c r="T14" s="15">
        <v>4.8615000000000004</v>
      </c>
      <c r="U14" s="15">
        <v>4.9378000000000002</v>
      </c>
      <c r="V14" s="15">
        <v>4.9960000000000004</v>
      </c>
      <c r="W14" s="15">
        <v>5.4344999999999999</v>
      </c>
      <c r="X14" s="15">
        <v>5.1456999999999997</v>
      </c>
      <c r="Y14" s="15">
        <v>4.6239999999999997</v>
      </c>
      <c r="Z14" s="15">
        <v>5.5777999999999999</v>
      </c>
      <c r="AA14" s="15">
        <v>5.4949000000000003</v>
      </c>
    </row>
    <row r="15" spans="1:27" x14ac:dyDescent="0.25">
      <c r="A15" s="11" t="s">
        <v>103</v>
      </c>
      <c r="B15" s="11" t="s">
        <v>104</v>
      </c>
      <c r="C15" s="15">
        <v>3.1621000000000001</v>
      </c>
      <c r="D15" s="15">
        <v>2.2604000000000002</v>
      </c>
      <c r="E15" s="15">
        <v>3.0886</v>
      </c>
      <c r="F15" s="15">
        <v>2.1798000000000002</v>
      </c>
      <c r="G15" s="15">
        <v>2.9630999999999998</v>
      </c>
      <c r="H15" s="15">
        <v>2.9714</v>
      </c>
      <c r="I15" s="15">
        <v>3.0775999999999999</v>
      </c>
      <c r="J15" s="15">
        <v>3.2602000000000002</v>
      </c>
      <c r="K15" s="15">
        <v>3.7273999999999998</v>
      </c>
      <c r="L15" s="15">
        <v>3.9962</v>
      </c>
      <c r="M15" s="15">
        <v>4.0034999999999998</v>
      </c>
      <c r="N15" s="15">
        <v>4.0201000000000002</v>
      </c>
      <c r="O15" s="15">
        <v>4.5147000000000004</v>
      </c>
      <c r="P15" s="15">
        <v>4.5389999999999997</v>
      </c>
      <c r="Q15" s="15">
        <v>4.6013999999999999</v>
      </c>
      <c r="R15" s="15">
        <v>4.5233999999999996</v>
      </c>
      <c r="S15" s="15">
        <v>4.9273999999999996</v>
      </c>
      <c r="T15" s="15">
        <v>4.8615000000000004</v>
      </c>
      <c r="U15" s="15">
        <v>4.9378000000000002</v>
      </c>
      <c r="V15" s="15">
        <v>4.9960000000000004</v>
      </c>
      <c r="W15" s="15">
        <v>5.4344999999999999</v>
      </c>
      <c r="X15" s="15">
        <v>5.1456999999999997</v>
      </c>
      <c r="Y15" s="15">
        <v>4.6239999999999997</v>
      </c>
      <c r="Z15" s="15">
        <v>5.5777999999999999</v>
      </c>
      <c r="AA15" s="15">
        <v>5.4949000000000003</v>
      </c>
    </row>
    <row r="16" spans="1:27" x14ac:dyDescent="0.25">
      <c r="A16" s="11" t="s">
        <v>105</v>
      </c>
      <c r="B16" s="11" t="s">
        <v>106</v>
      </c>
      <c r="C16" s="14">
        <v>2883.5</v>
      </c>
      <c r="D16" s="14">
        <v>2883.5</v>
      </c>
      <c r="E16" s="14">
        <v>2883.4566</v>
      </c>
      <c r="F16" s="14">
        <v>2737.0072</v>
      </c>
      <c r="G16" s="14">
        <v>2883.5</v>
      </c>
      <c r="H16" s="14">
        <v>2883.5</v>
      </c>
      <c r="I16" s="14">
        <v>2883.4566</v>
      </c>
      <c r="J16" s="14">
        <v>2779.3843000000002</v>
      </c>
      <c r="K16" s="14">
        <v>2883.5</v>
      </c>
      <c r="L16" s="14">
        <v>2883.4566</v>
      </c>
      <c r="M16" s="14">
        <v>2883.4566</v>
      </c>
      <c r="N16" s="14">
        <v>2776.3548000000001</v>
      </c>
      <c r="O16" s="14">
        <v>2883.4566</v>
      </c>
      <c r="P16" s="14">
        <v>2883.4566</v>
      </c>
      <c r="Q16" s="14">
        <v>2883.4566</v>
      </c>
      <c r="R16" s="14">
        <v>2883.4566</v>
      </c>
      <c r="S16" s="14">
        <v>2883.4566</v>
      </c>
      <c r="T16" s="14">
        <v>2883.4566</v>
      </c>
      <c r="U16" s="14">
        <v>2883.4566</v>
      </c>
      <c r="V16" s="14">
        <v>2747.0021000000002</v>
      </c>
      <c r="W16" s="14">
        <v>2813.1565999999998</v>
      </c>
      <c r="X16" s="14">
        <v>2840.8155999999999</v>
      </c>
      <c r="Y16" s="14">
        <v>2813.1565999999998</v>
      </c>
      <c r="Z16" s="14">
        <v>2845.9038</v>
      </c>
      <c r="AA16" s="14">
        <v>2813.1565999999998</v>
      </c>
    </row>
    <row r="17" spans="1:27" x14ac:dyDescent="0.25">
      <c r="A17" s="11" t="s">
        <v>107</v>
      </c>
      <c r="B17" s="11" t="s">
        <v>108</v>
      </c>
      <c r="C17" s="14">
        <v>2883.5</v>
      </c>
      <c r="D17" s="14">
        <v>2883.5</v>
      </c>
      <c r="E17" s="14">
        <v>2883.4566</v>
      </c>
      <c r="F17" s="14">
        <v>2737.0072</v>
      </c>
      <c r="G17" s="14">
        <v>2883.5</v>
      </c>
      <c r="H17" s="14">
        <v>2883.5</v>
      </c>
      <c r="I17" s="14">
        <v>2883.4566</v>
      </c>
      <c r="J17" s="14">
        <v>2779.3843000000002</v>
      </c>
      <c r="K17" s="14">
        <v>2883.5</v>
      </c>
      <c r="L17" s="14">
        <v>2883.4566</v>
      </c>
      <c r="M17" s="14">
        <v>2883.4566</v>
      </c>
      <c r="N17" s="14">
        <v>2883.4566</v>
      </c>
      <c r="O17" s="14">
        <v>2883.4566</v>
      </c>
      <c r="P17" s="14">
        <v>2883.4566</v>
      </c>
      <c r="Q17" s="14">
        <v>2883.4566</v>
      </c>
      <c r="R17" s="14">
        <v>2883.4566</v>
      </c>
      <c r="S17" s="14">
        <v>2883.4566</v>
      </c>
      <c r="T17" s="14">
        <v>2883.4566</v>
      </c>
      <c r="U17" s="14">
        <v>2883.4566</v>
      </c>
      <c r="V17" s="14">
        <v>2747.0021000000002</v>
      </c>
      <c r="W17" s="14">
        <v>2813.1565999999998</v>
      </c>
      <c r="X17" s="14">
        <v>2840.8155999999999</v>
      </c>
      <c r="Y17" s="14">
        <v>2813.1565999999998</v>
      </c>
      <c r="Z17" s="14">
        <v>2845.9038</v>
      </c>
      <c r="AA17" s="14">
        <v>2813.1565999999998</v>
      </c>
    </row>
    <row r="18" spans="1:27" x14ac:dyDescent="0.25">
      <c r="A18" s="1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1" t="s">
        <v>63</v>
      </c>
      <c r="B19" s="11" t="s">
        <v>64</v>
      </c>
      <c r="C19" s="14">
        <v>783963</v>
      </c>
      <c r="D19" s="14">
        <v>791389.19680000003</v>
      </c>
      <c r="E19" s="14">
        <v>795256.02769999998</v>
      </c>
      <c r="F19" s="14">
        <v>799896</v>
      </c>
      <c r="G19" s="14">
        <v>795347</v>
      </c>
      <c r="H19" s="14">
        <v>796872.2463</v>
      </c>
      <c r="I19" s="14">
        <v>815015.4031</v>
      </c>
      <c r="J19" s="14">
        <v>818423</v>
      </c>
      <c r="K19" s="14">
        <v>819118</v>
      </c>
      <c r="L19" s="14">
        <v>855217.97349999996</v>
      </c>
      <c r="M19" s="14">
        <v>870144.84550000005</v>
      </c>
      <c r="N19" s="14">
        <v>914762</v>
      </c>
      <c r="O19" s="14">
        <v>933820</v>
      </c>
      <c r="P19" s="14">
        <v>947425</v>
      </c>
      <c r="Q19" s="14">
        <v>1002221</v>
      </c>
      <c r="R19" s="14">
        <v>1020727</v>
      </c>
      <c r="S19" s="14">
        <v>1031873</v>
      </c>
      <c r="T19" s="14">
        <v>1082361</v>
      </c>
      <c r="U19" s="14">
        <v>1102993</v>
      </c>
      <c r="V19" s="14">
        <v>1155286</v>
      </c>
      <c r="W19" s="14">
        <v>1165419</v>
      </c>
      <c r="X19" s="14">
        <v>1154281</v>
      </c>
      <c r="Y19" s="14">
        <v>1176691</v>
      </c>
      <c r="Z19" s="14">
        <v>1238949</v>
      </c>
      <c r="AA19" s="14">
        <v>1230265</v>
      </c>
    </row>
    <row r="20" spans="1:27" x14ac:dyDescent="0.25">
      <c r="A20" s="11" t="s">
        <v>109</v>
      </c>
      <c r="B20" s="11" t="s">
        <v>110</v>
      </c>
      <c r="C20" s="14">
        <v>765459</v>
      </c>
      <c r="D20" s="14">
        <v>772834.67429999996</v>
      </c>
      <c r="E20" s="14">
        <v>777590.43130000005</v>
      </c>
      <c r="F20" s="14">
        <v>779892</v>
      </c>
      <c r="G20" s="14">
        <v>775677</v>
      </c>
      <c r="H20" s="14">
        <v>778697.68839999998</v>
      </c>
      <c r="I20" s="14">
        <v>797718.15350000001</v>
      </c>
      <c r="J20" s="14">
        <v>802172</v>
      </c>
      <c r="K20" s="14">
        <v>802213</v>
      </c>
      <c r="L20" s="14">
        <v>838205.46510000003</v>
      </c>
      <c r="M20" s="14">
        <v>852898.23309999995</v>
      </c>
      <c r="N20" s="14">
        <v>896863</v>
      </c>
      <c r="O20" s="14">
        <v>915779</v>
      </c>
      <c r="P20" s="14">
        <v>928897</v>
      </c>
      <c r="Q20" s="14">
        <v>982790</v>
      </c>
      <c r="R20" s="14">
        <v>1000870</v>
      </c>
      <c r="S20" s="14">
        <v>1012359</v>
      </c>
      <c r="T20" s="14">
        <v>1062003</v>
      </c>
      <c r="U20" s="14">
        <v>1082695</v>
      </c>
      <c r="V20" s="14">
        <v>1134852</v>
      </c>
      <c r="W20" s="14">
        <v>1144561</v>
      </c>
      <c r="X20" s="14">
        <v>1132906</v>
      </c>
      <c r="Y20" s="14">
        <v>1152466</v>
      </c>
      <c r="Z20" s="14">
        <v>1214852</v>
      </c>
      <c r="AA20" s="14">
        <v>1204742</v>
      </c>
    </row>
    <row r="21" spans="1:27" x14ac:dyDescent="0.25">
      <c r="A21" s="11" t="s">
        <v>111</v>
      </c>
      <c r="B21" s="11" t="s">
        <v>112</v>
      </c>
      <c r="C21" s="14">
        <v>1399200</v>
      </c>
      <c r="D21" s="14">
        <v>1449210.352</v>
      </c>
      <c r="E21" s="14">
        <v>1477073.2985</v>
      </c>
      <c r="F21" s="14">
        <v>1481005</v>
      </c>
      <c r="G21" s="14">
        <v>1712824</v>
      </c>
      <c r="H21" s="14">
        <v>1511593.3732</v>
      </c>
      <c r="I21" s="14">
        <v>1557407.0020999999</v>
      </c>
      <c r="J21" s="14">
        <v>1588670</v>
      </c>
      <c r="K21" s="14">
        <v>1606712</v>
      </c>
      <c r="L21" s="14">
        <v>1766165.7512000001</v>
      </c>
      <c r="M21" s="14">
        <v>1790179.0045</v>
      </c>
      <c r="N21" s="14">
        <v>1791145</v>
      </c>
      <c r="O21" s="14">
        <v>1767223</v>
      </c>
      <c r="P21" s="14">
        <v>1781248</v>
      </c>
      <c r="Q21" s="14">
        <v>1890008</v>
      </c>
      <c r="R21" s="14">
        <v>2025884</v>
      </c>
      <c r="S21" s="14">
        <v>2120696</v>
      </c>
      <c r="T21" s="14">
        <v>2150800</v>
      </c>
      <c r="U21" s="14">
        <v>2118094</v>
      </c>
      <c r="V21" s="14">
        <v>2179194</v>
      </c>
      <c r="W21" s="14">
        <v>2193294</v>
      </c>
      <c r="X21" s="14">
        <v>2187001</v>
      </c>
      <c r="Y21" s="14">
        <v>2222219</v>
      </c>
      <c r="Z21" s="14">
        <v>2316293</v>
      </c>
      <c r="AA21" s="14">
        <v>2344226</v>
      </c>
    </row>
    <row r="22" spans="1:27" x14ac:dyDescent="0.25">
      <c r="A22" s="11" t="s">
        <v>65</v>
      </c>
      <c r="B22" s="11" t="s">
        <v>66</v>
      </c>
      <c r="C22" s="14">
        <v>1729280</v>
      </c>
      <c r="D22" s="14">
        <v>1783581.1784000001</v>
      </c>
      <c r="E22" s="14">
        <v>1795305.5882999999</v>
      </c>
      <c r="F22" s="14">
        <v>1787904</v>
      </c>
      <c r="G22" s="14">
        <v>1917900</v>
      </c>
      <c r="H22" s="14">
        <v>1802363.0895</v>
      </c>
      <c r="I22" s="14">
        <v>1803695.2135999999</v>
      </c>
      <c r="J22" s="14">
        <v>1850879</v>
      </c>
      <c r="K22" s="14">
        <v>2035427</v>
      </c>
      <c r="L22" s="14">
        <v>2033315.6011999999</v>
      </c>
      <c r="M22" s="14">
        <v>2033008.0985000001</v>
      </c>
      <c r="N22" s="14">
        <v>2070072</v>
      </c>
      <c r="O22" s="14">
        <v>2130031</v>
      </c>
      <c r="P22" s="14">
        <v>2191378</v>
      </c>
      <c r="Q22" s="14">
        <v>2298368</v>
      </c>
      <c r="R22" s="14">
        <v>2274859</v>
      </c>
      <c r="S22" s="14">
        <v>2395399</v>
      </c>
      <c r="T22" s="14">
        <v>2435013</v>
      </c>
      <c r="U22" s="14">
        <v>2420031</v>
      </c>
      <c r="V22" s="14">
        <v>2471209</v>
      </c>
      <c r="W22" s="14">
        <v>2552759</v>
      </c>
      <c r="X22" s="14">
        <v>2524481</v>
      </c>
      <c r="Y22" s="14">
        <v>2509263</v>
      </c>
      <c r="Z22" s="14">
        <v>2598663</v>
      </c>
      <c r="AA22" s="14">
        <v>2635909</v>
      </c>
    </row>
    <row r="23" spans="1:27" x14ac:dyDescent="0.25">
      <c r="A23" s="11" t="s">
        <v>61</v>
      </c>
      <c r="B23" s="11" t="s">
        <v>62</v>
      </c>
      <c r="C23" s="14">
        <v>772992</v>
      </c>
      <c r="D23" s="14">
        <v>801147.88060000003</v>
      </c>
      <c r="E23" s="14">
        <v>813104.07640000002</v>
      </c>
      <c r="F23" s="14">
        <v>821712</v>
      </c>
      <c r="G23" s="14">
        <v>830530</v>
      </c>
      <c r="H23" s="14">
        <v>810082.05440000002</v>
      </c>
      <c r="I23" s="14">
        <v>793291.72160000005</v>
      </c>
      <c r="J23" s="14">
        <v>799025</v>
      </c>
      <c r="K23" s="14">
        <v>836028</v>
      </c>
      <c r="L23" s="14">
        <v>865190.86259999999</v>
      </c>
      <c r="M23" s="14">
        <v>872911.77320000005</v>
      </c>
      <c r="N23" s="14">
        <v>897192</v>
      </c>
      <c r="O23" s="14">
        <v>916969</v>
      </c>
      <c r="P23" s="14">
        <v>976796</v>
      </c>
      <c r="Q23" s="14">
        <v>1036962</v>
      </c>
      <c r="R23" s="14">
        <v>1052762</v>
      </c>
      <c r="S23" s="14">
        <v>1072431</v>
      </c>
      <c r="T23" s="14">
        <v>1105118</v>
      </c>
      <c r="U23" s="14">
        <v>1124606</v>
      </c>
      <c r="V23" s="14">
        <v>1133500</v>
      </c>
      <c r="W23" s="14">
        <v>1177314</v>
      </c>
      <c r="X23" s="14">
        <v>1188432</v>
      </c>
      <c r="Y23" s="14">
        <v>1161756</v>
      </c>
      <c r="Z23" s="14">
        <v>1242007</v>
      </c>
      <c r="AA23" s="14">
        <v>1243419</v>
      </c>
    </row>
    <row r="24" spans="1:27" x14ac:dyDescent="0.25">
      <c r="A24" s="11" t="s">
        <v>113</v>
      </c>
      <c r="B24" s="11" t="s">
        <v>114</v>
      </c>
      <c r="C24" s="14">
        <v>450178</v>
      </c>
      <c r="D24" s="14">
        <v>472356.38890000002</v>
      </c>
      <c r="E24" s="14">
        <v>454277.99969999999</v>
      </c>
      <c r="F24" s="14">
        <v>410373</v>
      </c>
      <c r="G24" s="14">
        <v>572005</v>
      </c>
      <c r="H24" s="14">
        <v>473690.30959999998</v>
      </c>
      <c r="I24" s="14">
        <v>464319.10190000001</v>
      </c>
      <c r="J24" s="14">
        <v>462771</v>
      </c>
      <c r="K24" s="14">
        <v>584395</v>
      </c>
      <c r="L24" s="14">
        <v>538904.12849999999</v>
      </c>
      <c r="M24" s="14">
        <v>524574.39210000006</v>
      </c>
      <c r="N24" s="14">
        <v>551758</v>
      </c>
      <c r="O24" s="14">
        <v>556985</v>
      </c>
      <c r="P24" s="14">
        <v>572085</v>
      </c>
      <c r="Q24" s="14">
        <v>598481</v>
      </c>
      <c r="R24" s="14">
        <v>561667</v>
      </c>
      <c r="S24" s="14">
        <v>629217</v>
      </c>
      <c r="T24" s="14">
        <v>645071</v>
      </c>
      <c r="U24" s="14">
        <v>596860</v>
      </c>
      <c r="V24" s="14">
        <v>638712</v>
      </c>
      <c r="W24" s="14">
        <v>633367</v>
      </c>
      <c r="X24" s="14">
        <v>625014</v>
      </c>
      <c r="Y24" s="14">
        <v>615397</v>
      </c>
      <c r="Z24" s="14">
        <v>635948</v>
      </c>
      <c r="AA24" s="14">
        <v>625553</v>
      </c>
    </row>
    <row r="25" spans="1:27" x14ac:dyDescent="0.25">
      <c r="A25" s="11" t="s">
        <v>115</v>
      </c>
      <c r="B25" s="11" t="s">
        <v>116</v>
      </c>
      <c r="C25" s="14">
        <v>1531790</v>
      </c>
      <c r="D25" s="14">
        <v>1575236.6875</v>
      </c>
      <c r="E25" s="14">
        <v>1577934.7187999999</v>
      </c>
      <c r="F25" s="14">
        <v>1562800</v>
      </c>
      <c r="G25" s="14">
        <v>1687758</v>
      </c>
      <c r="H25" s="14">
        <v>1573040.7257999999</v>
      </c>
      <c r="I25" s="14">
        <v>1566755.0311</v>
      </c>
      <c r="J25" s="14">
        <v>1613639</v>
      </c>
      <c r="K25" s="14">
        <v>1791336</v>
      </c>
      <c r="L25" s="14">
        <v>1800067.5619999999</v>
      </c>
      <c r="M25" s="14">
        <v>1789097.425</v>
      </c>
      <c r="N25" s="14">
        <v>1831040</v>
      </c>
      <c r="O25" s="14">
        <v>1877461</v>
      </c>
      <c r="P25" s="14">
        <v>1948764</v>
      </c>
      <c r="Q25" s="14">
        <v>2045100</v>
      </c>
      <c r="R25" s="14">
        <v>2025654</v>
      </c>
      <c r="S25" s="14">
        <v>2133771</v>
      </c>
      <c r="T25" s="14">
        <v>2192727</v>
      </c>
      <c r="U25" s="14">
        <v>2166845</v>
      </c>
      <c r="V25" s="14">
        <v>2222781</v>
      </c>
      <c r="W25" s="14">
        <v>2286624</v>
      </c>
      <c r="X25" s="14">
        <v>2273073</v>
      </c>
      <c r="Y25" s="14">
        <v>2248320</v>
      </c>
      <c r="Z25" s="14">
        <v>2346450</v>
      </c>
      <c r="AA25" s="14">
        <v>2371478</v>
      </c>
    </row>
    <row r="26" spans="1:27" x14ac:dyDescent="0.25">
      <c r="A26" s="11" t="s">
        <v>117</v>
      </c>
      <c r="B26" s="11" t="s">
        <v>118</v>
      </c>
      <c r="C26" s="14">
        <v>197490</v>
      </c>
      <c r="D26" s="14">
        <v>208344.49100000001</v>
      </c>
      <c r="E26" s="14">
        <v>217370.8695</v>
      </c>
      <c r="F26" s="14">
        <v>225104</v>
      </c>
      <c r="G26" s="14">
        <v>230142</v>
      </c>
      <c r="H26" s="14">
        <v>229322.36369999999</v>
      </c>
      <c r="I26" s="14">
        <v>236940.1825</v>
      </c>
      <c r="J26" s="14">
        <v>237240</v>
      </c>
      <c r="K26" s="14">
        <v>244091</v>
      </c>
      <c r="L26" s="14">
        <v>233248.0392</v>
      </c>
      <c r="M26" s="14">
        <v>243910.6735</v>
      </c>
      <c r="N26" s="14">
        <v>239032</v>
      </c>
      <c r="O26" s="14">
        <v>252570</v>
      </c>
      <c r="P26" s="14">
        <v>242614</v>
      </c>
      <c r="Q26" s="14">
        <v>253268</v>
      </c>
      <c r="R26" s="14">
        <v>249205</v>
      </c>
      <c r="S26" s="14">
        <v>261628</v>
      </c>
      <c r="T26" s="14">
        <v>242286</v>
      </c>
      <c r="U26" s="14">
        <v>253186</v>
      </c>
      <c r="V26" s="14">
        <v>248428</v>
      </c>
      <c r="W26" s="14">
        <v>266135</v>
      </c>
      <c r="X26" s="14">
        <v>251408</v>
      </c>
      <c r="Y26" s="14">
        <v>260943</v>
      </c>
      <c r="Z26" s="14">
        <v>252213</v>
      </c>
      <c r="AA26" s="14">
        <v>264431</v>
      </c>
    </row>
    <row r="27" spans="1:27" x14ac:dyDescent="0.25">
      <c r="A27" s="11" t="s">
        <v>119</v>
      </c>
      <c r="B27" s="11" t="s">
        <v>120</v>
      </c>
      <c r="C27" s="14">
        <v>2883.5</v>
      </c>
      <c r="D27" s="14">
        <v>2883.4566</v>
      </c>
      <c r="E27" s="14">
        <v>2883.4566</v>
      </c>
      <c r="F27" s="14">
        <v>2846.8443000000002</v>
      </c>
      <c r="G27" s="14">
        <v>2883.5</v>
      </c>
      <c r="H27" s="14">
        <v>2883.4566</v>
      </c>
      <c r="I27" s="14">
        <v>2883.4566</v>
      </c>
      <c r="J27" s="14">
        <v>2857.4385000000002</v>
      </c>
      <c r="K27" s="14">
        <v>2883.5</v>
      </c>
      <c r="L27" s="14">
        <v>2883.4566</v>
      </c>
      <c r="M27" s="14">
        <v>2883.4566</v>
      </c>
      <c r="N27" s="14">
        <v>2857.1005</v>
      </c>
      <c r="O27" s="14">
        <v>2883.4566</v>
      </c>
      <c r="P27" s="14">
        <v>2883.4566</v>
      </c>
      <c r="Q27" s="14">
        <v>2883.4566</v>
      </c>
      <c r="R27" s="14">
        <v>2866.4162000000001</v>
      </c>
      <c r="S27" s="14">
        <v>2883.4566</v>
      </c>
      <c r="T27" s="14">
        <v>2883.4566</v>
      </c>
      <c r="U27" s="14">
        <v>2813.1565999999998</v>
      </c>
      <c r="V27" s="14">
        <v>2787.3714</v>
      </c>
      <c r="W27" s="14">
        <v>2813.1565999999998</v>
      </c>
      <c r="X27" s="14">
        <v>2813.1565999999998</v>
      </c>
      <c r="Y27" s="14">
        <v>2778.6235000000001</v>
      </c>
      <c r="Z27" s="14">
        <v>2813.1565999999998</v>
      </c>
      <c r="AA27" s="14">
        <v>2813.1565999999998</v>
      </c>
    </row>
    <row r="28" spans="1:27" x14ac:dyDescent="0.25">
      <c r="A28" s="1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x14ac:dyDescent="0.25">
      <c r="A29" s="11" t="s">
        <v>121</v>
      </c>
      <c r="B29" s="11" t="s">
        <v>122</v>
      </c>
      <c r="C29" s="14">
        <v>-391.4633</v>
      </c>
      <c r="D29" s="14">
        <v>-2662.5205000000001</v>
      </c>
      <c r="E29" s="14">
        <v>-10809.246300000001</v>
      </c>
      <c r="F29" s="14">
        <v>3232.2301000000002</v>
      </c>
      <c r="G29" s="14">
        <v>851</v>
      </c>
      <c r="H29" s="14">
        <v>20529.921600000001</v>
      </c>
      <c r="I29" s="14">
        <v>-6129.8005000000003</v>
      </c>
      <c r="J29" s="14">
        <v>38720.878900000003</v>
      </c>
      <c r="K29" s="14">
        <v>30147</v>
      </c>
      <c r="L29" s="14">
        <v>-25811.390100000001</v>
      </c>
      <c r="M29" s="14">
        <v>10352.8698</v>
      </c>
      <c r="N29" s="14">
        <v>65306.520299999996</v>
      </c>
      <c r="O29" s="14">
        <v>16762</v>
      </c>
      <c r="P29" s="14">
        <v>8722</v>
      </c>
      <c r="Q29" s="14">
        <v>-34679</v>
      </c>
      <c r="R29" s="14">
        <v>14499</v>
      </c>
      <c r="S29" s="14">
        <v>27957</v>
      </c>
      <c r="T29" s="14">
        <v>32705</v>
      </c>
      <c r="U29" s="14">
        <v>15155</v>
      </c>
      <c r="V29" s="14">
        <v>28274</v>
      </c>
      <c r="W29" s="14">
        <v>8924</v>
      </c>
      <c r="X29" s="14">
        <v>26959</v>
      </c>
      <c r="Y29" s="14">
        <v>10508</v>
      </c>
      <c r="Z29" s="14">
        <v>27215</v>
      </c>
      <c r="AA29" s="14">
        <v>-23249</v>
      </c>
    </row>
    <row r="30" spans="1:27" x14ac:dyDescent="0.25">
      <c r="A30" s="11" t="s">
        <v>123</v>
      </c>
      <c r="B30" s="11" t="s">
        <v>124</v>
      </c>
      <c r="C30" s="14">
        <v>-18217.428</v>
      </c>
      <c r="D30" s="14">
        <v>-8552.5714000000007</v>
      </c>
      <c r="E30" s="14">
        <v>-6282.1767</v>
      </c>
      <c r="F30" s="14">
        <v>-4894.8238000000001</v>
      </c>
      <c r="G30" s="14">
        <v>-1694</v>
      </c>
      <c r="H30" s="14">
        <v>4448.9272000000001</v>
      </c>
      <c r="I30" s="14">
        <v>-19275.363399999998</v>
      </c>
      <c r="J30" s="14">
        <v>-8501.5637999999999</v>
      </c>
      <c r="K30" s="14">
        <v>-353</v>
      </c>
      <c r="L30" s="14">
        <v>-42279.921600000001</v>
      </c>
      <c r="M30" s="14">
        <v>-16256.6595</v>
      </c>
      <c r="N30" s="14">
        <v>-52592.418899999997</v>
      </c>
      <c r="O30" s="14">
        <v>-31006</v>
      </c>
      <c r="P30" s="14">
        <v>-17912</v>
      </c>
      <c r="Q30" s="14">
        <v>-43761</v>
      </c>
      <c r="R30" s="14">
        <v>-24203</v>
      </c>
      <c r="S30" s="14">
        <v>-15696</v>
      </c>
      <c r="T30" s="14">
        <v>-45166</v>
      </c>
      <c r="U30" s="14">
        <v>-36845</v>
      </c>
      <c r="V30" s="14">
        <v>-59354</v>
      </c>
      <c r="W30" s="14">
        <v>-10073</v>
      </c>
      <c r="X30" s="14">
        <v>2817</v>
      </c>
      <c r="Y30" s="14">
        <v>-19172</v>
      </c>
      <c r="Z30" s="14">
        <v>-81333</v>
      </c>
      <c r="AA30" s="14">
        <v>14216</v>
      </c>
    </row>
    <row r="31" spans="1:27" x14ac:dyDescent="0.25">
      <c r="A31" s="11" t="s">
        <v>125</v>
      </c>
      <c r="B31" s="11" t="s">
        <v>126</v>
      </c>
      <c r="C31" s="14">
        <v>46688.646800000002</v>
      </c>
      <c r="D31" s="14">
        <v>26385.336299999999</v>
      </c>
      <c r="E31" s="14">
        <v>11124.7138</v>
      </c>
      <c r="F31" s="14">
        <v>10888.303099999999</v>
      </c>
      <c r="G31" s="14">
        <v>7931</v>
      </c>
      <c r="H31" s="14">
        <v>-30520.702799999999</v>
      </c>
      <c r="I31" s="14">
        <v>-17678.351200000001</v>
      </c>
      <c r="J31" s="14">
        <v>854.05399999999997</v>
      </c>
      <c r="K31" s="14">
        <v>-3873</v>
      </c>
      <c r="L31" s="14">
        <v>42537.034899999999</v>
      </c>
      <c r="M31" s="14">
        <v>-1558.6212</v>
      </c>
      <c r="N31" s="14">
        <v>3793.5862999999999</v>
      </c>
      <c r="O31" s="14">
        <v>13241</v>
      </c>
      <c r="P31" s="14">
        <v>32507</v>
      </c>
      <c r="Q31" s="14">
        <v>57095</v>
      </c>
      <c r="R31" s="14">
        <v>711</v>
      </c>
      <c r="S31" s="14">
        <v>12581</v>
      </c>
      <c r="T31" s="14">
        <v>13014</v>
      </c>
      <c r="U31" s="14">
        <v>-3827</v>
      </c>
      <c r="V31" s="14">
        <v>29676</v>
      </c>
      <c r="W31" s="14">
        <v>39351</v>
      </c>
      <c r="X31" s="14">
        <v>-27000</v>
      </c>
      <c r="Y31" s="14">
        <v>-33481</v>
      </c>
      <c r="Z31" s="14">
        <v>56876</v>
      </c>
      <c r="AA31" s="14">
        <v>-1112</v>
      </c>
    </row>
    <row r="32" spans="1:27" x14ac:dyDescent="0.25">
      <c r="A32" s="11" t="s">
        <v>127</v>
      </c>
      <c r="B32" s="11" t="s">
        <v>128</v>
      </c>
      <c r="C32" s="14">
        <v>28079.755499999999</v>
      </c>
      <c r="D32" s="14">
        <v>15170.2444</v>
      </c>
      <c r="E32" s="14">
        <v>-5966.7093000000004</v>
      </c>
      <c r="F32" s="14">
        <v>9225.7093999999997</v>
      </c>
      <c r="G32" s="14">
        <v>7088</v>
      </c>
      <c r="H32" s="14">
        <v>-5541.8540000000003</v>
      </c>
      <c r="I32" s="14">
        <v>-43083.514999999999</v>
      </c>
      <c r="J32" s="14">
        <v>31073.368999999999</v>
      </c>
      <c r="K32" s="14">
        <v>25921</v>
      </c>
      <c r="L32" s="14">
        <v>-25554.276900000001</v>
      </c>
      <c r="M32" s="14">
        <v>-7462.4107999999997</v>
      </c>
      <c r="N32" s="14">
        <v>16507.687699999999</v>
      </c>
      <c r="O32" s="14">
        <v>-1003</v>
      </c>
      <c r="P32" s="14">
        <v>23317</v>
      </c>
      <c r="Q32" s="14">
        <v>-21345</v>
      </c>
      <c r="R32" s="14">
        <v>-8993</v>
      </c>
      <c r="S32" s="14">
        <v>24842</v>
      </c>
      <c r="T32" s="14">
        <v>553</v>
      </c>
      <c r="U32" s="14">
        <v>-25517</v>
      </c>
      <c r="V32" s="14">
        <v>-1404</v>
      </c>
      <c r="W32" s="14">
        <v>38202</v>
      </c>
      <c r="X32" s="14">
        <v>2776</v>
      </c>
      <c r="Y32" s="14">
        <v>-42145</v>
      </c>
      <c r="Z32" s="14">
        <v>2758</v>
      </c>
      <c r="AA32" s="14">
        <v>-10145</v>
      </c>
    </row>
    <row r="33" spans="1:27" x14ac:dyDescent="0.25">
      <c r="A33" s="1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x14ac:dyDescent="0.25">
      <c r="A34" s="11" t="s">
        <v>129</v>
      </c>
      <c r="B34" s="11" t="s">
        <v>130</v>
      </c>
      <c r="C34" s="15">
        <v>67.7</v>
      </c>
      <c r="D34" s="15">
        <v>71.407799999999995</v>
      </c>
      <c r="E34" s="15">
        <v>74.442400000000006</v>
      </c>
      <c r="F34" s="15">
        <v>78.066100000000006</v>
      </c>
      <c r="G34" s="15">
        <v>78.804900000000004</v>
      </c>
      <c r="H34" s="15">
        <v>78.481300000000005</v>
      </c>
      <c r="I34" s="15">
        <v>81.167500000000004</v>
      </c>
      <c r="J34" s="15">
        <v>81.973399999999998</v>
      </c>
      <c r="K34" s="15">
        <v>83.584900000000005</v>
      </c>
      <c r="L34" s="15">
        <v>79.948400000000007</v>
      </c>
      <c r="M34" s="15">
        <v>83.608699999999999</v>
      </c>
      <c r="N34" s="15">
        <v>82.616299999999995</v>
      </c>
      <c r="O34" s="15">
        <v>86.489900000000006</v>
      </c>
      <c r="P34" s="15">
        <v>83.034000000000006</v>
      </c>
      <c r="Q34" s="15">
        <v>86.730599999999995</v>
      </c>
      <c r="R34" s="15">
        <v>86.991200000000006</v>
      </c>
      <c r="S34" s="15">
        <v>90.811099999999996</v>
      </c>
      <c r="T34" s="15">
        <v>84.213200000000001</v>
      </c>
      <c r="U34" s="15">
        <v>90.227099999999993</v>
      </c>
      <c r="V34" s="15">
        <v>89.478200000000001</v>
      </c>
      <c r="W34" s="15">
        <v>94.931100000000001</v>
      </c>
      <c r="X34" s="15">
        <v>89.893000000000001</v>
      </c>
      <c r="Y34" s="15">
        <v>94.580299999999994</v>
      </c>
      <c r="Z34" s="15">
        <v>88.544700000000006</v>
      </c>
      <c r="AA34" s="15">
        <v>92.825299999999999</v>
      </c>
    </row>
    <row r="35" spans="1:27" x14ac:dyDescent="0.25">
      <c r="A35" s="11" t="s">
        <v>131</v>
      </c>
      <c r="B35" s="11" t="s">
        <v>132</v>
      </c>
      <c r="C35" s="15">
        <v>58.681800000000003</v>
      </c>
      <c r="D35" s="15">
        <v>57.3947</v>
      </c>
      <c r="E35" s="15">
        <v>60.828200000000002</v>
      </c>
      <c r="F35" s="15">
        <v>68.680300000000003</v>
      </c>
      <c r="G35" s="15">
        <v>68.034999999999997</v>
      </c>
      <c r="H35" s="15">
        <v>59.6098</v>
      </c>
      <c r="I35" s="15">
        <v>62.255099999999999</v>
      </c>
      <c r="J35" s="15">
        <v>72.618200000000002</v>
      </c>
      <c r="K35" s="15">
        <v>68.520499999999998</v>
      </c>
      <c r="L35" s="15">
        <v>64.511899999999997</v>
      </c>
      <c r="M35" s="15">
        <v>68.099999999999994</v>
      </c>
      <c r="N35" s="15">
        <v>66.925899999999999</v>
      </c>
      <c r="O35" s="15">
        <v>70.994299999999996</v>
      </c>
      <c r="P35" s="15">
        <v>67.592799999999997</v>
      </c>
      <c r="Q35" s="15">
        <v>71.346299999999999</v>
      </c>
      <c r="R35" s="15">
        <v>71.607900000000001</v>
      </c>
      <c r="S35" s="15">
        <v>75.695300000000003</v>
      </c>
      <c r="T35" s="15">
        <v>69.327600000000004</v>
      </c>
      <c r="U35" s="15">
        <v>74.808499999999995</v>
      </c>
      <c r="V35" s="15">
        <v>74.063999999999993</v>
      </c>
      <c r="W35" s="15">
        <v>79.803600000000003</v>
      </c>
      <c r="X35" s="15">
        <v>75.039900000000003</v>
      </c>
      <c r="Y35" s="15">
        <v>80.344099999999997</v>
      </c>
      <c r="Z35" s="15">
        <v>74.6571</v>
      </c>
      <c r="AA35" s="15">
        <v>79.064899999999994</v>
      </c>
    </row>
    <row r="36" spans="1:27" x14ac:dyDescent="0.25">
      <c r="A36" s="1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1" t="s">
        <v>133</v>
      </c>
      <c r="B37" s="11" t="s">
        <v>134</v>
      </c>
      <c r="C37" s="14">
        <v>2708692</v>
      </c>
      <c r="D37" s="14">
        <v>2878778</v>
      </c>
      <c r="E37" s="14">
        <v>2981568</v>
      </c>
      <c r="F37" s="14">
        <v>2975753</v>
      </c>
      <c r="G37" s="14">
        <v>3074928</v>
      </c>
      <c r="H37" s="14">
        <v>3101420</v>
      </c>
      <c r="I37" s="14">
        <v>3157683</v>
      </c>
      <c r="J37" s="14">
        <v>3144794</v>
      </c>
      <c r="K37" s="14">
        <v>3208835</v>
      </c>
      <c r="L37" s="14">
        <v>3128108</v>
      </c>
      <c r="M37" s="14">
        <v>3161180</v>
      </c>
      <c r="N37" s="14">
        <v>3214060</v>
      </c>
      <c r="O37" s="14">
        <v>3355852</v>
      </c>
      <c r="P37" s="14">
        <v>3764002</v>
      </c>
      <c r="Q37" s="14">
        <v>3853637</v>
      </c>
      <c r="R37" s="14">
        <v>3957801</v>
      </c>
      <c r="S37" s="14">
        <v>4142599</v>
      </c>
      <c r="T37" s="14">
        <v>4291332</v>
      </c>
      <c r="U37" s="14">
        <v>4437289</v>
      </c>
      <c r="V37" s="14">
        <v>4495930</v>
      </c>
      <c r="W37" s="14">
        <v>4718961</v>
      </c>
      <c r="X37" s="14">
        <v>4893737</v>
      </c>
      <c r="Y37" s="14">
        <v>5068957</v>
      </c>
      <c r="Z37" s="14">
        <v>5196669</v>
      </c>
      <c r="AA37" s="14">
        <v>5385820</v>
      </c>
    </row>
    <row r="38" spans="1:27" x14ac:dyDescent="0.25">
      <c r="A38" s="11" t="s">
        <v>135</v>
      </c>
      <c r="B38" s="11" t="s">
        <v>136</v>
      </c>
      <c r="C38" s="14">
        <v>0</v>
      </c>
      <c r="D38" s="14">
        <v>4420</v>
      </c>
      <c r="E38" s="14">
        <v>-4234</v>
      </c>
      <c r="F38" s="14">
        <v>-246</v>
      </c>
      <c r="G38" s="14">
        <v>0</v>
      </c>
      <c r="H38" s="14">
        <v>4929</v>
      </c>
      <c r="I38" s="14" t="s">
        <v>1033</v>
      </c>
      <c r="J38" s="14">
        <v>273</v>
      </c>
      <c r="K38" s="14" t="s">
        <v>1033</v>
      </c>
      <c r="L38" s="14" t="s">
        <v>1033</v>
      </c>
      <c r="M38" s="14" t="s">
        <v>1033</v>
      </c>
      <c r="N38" s="14">
        <v>-794</v>
      </c>
      <c r="O38" s="14">
        <v>391</v>
      </c>
      <c r="P38" s="14">
        <v>267</v>
      </c>
      <c r="Q38" s="14" t="s">
        <v>1033</v>
      </c>
      <c r="R38" s="14">
        <v>617</v>
      </c>
      <c r="S38" s="14" t="s">
        <v>1033</v>
      </c>
      <c r="T38" s="14" t="s">
        <v>1033</v>
      </c>
      <c r="U38" s="14" t="s">
        <v>1033</v>
      </c>
      <c r="V38" s="14">
        <v>0</v>
      </c>
      <c r="W38" s="14" t="s">
        <v>1033</v>
      </c>
      <c r="X38" s="14" t="s">
        <v>1033</v>
      </c>
      <c r="Y38" s="14" t="s">
        <v>1033</v>
      </c>
      <c r="Z38" s="14">
        <v>0</v>
      </c>
      <c r="AA38" s="14" t="s">
        <v>1033</v>
      </c>
    </row>
    <row r="39" spans="1:27" x14ac:dyDescent="0.25">
      <c r="A39" s="11" t="s">
        <v>137</v>
      </c>
      <c r="B39" s="11" t="s">
        <v>138</v>
      </c>
      <c r="C39" s="14">
        <v>13212</v>
      </c>
      <c r="D39" s="14">
        <v>9253.8588</v>
      </c>
      <c r="E39" s="14">
        <v>6660.3597</v>
      </c>
      <c r="F39" s="14">
        <v>8931</v>
      </c>
      <c r="G39" s="14">
        <v>9788</v>
      </c>
      <c r="H39" s="14">
        <v>11201.9018</v>
      </c>
      <c r="I39" s="14">
        <v>9956.2662999999993</v>
      </c>
      <c r="J39" s="14">
        <v>8506</v>
      </c>
      <c r="K39" s="14">
        <v>8440</v>
      </c>
      <c r="L39" s="14">
        <v>8898.0887999999995</v>
      </c>
      <c r="M39" s="14">
        <v>9258.6646999999994</v>
      </c>
      <c r="N39" s="14">
        <v>9973</v>
      </c>
      <c r="O39" s="14">
        <v>10013</v>
      </c>
      <c r="P39" s="14">
        <v>10299</v>
      </c>
      <c r="Q39" s="14">
        <v>10342</v>
      </c>
      <c r="R39" s="14">
        <v>10890</v>
      </c>
      <c r="S39" s="14">
        <v>9875</v>
      </c>
      <c r="T39" s="14">
        <v>11184</v>
      </c>
      <c r="U39" s="14">
        <v>11348</v>
      </c>
      <c r="V39" s="14">
        <v>11125</v>
      </c>
      <c r="W39" s="14">
        <v>11102</v>
      </c>
      <c r="X39" s="14">
        <v>13484</v>
      </c>
      <c r="Y39" s="14">
        <v>16754</v>
      </c>
      <c r="Z39" s="14">
        <v>17839</v>
      </c>
      <c r="AA39" s="14">
        <v>18262</v>
      </c>
    </row>
    <row r="40" spans="1:27" x14ac:dyDescent="0.25">
      <c r="A40" s="1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1" t="s">
        <v>139</v>
      </c>
      <c r="B41" s="11" t="s">
        <v>140</v>
      </c>
      <c r="C41" s="15">
        <v>6.1121999999999996</v>
      </c>
      <c r="D41" s="15">
        <v>5.6185</v>
      </c>
      <c r="E41" s="15">
        <v>5.7827999999999999</v>
      </c>
      <c r="F41" s="15">
        <v>5.6111000000000004</v>
      </c>
      <c r="G41" s="15">
        <v>5.1791</v>
      </c>
      <c r="H41" s="15">
        <v>5.8346</v>
      </c>
      <c r="I41" s="15">
        <v>5.6904000000000003</v>
      </c>
      <c r="J41" s="15">
        <v>5.9782000000000002</v>
      </c>
      <c r="K41" s="15">
        <v>5.7779999999999996</v>
      </c>
      <c r="L41" s="15">
        <v>6.3033000000000001</v>
      </c>
      <c r="M41" s="15">
        <v>6.6390000000000002</v>
      </c>
      <c r="N41" s="15">
        <v>6.8578999999999999</v>
      </c>
      <c r="O41" s="15">
        <v>7.1547999999999998</v>
      </c>
      <c r="P41" s="15">
        <v>6.8879000000000001</v>
      </c>
      <c r="Q41" s="15">
        <v>6.7750000000000004</v>
      </c>
      <c r="R41" s="15">
        <v>6.6795999999999998</v>
      </c>
      <c r="S41" s="15">
        <v>6.7145000000000001</v>
      </c>
      <c r="T41" s="15">
        <v>6.8129</v>
      </c>
      <c r="U41" s="15">
        <v>6.8220999999999998</v>
      </c>
      <c r="V41" s="15">
        <v>6.5815999999999999</v>
      </c>
      <c r="W41" s="15">
        <v>6.4603000000000002</v>
      </c>
      <c r="X41" s="15">
        <v>6.6044999999999998</v>
      </c>
      <c r="Y41" s="15">
        <v>6.6306000000000003</v>
      </c>
      <c r="Z41" s="15">
        <v>6.5091999999999999</v>
      </c>
      <c r="AA41" s="15">
        <v>6.6134000000000004</v>
      </c>
    </row>
    <row r="42" spans="1:27" x14ac:dyDescent="0.25">
      <c r="A42" s="11" t="s">
        <v>141</v>
      </c>
      <c r="B42" s="11" t="s">
        <v>142</v>
      </c>
      <c r="C42" s="15">
        <v>3.1070000000000002</v>
      </c>
      <c r="D42" s="15">
        <v>2.5358000000000001</v>
      </c>
      <c r="E42" s="15">
        <v>0.76219999999999999</v>
      </c>
      <c r="F42" s="15">
        <v>-7.7000000000000002E-3</v>
      </c>
      <c r="G42" s="15">
        <v>-7.6E-3</v>
      </c>
      <c r="H42" s="15">
        <v>5.6500000000000002E-2</v>
      </c>
      <c r="I42" s="15" t="s">
        <v>1033</v>
      </c>
      <c r="J42" s="15" t="s">
        <v>1033</v>
      </c>
      <c r="K42" s="15" t="s">
        <v>1033</v>
      </c>
      <c r="L42" s="15" t="s">
        <v>1033</v>
      </c>
      <c r="M42" s="15" t="s">
        <v>1033</v>
      </c>
      <c r="N42" s="15" t="s">
        <v>1033</v>
      </c>
      <c r="O42" s="15" t="s">
        <v>1033</v>
      </c>
      <c r="P42" s="15" t="s">
        <v>1033</v>
      </c>
      <c r="Q42" s="15" t="s">
        <v>1033</v>
      </c>
      <c r="R42" s="15" t="s">
        <v>1033</v>
      </c>
      <c r="S42" s="15" t="s">
        <v>1033</v>
      </c>
      <c r="T42" s="15" t="s">
        <v>1033</v>
      </c>
      <c r="U42" s="15" t="s">
        <v>1033</v>
      </c>
      <c r="V42" s="15" t="s">
        <v>1033</v>
      </c>
      <c r="W42" s="15" t="s">
        <v>1033</v>
      </c>
      <c r="X42" s="15" t="s">
        <v>1033</v>
      </c>
      <c r="Y42" s="15" t="s">
        <v>1033</v>
      </c>
      <c r="Z42" s="15" t="s">
        <v>1033</v>
      </c>
      <c r="AA42" s="15" t="s">
        <v>1033</v>
      </c>
    </row>
    <row r="43" spans="1:27" x14ac:dyDescent="0.25">
      <c r="A43" s="11" t="s">
        <v>143</v>
      </c>
      <c r="B43" s="11" t="s">
        <v>144</v>
      </c>
      <c r="C43" s="15">
        <v>38.883899999999997</v>
      </c>
      <c r="D43" s="15">
        <v>36.954599999999999</v>
      </c>
      <c r="E43" s="15">
        <v>57.771500000000003</v>
      </c>
      <c r="F43" s="15">
        <v>62.634999999999998</v>
      </c>
      <c r="G43" s="15">
        <v>66.940600000000003</v>
      </c>
      <c r="H43" s="15">
        <v>44.494999999999997</v>
      </c>
      <c r="I43" s="15">
        <v>43.863999999999997</v>
      </c>
      <c r="J43" s="15">
        <v>69.494299999999996</v>
      </c>
      <c r="K43" s="15">
        <v>62.665700000000001</v>
      </c>
      <c r="L43" s="15">
        <v>56.888800000000003</v>
      </c>
      <c r="M43" s="15">
        <v>56.974899999999998</v>
      </c>
      <c r="N43" s="15">
        <v>58.551000000000002</v>
      </c>
      <c r="O43" s="15">
        <v>57.161900000000003</v>
      </c>
      <c r="P43" s="15">
        <v>51.9129</v>
      </c>
      <c r="Q43" s="15">
        <v>53.823500000000003</v>
      </c>
      <c r="R43" s="15">
        <v>62.209699999999998</v>
      </c>
      <c r="S43" s="15">
        <v>57.852899999999998</v>
      </c>
      <c r="T43" s="15">
        <v>54.866700000000002</v>
      </c>
      <c r="U43" s="15">
        <v>54.888399999999997</v>
      </c>
      <c r="V43" s="15">
        <v>61.014000000000003</v>
      </c>
      <c r="W43" s="15">
        <v>57.6905</v>
      </c>
      <c r="X43" s="15">
        <v>57.026299999999999</v>
      </c>
      <c r="Y43" s="15">
        <v>54.018599999999999</v>
      </c>
      <c r="Z43" s="15">
        <v>61.909500000000001</v>
      </c>
      <c r="AA43" s="15">
        <v>58.496400000000001</v>
      </c>
    </row>
    <row r="44" spans="1:27" x14ac:dyDescent="0.25">
      <c r="A44" s="11" t="s">
        <v>145</v>
      </c>
      <c r="B44" s="11" t="s">
        <v>146</v>
      </c>
      <c r="C44" s="15">
        <v>101.41930000000001</v>
      </c>
      <c r="D44" s="15">
        <v>98.781899999999993</v>
      </c>
      <c r="E44" s="15">
        <v>97.804900000000004</v>
      </c>
      <c r="F44" s="15">
        <v>97.345100000000002</v>
      </c>
      <c r="G44" s="15">
        <v>95.763800000000003</v>
      </c>
      <c r="H44" s="15">
        <v>98.369299999999996</v>
      </c>
      <c r="I44" s="15">
        <v>102.7384</v>
      </c>
      <c r="J44" s="15">
        <v>102.4277</v>
      </c>
      <c r="K44" s="15">
        <v>97.9773</v>
      </c>
      <c r="L44" s="15">
        <v>98.847300000000004</v>
      </c>
      <c r="M44" s="15">
        <v>99.683000000000007</v>
      </c>
      <c r="N44" s="15">
        <v>101.95829999999999</v>
      </c>
      <c r="O44" s="15">
        <v>101.8377</v>
      </c>
      <c r="P44" s="15">
        <v>96.993099999999998</v>
      </c>
      <c r="Q44" s="15">
        <v>96.649699999999996</v>
      </c>
      <c r="R44" s="15">
        <v>96.957099999999997</v>
      </c>
      <c r="S44" s="15">
        <v>96.218100000000007</v>
      </c>
      <c r="T44" s="15">
        <v>97.940799999999996</v>
      </c>
      <c r="U44" s="15">
        <v>98.078199999999995</v>
      </c>
      <c r="V44" s="15">
        <v>101.922</v>
      </c>
      <c r="W44" s="15">
        <v>98.989599999999996</v>
      </c>
      <c r="X44" s="15">
        <v>97.126400000000004</v>
      </c>
      <c r="Y44" s="15">
        <v>101.2856</v>
      </c>
      <c r="Z44" s="15">
        <v>99.753799999999998</v>
      </c>
      <c r="AA44" s="15">
        <v>98.942099999999996</v>
      </c>
    </row>
    <row r="45" spans="1:27" x14ac:dyDescent="0.25">
      <c r="A45" s="11" t="s">
        <v>147</v>
      </c>
      <c r="B45" s="11" t="s">
        <v>148</v>
      </c>
      <c r="C45" s="15">
        <v>0.76400000000000001</v>
      </c>
      <c r="D45" s="15">
        <v>0.51880000000000004</v>
      </c>
      <c r="E45" s="15">
        <v>0.371</v>
      </c>
      <c r="F45" s="15">
        <v>0.4995</v>
      </c>
      <c r="G45" s="15">
        <v>0.51029999999999998</v>
      </c>
      <c r="H45" s="15">
        <v>0.62150000000000005</v>
      </c>
      <c r="I45" s="15">
        <v>0.55200000000000005</v>
      </c>
      <c r="J45" s="15">
        <v>0.45960000000000001</v>
      </c>
      <c r="K45" s="15">
        <v>0.41470000000000001</v>
      </c>
      <c r="L45" s="15">
        <v>0.43759999999999999</v>
      </c>
      <c r="M45" s="15">
        <v>0.45540000000000003</v>
      </c>
      <c r="N45" s="15">
        <v>0.48180000000000001</v>
      </c>
      <c r="O45" s="15">
        <v>0.47010000000000002</v>
      </c>
      <c r="P45" s="15">
        <v>0.47</v>
      </c>
      <c r="Q45" s="15">
        <v>0.45</v>
      </c>
      <c r="R45" s="15">
        <v>0.47870000000000001</v>
      </c>
      <c r="S45" s="15">
        <v>0.41220000000000001</v>
      </c>
      <c r="T45" s="15">
        <v>0.45929999999999999</v>
      </c>
      <c r="U45" s="15">
        <v>0.46889999999999998</v>
      </c>
      <c r="V45" s="15">
        <v>0.45019999999999999</v>
      </c>
      <c r="W45" s="15">
        <v>0.43490000000000001</v>
      </c>
      <c r="X45" s="15">
        <v>0.53410000000000002</v>
      </c>
      <c r="Y45" s="15">
        <v>0.66769999999999996</v>
      </c>
      <c r="Z45" s="15">
        <v>0.6865</v>
      </c>
      <c r="AA45" s="15">
        <v>0.69279999999999997</v>
      </c>
    </row>
    <row r="46" spans="1:27" x14ac:dyDescent="0.25">
      <c r="A46" s="11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1" t="s">
        <v>149</v>
      </c>
      <c r="B47" s="11" t="s">
        <v>150</v>
      </c>
      <c r="C47" s="15">
        <v>2.1488999999999998</v>
      </c>
      <c r="D47" s="15">
        <v>1.9863</v>
      </c>
      <c r="E47" s="15">
        <v>1.9859</v>
      </c>
      <c r="F47" s="15">
        <v>1.8117000000000001</v>
      </c>
      <c r="G47" s="15">
        <v>1.6415</v>
      </c>
      <c r="H47" s="15">
        <v>1.7838000000000001</v>
      </c>
      <c r="I47" s="15">
        <v>1.7756000000000001</v>
      </c>
      <c r="J47" s="15">
        <v>1.9262999999999999</v>
      </c>
      <c r="K47" s="15">
        <v>1.8846000000000001</v>
      </c>
      <c r="L47" s="15">
        <v>2.0964</v>
      </c>
      <c r="M47" s="15">
        <v>2.2351000000000001</v>
      </c>
      <c r="N47" s="15">
        <v>2.3161</v>
      </c>
      <c r="O47" s="15">
        <v>2.2892000000000001</v>
      </c>
      <c r="P47" s="15">
        <v>2.3311000000000002</v>
      </c>
      <c r="Q47" s="15">
        <v>2.3532999999999999</v>
      </c>
      <c r="R47" s="15">
        <v>2.4127999999999998</v>
      </c>
      <c r="S47" s="15">
        <v>2.3691</v>
      </c>
      <c r="T47" s="15">
        <v>2.3576000000000001</v>
      </c>
      <c r="U47" s="15">
        <v>2.3527999999999998</v>
      </c>
      <c r="V47" s="15">
        <v>2.3677999999999999</v>
      </c>
      <c r="W47" s="15">
        <v>2.3147000000000002</v>
      </c>
      <c r="X47" s="15">
        <v>2.3336000000000001</v>
      </c>
      <c r="Y47" s="15">
        <v>2.298</v>
      </c>
      <c r="Z47" s="15">
        <v>2.3191000000000002</v>
      </c>
      <c r="AA47" s="15">
        <v>2.2726000000000002</v>
      </c>
    </row>
    <row r="48" spans="1:27" x14ac:dyDescent="0.25">
      <c r="A48" s="11" t="s">
        <v>151</v>
      </c>
      <c r="B48" s="11" t="s">
        <v>152</v>
      </c>
      <c r="C48" s="15">
        <v>18.8965</v>
      </c>
      <c r="D48" s="15">
        <v>17.541</v>
      </c>
      <c r="E48" s="15">
        <v>16.7742</v>
      </c>
      <c r="F48" s="15">
        <v>14.668699999999999</v>
      </c>
      <c r="G48" s="15">
        <v>14.1717</v>
      </c>
      <c r="H48" s="15">
        <v>14.800599999999999</v>
      </c>
      <c r="I48" s="15">
        <v>14.2422</v>
      </c>
      <c r="J48" s="15">
        <v>15.355600000000001</v>
      </c>
      <c r="K48" s="15">
        <v>15.9108</v>
      </c>
      <c r="L48" s="15">
        <v>17.602499999999999</v>
      </c>
      <c r="M48" s="15">
        <v>18.048400000000001</v>
      </c>
      <c r="N48" s="15">
        <v>19.310700000000001</v>
      </c>
      <c r="O48" s="15">
        <v>19.4438</v>
      </c>
      <c r="P48" s="15">
        <v>20.956099999999999</v>
      </c>
      <c r="Q48" s="15">
        <v>20.753</v>
      </c>
      <c r="R48" s="15">
        <v>21.5976</v>
      </c>
      <c r="S48" s="15">
        <v>20.971399999999999</v>
      </c>
      <c r="T48" s="15">
        <v>22.617699999999999</v>
      </c>
      <c r="U48" s="15">
        <v>22.0307</v>
      </c>
      <c r="V48" s="15">
        <v>22.530999999999999</v>
      </c>
      <c r="W48" s="15">
        <v>21.6553</v>
      </c>
      <c r="X48" s="15">
        <v>23.3476</v>
      </c>
      <c r="Y48" s="15">
        <v>21.926100000000002</v>
      </c>
      <c r="Z48" s="15">
        <v>23.585999999999999</v>
      </c>
      <c r="AA48" s="15">
        <v>22.3246</v>
      </c>
    </row>
    <row r="49" spans="1:27" x14ac:dyDescent="0.25">
      <c r="A49" s="11" t="s">
        <v>153</v>
      </c>
      <c r="B49" s="11" t="s">
        <v>154</v>
      </c>
      <c r="C49" s="15">
        <v>18.8965</v>
      </c>
      <c r="D49" s="15">
        <v>17.541</v>
      </c>
      <c r="E49" s="15">
        <v>16.7742</v>
      </c>
      <c r="F49" s="15">
        <v>14.668699999999999</v>
      </c>
      <c r="G49" s="15">
        <v>14.1717</v>
      </c>
      <c r="H49" s="15">
        <v>14.800599999999999</v>
      </c>
      <c r="I49" s="15">
        <v>14.2422</v>
      </c>
      <c r="J49" s="15">
        <v>15.355600000000001</v>
      </c>
      <c r="K49" s="15">
        <v>15.9108</v>
      </c>
      <c r="L49" s="15">
        <v>17.602499999999999</v>
      </c>
      <c r="M49" s="15">
        <v>18.048400000000001</v>
      </c>
      <c r="N49" s="15">
        <v>19.310700000000001</v>
      </c>
      <c r="O49" s="15">
        <v>19.4438</v>
      </c>
      <c r="P49" s="15">
        <v>20.956099999999999</v>
      </c>
      <c r="Q49" s="15">
        <v>20.753</v>
      </c>
      <c r="R49" s="15">
        <v>21.5976</v>
      </c>
      <c r="S49" s="15">
        <v>20.971399999999999</v>
      </c>
      <c r="T49" s="15">
        <v>22.617699999999999</v>
      </c>
      <c r="U49" s="15">
        <v>22.0307</v>
      </c>
      <c r="V49" s="15">
        <v>22.530999999999999</v>
      </c>
      <c r="W49" s="15">
        <v>21.6553</v>
      </c>
      <c r="X49" s="15">
        <v>23.3476</v>
      </c>
      <c r="Y49" s="15">
        <v>21.926100000000002</v>
      </c>
      <c r="Z49" s="15">
        <v>23.585999999999999</v>
      </c>
      <c r="AA49" s="15">
        <v>22.3246</v>
      </c>
    </row>
    <row r="50" spans="1:27" x14ac:dyDescent="0.25">
      <c r="A50" s="1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1" t="s">
        <v>155</v>
      </c>
      <c r="B51" s="11" t="s">
        <v>156</v>
      </c>
      <c r="C51" s="15">
        <v>9.9343000000000004</v>
      </c>
      <c r="D51" s="15">
        <v>9.4939</v>
      </c>
      <c r="E51" s="15">
        <v>9.9880999999999993</v>
      </c>
      <c r="F51" s="15">
        <v>11.101699999999999</v>
      </c>
      <c r="G51" s="15">
        <v>10.3972</v>
      </c>
      <c r="H51" s="15">
        <v>9.8333999999999993</v>
      </c>
      <c r="I51" s="15">
        <v>10.262600000000001</v>
      </c>
      <c r="J51" s="15">
        <v>11.375299999999999</v>
      </c>
      <c r="K51" s="15">
        <v>9.9186999999999994</v>
      </c>
      <c r="L51" s="15">
        <v>9.3531999999999993</v>
      </c>
      <c r="M51" s="15">
        <v>9.8759999999999994</v>
      </c>
      <c r="N51" s="15">
        <v>9.4414999999999996</v>
      </c>
      <c r="O51" s="15">
        <v>9.8164999999999996</v>
      </c>
      <c r="P51" s="15">
        <v>9.0784000000000002</v>
      </c>
      <c r="Q51" s="15">
        <v>9.1270000000000007</v>
      </c>
      <c r="R51" s="15">
        <v>9.2012</v>
      </c>
      <c r="S51" s="15">
        <v>9.2806999999999995</v>
      </c>
      <c r="T51" s="15">
        <v>8.3567999999999998</v>
      </c>
      <c r="U51" s="15">
        <v>8.8547999999999991</v>
      </c>
      <c r="V51" s="15">
        <v>8.5017999999999994</v>
      </c>
      <c r="W51" s="15">
        <v>8.9435000000000002</v>
      </c>
      <c r="X51" s="15">
        <v>8.5028000000000006</v>
      </c>
      <c r="Y51" s="15">
        <v>9.0394000000000005</v>
      </c>
      <c r="Z51" s="15">
        <v>8.2052999999999994</v>
      </c>
      <c r="AA51" s="15">
        <v>8.5639000000000003</v>
      </c>
    </row>
    <row r="52" spans="1:27" x14ac:dyDescent="0.25">
      <c r="A52" s="11" t="s">
        <v>157</v>
      </c>
      <c r="B52" s="11" t="s">
        <v>158</v>
      </c>
      <c r="C52" s="15">
        <v>20.459800000000001</v>
      </c>
      <c r="D52" s="15">
        <v>18.5458</v>
      </c>
      <c r="E52" s="15">
        <v>19.390499999999999</v>
      </c>
      <c r="F52" s="15">
        <v>20.938300000000002</v>
      </c>
      <c r="G52" s="15">
        <v>22.275099999999998</v>
      </c>
      <c r="H52" s="15">
        <v>20.071000000000002</v>
      </c>
      <c r="I52" s="15">
        <v>21.1738</v>
      </c>
      <c r="J52" s="15">
        <v>24.133800000000001</v>
      </c>
      <c r="K52" s="15">
        <v>23.872900000000001</v>
      </c>
      <c r="L52" s="15">
        <v>22.365300000000001</v>
      </c>
      <c r="M52" s="15">
        <v>23.909700000000001</v>
      </c>
      <c r="N52" s="15">
        <v>22.4267</v>
      </c>
      <c r="O52" s="15">
        <v>22.5305</v>
      </c>
      <c r="P52" s="15">
        <v>21.339600000000001</v>
      </c>
      <c r="Q52" s="15">
        <v>22.723500000000001</v>
      </c>
      <c r="R52" s="15">
        <v>21.683900000000001</v>
      </c>
      <c r="S52" s="15">
        <v>22.669799999999999</v>
      </c>
      <c r="T52" s="15">
        <v>20.223600000000001</v>
      </c>
      <c r="U52" s="15">
        <v>21.1007</v>
      </c>
      <c r="V52" s="15">
        <v>20.1309</v>
      </c>
      <c r="W52" s="15">
        <v>22.105799999999999</v>
      </c>
      <c r="X52" s="15">
        <v>20.74</v>
      </c>
      <c r="Y52" s="15">
        <v>21.654900000000001</v>
      </c>
      <c r="Z52" s="15">
        <v>20.066099999999999</v>
      </c>
      <c r="AA52" s="15">
        <v>19.932099999999998</v>
      </c>
    </row>
    <row r="53" spans="1:27" x14ac:dyDescent="0.25">
      <c r="A53" s="1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x14ac:dyDescent="0.25">
      <c r="A54" s="11" t="s">
        <v>159</v>
      </c>
      <c r="B54" s="11" t="s">
        <v>160</v>
      </c>
      <c r="C54" s="14">
        <v>169209</v>
      </c>
      <c r="D54" s="14">
        <v>165495.1727</v>
      </c>
      <c r="E54" s="14">
        <v>175395.53570000001</v>
      </c>
      <c r="F54" s="14">
        <v>195522</v>
      </c>
      <c r="G54" s="14">
        <v>196179</v>
      </c>
      <c r="H54" s="14">
        <v>171882.3168</v>
      </c>
      <c r="I54" s="14">
        <v>179509.95879999999</v>
      </c>
      <c r="J54" s="14">
        <v>207502</v>
      </c>
      <c r="K54" s="14">
        <v>197579</v>
      </c>
      <c r="L54" s="14">
        <v>186017.2599</v>
      </c>
      <c r="M54" s="14">
        <v>196363.3365</v>
      </c>
      <c r="N54" s="14">
        <v>191214</v>
      </c>
      <c r="O54" s="14">
        <v>204709</v>
      </c>
      <c r="P54" s="14">
        <v>194901</v>
      </c>
      <c r="Q54" s="14">
        <v>205724</v>
      </c>
      <c r="R54" s="14">
        <v>205258</v>
      </c>
      <c r="S54" s="14">
        <v>218264</v>
      </c>
      <c r="T54" s="14">
        <v>199903</v>
      </c>
      <c r="U54" s="14">
        <v>210448</v>
      </c>
      <c r="V54" s="14">
        <v>206444</v>
      </c>
      <c r="W54" s="14">
        <v>224500</v>
      </c>
      <c r="X54" s="14">
        <v>211099</v>
      </c>
      <c r="Y54" s="14">
        <v>223246</v>
      </c>
      <c r="Z54" s="14">
        <v>210022</v>
      </c>
      <c r="AA54" s="14">
        <v>222422</v>
      </c>
    </row>
    <row r="55" spans="1:27" x14ac:dyDescent="0.25">
      <c r="A55" s="11" t="s">
        <v>161</v>
      </c>
      <c r="B55" s="11" t="s">
        <v>162</v>
      </c>
      <c r="C55" s="14">
        <v>827030</v>
      </c>
      <c r="D55" s="14">
        <v>892361</v>
      </c>
      <c r="E55" s="14">
        <v>904544</v>
      </c>
      <c r="F55" s="14">
        <v>933801</v>
      </c>
      <c r="G55" s="14">
        <v>880710</v>
      </c>
      <c r="H55" s="14">
        <v>856373</v>
      </c>
      <c r="I55" s="14">
        <v>847792</v>
      </c>
      <c r="J55" s="14">
        <v>859798</v>
      </c>
      <c r="K55" s="14">
        <v>827628</v>
      </c>
      <c r="L55" s="14">
        <v>831723</v>
      </c>
      <c r="M55" s="14">
        <v>821270</v>
      </c>
      <c r="N55" s="14">
        <v>852616</v>
      </c>
      <c r="O55" s="14">
        <v>908585</v>
      </c>
      <c r="P55" s="14">
        <v>913329</v>
      </c>
      <c r="Q55" s="14">
        <v>905334</v>
      </c>
      <c r="R55" s="14">
        <v>946593</v>
      </c>
      <c r="S55" s="14">
        <v>962796</v>
      </c>
      <c r="T55" s="14">
        <v>988464</v>
      </c>
      <c r="U55" s="14">
        <v>997350</v>
      </c>
      <c r="V55" s="14">
        <v>1025506</v>
      </c>
      <c r="W55" s="14">
        <v>1015569</v>
      </c>
      <c r="X55" s="14">
        <v>1017833</v>
      </c>
      <c r="Y55" s="14">
        <v>1030926</v>
      </c>
      <c r="Z55" s="14">
        <v>1046653</v>
      </c>
      <c r="AA55" s="14">
        <v>1115897</v>
      </c>
    </row>
    <row r="56" spans="1:27" x14ac:dyDescent="0.25">
      <c r="A56" s="8" t="s">
        <v>84</v>
      </c>
      <c r="B56" s="8"/>
      <c r="C56" s="8" t="s">
        <v>3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topLeftCell="L1" workbookViewId="0">
      <selection activeCell="X8" sqref="X8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163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164</v>
      </c>
    </row>
    <row r="5" spans="1:27" x14ac:dyDescent="0.25">
      <c r="A5" s="10" t="s">
        <v>31</v>
      </c>
      <c r="B5" s="10"/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44</v>
      </c>
      <c r="O5" s="6" t="s">
        <v>45</v>
      </c>
      <c r="P5" s="6" t="s">
        <v>46</v>
      </c>
      <c r="Q5" s="6" t="s">
        <v>47</v>
      </c>
      <c r="R5" s="6" t="s">
        <v>48</v>
      </c>
      <c r="S5" s="6" t="s">
        <v>49</v>
      </c>
      <c r="T5" s="6" t="s">
        <v>50</v>
      </c>
      <c r="U5" s="6" t="s">
        <v>51</v>
      </c>
      <c r="V5" s="6" t="s">
        <v>52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165</v>
      </c>
    </row>
    <row r="6" spans="1:27" x14ac:dyDescent="0.25">
      <c r="A6" s="7" t="s">
        <v>57</v>
      </c>
      <c r="B6" s="7" t="s">
        <v>58</v>
      </c>
      <c r="C6" s="20">
        <v>229869.15969999999</v>
      </c>
      <c r="D6" s="20">
        <v>220930.4442</v>
      </c>
      <c r="E6" s="20">
        <v>312953.58880000003</v>
      </c>
      <c r="F6" s="20">
        <v>331977.35499999998</v>
      </c>
      <c r="G6" s="20">
        <v>371273.87099999998</v>
      </c>
      <c r="H6" s="20">
        <v>382259.8407</v>
      </c>
      <c r="I6" s="20">
        <v>380096.47139999998</v>
      </c>
      <c r="J6" s="20">
        <v>431227.42499999999</v>
      </c>
      <c r="K6" s="20">
        <v>323437.32610000001</v>
      </c>
      <c r="L6" s="20">
        <v>372888.6067</v>
      </c>
      <c r="M6" s="20">
        <v>399736.92830000003</v>
      </c>
      <c r="N6" s="20">
        <v>437997.05660000001</v>
      </c>
      <c r="O6" s="20">
        <v>407172.9056</v>
      </c>
      <c r="P6" s="20">
        <v>421301.84289999999</v>
      </c>
      <c r="Q6" s="20">
        <v>489469.23680000001</v>
      </c>
      <c r="R6" s="20">
        <v>508555.23950000003</v>
      </c>
      <c r="S6" s="20">
        <v>411065.57199999999</v>
      </c>
      <c r="T6" s="20">
        <v>392435.34490000003</v>
      </c>
      <c r="U6" s="20">
        <v>373424.14610000001</v>
      </c>
      <c r="V6" s="20">
        <v>399271.31540000002</v>
      </c>
      <c r="W6" s="20">
        <v>482512.61900000001</v>
      </c>
      <c r="X6" s="20">
        <v>512600.45919999998</v>
      </c>
      <c r="Y6" s="20">
        <v>469628.36180000001</v>
      </c>
      <c r="Z6" s="20">
        <v>559199.26780000003</v>
      </c>
      <c r="AA6" s="23">
        <v>540210.46074581996</v>
      </c>
    </row>
    <row r="7" spans="1:27" x14ac:dyDescent="0.25">
      <c r="A7" s="11" t="s">
        <v>166</v>
      </c>
      <c r="B7" s="11" t="s">
        <v>167</v>
      </c>
      <c r="C7" s="14">
        <v>117477.45789999999</v>
      </c>
      <c r="D7" s="14">
        <v>113759.19929999999</v>
      </c>
      <c r="E7" s="14">
        <v>124514</v>
      </c>
      <c r="F7" s="14">
        <v>227269</v>
      </c>
      <c r="G7" s="14">
        <v>122653.35550000001</v>
      </c>
      <c r="H7" s="14">
        <v>78914.170400000003</v>
      </c>
      <c r="I7" s="14">
        <v>114245</v>
      </c>
      <c r="J7" s="14">
        <v>141209</v>
      </c>
      <c r="K7" s="14">
        <v>169538.18220000001</v>
      </c>
      <c r="L7" s="14">
        <v>164612.1876</v>
      </c>
      <c r="M7" s="14">
        <v>149361</v>
      </c>
      <c r="N7" s="14">
        <v>126487</v>
      </c>
      <c r="O7" s="14">
        <v>152596</v>
      </c>
      <c r="P7" s="14">
        <v>130800</v>
      </c>
      <c r="Q7" s="14">
        <v>167429</v>
      </c>
      <c r="R7" s="14">
        <v>214856</v>
      </c>
      <c r="S7" s="14">
        <v>205711</v>
      </c>
      <c r="T7" s="14">
        <v>142934</v>
      </c>
      <c r="U7" s="14">
        <v>142013</v>
      </c>
      <c r="V7" s="14">
        <v>179376</v>
      </c>
      <c r="W7" s="14">
        <v>185469</v>
      </c>
      <c r="X7" s="14">
        <v>145076</v>
      </c>
      <c r="Y7" s="14">
        <v>151967</v>
      </c>
      <c r="Z7" s="14">
        <v>135783</v>
      </c>
      <c r="AA7" s="17">
        <v>135783</v>
      </c>
    </row>
    <row r="8" spans="1:27" x14ac:dyDescent="0.25">
      <c r="A8" s="11" t="s">
        <v>168</v>
      </c>
      <c r="B8" s="11" t="s">
        <v>169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7">
        <v>0</v>
      </c>
    </row>
    <row r="9" spans="1:27" x14ac:dyDescent="0.25">
      <c r="A9" s="11" t="s">
        <v>170</v>
      </c>
      <c r="B9" s="11" t="s">
        <v>171</v>
      </c>
      <c r="C9" s="14">
        <v>2443.3182999999999</v>
      </c>
      <c r="D9" s="14">
        <v>2719.3337999999999</v>
      </c>
      <c r="E9" s="14">
        <v>2862</v>
      </c>
      <c r="F9" s="14">
        <v>2908</v>
      </c>
      <c r="G9" s="14">
        <v>3025.0468000000001</v>
      </c>
      <c r="H9" s="14">
        <v>2897.2237</v>
      </c>
      <c r="I9" s="14">
        <v>3006</v>
      </c>
      <c r="J9" s="14">
        <v>3074</v>
      </c>
      <c r="K9" s="14">
        <v>2720.2743999999998</v>
      </c>
      <c r="L9" s="14">
        <v>2828.6896999999999</v>
      </c>
      <c r="M9" s="14">
        <v>2989</v>
      </c>
      <c r="N9" s="14">
        <v>3180</v>
      </c>
      <c r="O9" s="14">
        <v>3189</v>
      </c>
      <c r="P9" s="14">
        <v>3184</v>
      </c>
      <c r="Q9" s="14">
        <v>-148</v>
      </c>
      <c r="R9" s="14">
        <v>-222</v>
      </c>
      <c r="S9" s="14">
        <v>-539</v>
      </c>
      <c r="T9" s="14">
        <v>-637</v>
      </c>
      <c r="U9" s="14">
        <v>-981</v>
      </c>
      <c r="V9" s="14">
        <v>-921</v>
      </c>
      <c r="W9" s="14">
        <v>-1475</v>
      </c>
      <c r="X9" s="14">
        <v>-1860</v>
      </c>
      <c r="Y9" s="14">
        <v>3123</v>
      </c>
      <c r="Z9" s="14">
        <v>3299</v>
      </c>
      <c r="AA9" s="17">
        <v>3299</v>
      </c>
    </row>
    <row r="10" spans="1:27" x14ac:dyDescent="0.25">
      <c r="A10" s="11" t="s">
        <v>172</v>
      </c>
      <c r="B10" s="11" t="s">
        <v>114</v>
      </c>
      <c r="C10" s="14">
        <v>472356.38890000002</v>
      </c>
      <c r="D10" s="14">
        <v>454277.99969999999</v>
      </c>
      <c r="E10" s="14">
        <v>410373</v>
      </c>
      <c r="F10" s="14">
        <v>572005</v>
      </c>
      <c r="G10" s="14">
        <v>473690.30959999998</v>
      </c>
      <c r="H10" s="14">
        <v>464319.10190000001</v>
      </c>
      <c r="I10" s="14">
        <v>462771</v>
      </c>
      <c r="J10" s="14">
        <v>584395</v>
      </c>
      <c r="K10" s="14">
        <v>538904.12849999999</v>
      </c>
      <c r="L10" s="14">
        <v>524574.39210000006</v>
      </c>
      <c r="M10" s="14">
        <v>551758</v>
      </c>
      <c r="N10" s="14">
        <v>556985</v>
      </c>
      <c r="O10" s="14">
        <v>572085</v>
      </c>
      <c r="P10" s="14">
        <v>598481</v>
      </c>
      <c r="Q10" s="14">
        <v>561667</v>
      </c>
      <c r="R10" s="14">
        <v>629217</v>
      </c>
      <c r="S10" s="14">
        <v>645071</v>
      </c>
      <c r="T10" s="14">
        <v>596860</v>
      </c>
      <c r="U10" s="14">
        <v>638712</v>
      </c>
      <c r="V10" s="14">
        <v>633367</v>
      </c>
      <c r="W10" s="14">
        <v>625014</v>
      </c>
      <c r="X10" s="14">
        <v>615397</v>
      </c>
      <c r="Y10" s="14">
        <v>635948</v>
      </c>
      <c r="Z10" s="14">
        <v>625553</v>
      </c>
      <c r="AA10" s="17">
        <v>625553</v>
      </c>
    </row>
    <row r="11" spans="1:27" x14ac:dyDescent="0.25">
      <c r="A11" s="7" t="s">
        <v>173</v>
      </c>
      <c r="B11" s="7" t="s">
        <v>174</v>
      </c>
      <c r="C11" s="20">
        <v>587191.40890000004</v>
      </c>
      <c r="D11" s="20">
        <v>564168.57849999995</v>
      </c>
      <c r="E11" s="20">
        <v>601674.58880000003</v>
      </c>
      <c r="F11" s="20">
        <v>679621.35499999998</v>
      </c>
      <c r="G11" s="20">
        <v>725335.87199999997</v>
      </c>
      <c r="H11" s="20">
        <v>770561.99589999998</v>
      </c>
      <c r="I11" s="20">
        <v>731628.47140000004</v>
      </c>
      <c r="J11" s="20">
        <v>877487.42500000005</v>
      </c>
      <c r="K11" s="20">
        <v>695523.54680000001</v>
      </c>
      <c r="L11" s="20">
        <v>735679.50100000005</v>
      </c>
      <c r="M11" s="20">
        <v>805122.92830000003</v>
      </c>
      <c r="N11" s="20">
        <v>871675.05660000001</v>
      </c>
      <c r="O11" s="20">
        <v>829850.90560000006</v>
      </c>
      <c r="P11" s="20">
        <v>892166.84290000005</v>
      </c>
      <c r="Q11" s="20">
        <v>883559.23679999996</v>
      </c>
      <c r="R11" s="20">
        <v>922694.23950000003</v>
      </c>
      <c r="S11" s="20">
        <v>849886.57200000004</v>
      </c>
      <c r="T11" s="20">
        <v>845724.34490000003</v>
      </c>
      <c r="U11" s="20">
        <v>869142.14610000001</v>
      </c>
      <c r="V11" s="20">
        <v>852341.31539999996</v>
      </c>
      <c r="W11" s="20">
        <v>920582.61899999995</v>
      </c>
      <c r="X11" s="20">
        <v>981061.45920000004</v>
      </c>
      <c r="Y11" s="20">
        <v>956732.36179999996</v>
      </c>
      <c r="Z11" s="20">
        <v>1052268.2678</v>
      </c>
      <c r="AA11" s="23">
        <v>1033279.46074582</v>
      </c>
    </row>
    <row r="12" spans="1:27" x14ac:dyDescent="0.25">
      <c r="A12" s="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2"/>
    </row>
    <row r="13" spans="1:27" x14ac:dyDescent="0.25">
      <c r="A13" s="7" t="s">
        <v>175</v>
      </c>
      <c r="B13" s="7" t="s">
        <v>176</v>
      </c>
      <c r="C13" s="20">
        <v>680700.8798</v>
      </c>
      <c r="D13" s="20">
        <v>671648.86919999996</v>
      </c>
      <c r="E13" s="20">
        <v>635477</v>
      </c>
      <c r="F13" s="20">
        <v>802147</v>
      </c>
      <c r="G13" s="20">
        <v>703012.67330000002</v>
      </c>
      <c r="H13" s="20">
        <v>701259.2844</v>
      </c>
      <c r="I13" s="20">
        <v>700011</v>
      </c>
      <c r="J13" s="20">
        <v>828486</v>
      </c>
      <c r="K13" s="20">
        <v>772152.16760000004</v>
      </c>
      <c r="L13" s="20">
        <v>768485.06559999997</v>
      </c>
      <c r="M13" s="20">
        <v>790790</v>
      </c>
      <c r="N13" s="20">
        <v>809555</v>
      </c>
      <c r="O13" s="20">
        <v>814699</v>
      </c>
      <c r="P13" s="20">
        <v>851749</v>
      </c>
      <c r="Q13" s="20">
        <v>810872</v>
      </c>
      <c r="R13" s="20">
        <v>890845</v>
      </c>
      <c r="S13" s="20">
        <v>887357</v>
      </c>
      <c r="T13" s="20">
        <v>850046</v>
      </c>
      <c r="U13" s="20">
        <v>887140</v>
      </c>
      <c r="V13" s="20">
        <v>899502</v>
      </c>
      <c r="W13" s="20">
        <v>876422</v>
      </c>
      <c r="X13" s="20">
        <v>876340</v>
      </c>
      <c r="Y13" s="20">
        <v>888161</v>
      </c>
      <c r="Z13" s="20">
        <v>889984</v>
      </c>
      <c r="AA13" s="23">
        <v>889984</v>
      </c>
    </row>
    <row r="14" spans="1:27" x14ac:dyDescent="0.25">
      <c r="A14" s="11" t="s">
        <v>177</v>
      </c>
      <c r="B14" s="11" t="s">
        <v>178</v>
      </c>
      <c r="C14" s="15">
        <v>69.392700000000005</v>
      </c>
      <c r="D14" s="15">
        <v>67.636200000000002</v>
      </c>
      <c r="E14" s="15">
        <v>64.577200000000005</v>
      </c>
      <c r="F14" s="15">
        <v>71.309200000000004</v>
      </c>
      <c r="G14" s="15">
        <v>67.380099999999999</v>
      </c>
      <c r="H14" s="15">
        <v>66.212199999999996</v>
      </c>
      <c r="I14" s="15">
        <v>66.109099999999998</v>
      </c>
      <c r="J14" s="15">
        <v>70.537700000000001</v>
      </c>
      <c r="K14" s="15">
        <v>69.792500000000004</v>
      </c>
      <c r="L14" s="15">
        <v>68.260800000000003</v>
      </c>
      <c r="M14" s="15">
        <v>69.772999999999996</v>
      </c>
      <c r="N14" s="15">
        <v>68.801400000000001</v>
      </c>
      <c r="O14" s="15">
        <v>70.220399999999998</v>
      </c>
      <c r="P14" s="15">
        <v>70.264899999999997</v>
      </c>
      <c r="Q14" s="15">
        <v>69.266999999999996</v>
      </c>
      <c r="R14" s="15">
        <v>70.631500000000003</v>
      </c>
      <c r="S14" s="15">
        <v>72.695800000000006</v>
      </c>
      <c r="T14" s="15">
        <v>70.215000000000003</v>
      </c>
      <c r="U14" s="15">
        <v>71.996799999999993</v>
      </c>
      <c r="V14" s="15">
        <v>70.4131</v>
      </c>
      <c r="W14" s="15">
        <v>71.314300000000003</v>
      </c>
      <c r="X14" s="15">
        <v>70.223500000000001</v>
      </c>
      <c r="Y14" s="15">
        <v>71.602800000000002</v>
      </c>
      <c r="Z14" s="15">
        <v>70.2881</v>
      </c>
      <c r="AA14" s="18">
        <v>70.288117539191703</v>
      </c>
    </row>
    <row r="15" spans="1:27" x14ac:dyDescent="0.25">
      <c r="A15" s="11" t="s">
        <v>179</v>
      </c>
      <c r="B15" s="11" t="s">
        <v>180</v>
      </c>
      <c r="C15" s="15">
        <v>0.8044</v>
      </c>
      <c r="D15" s="15">
        <v>0.80520000000000003</v>
      </c>
      <c r="E15" s="15">
        <v>0.68210000000000004</v>
      </c>
      <c r="F15" s="15">
        <v>0.8417</v>
      </c>
      <c r="G15" s="15">
        <v>0.65310000000000001</v>
      </c>
      <c r="H15" s="15">
        <v>0.60260000000000002</v>
      </c>
      <c r="I15" s="15">
        <v>0.63249999999999995</v>
      </c>
      <c r="J15" s="15">
        <v>0.66600000000000004</v>
      </c>
      <c r="K15" s="15">
        <v>0.77480000000000004</v>
      </c>
      <c r="L15" s="15">
        <v>0.71299999999999997</v>
      </c>
      <c r="M15" s="15">
        <v>0.68530000000000002</v>
      </c>
      <c r="N15" s="15">
        <v>0.63900000000000001</v>
      </c>
      <c r="O15" s="15">
        <v>0.68940000000000001</v>
      </c>
      <c r="P15" s="15">
        <v>0.67079999999999995</v>
      </c>
      <c r="Q15" s="15">
        <v>0.63570000000000004</v>
      </c>
      <c r="R15" s="15">
        <v>0.68189999999999995</v>
      </c>
      <c r="S15" s="15">
        <v>0.75900000000000001</v>
      </c>
      <c r="T15" s="15">
        <v>0.70569999999999999</v>
      </c>
      <c r="U15" s="15">
        <v>0.7349</v>
      </c>
      <c r="V15" s="15">
        <v>0.74309999999999998</v>
      </c>
      <c r="W15" s="15">
        <v>0.67889999999999995</v>
      </c>
      <c r="X15" s="15">
        <v>0.62729999999999997</v>
      </c>
      <c r="Y15" s="15">
        <v>0.66469999999999996</v>
      </c>
      <c r="Z15" s="15">
        <v>0.59450000000000003</v>
      </c>
      <c r="AA15" s="18">
        <v>0.60540543363600496</v>
      </c>
    </row>
    <row r="16" spans="1:27" x14ac:dyDescent="0.25">
      <c r="A16" s="11" t="s">
        <v>181</v>
      </c>
      <c r="B16" s="11" t="s">
        <v>182</v>
      </c>
      <c r="C16" s="15">
        <v>2.5545</v>
      </c>
      <c r="D16" s="15">
        <v>2.5535999999999999</v>
      </c>
      <c r="E16" s="15">
        <v>1.9226000000000001</v>
      </c>
      <c r="F16" s="15">
        <v>2.0472000000000001</v>
      </c>
      <c r="G16" s="15">
        <v>1.9536</v>
      </c>
      <c r="H16" s="15">
        <v>2.0158</v>
      </c>
      <c r="I16" s="15">
        <v>1.9248000000000001</v>
      </c>
      <c r="J16" s="15">
        <v>2.0348999999999999</v>
      </c>
      <c r="K16" s="15">
        <v>2.1503999999999999</v>
      </c>
      <c r="L16" s="15">
        <v>1.9729000000000001</v>
      </c>
      <c r="M16" s="15">
        <v>2.0141</v>
      </c>
      <c r="N16" s="15">
        <v>1.9901</v>
      </c>
      <c r="O16" s="15">
        <v>2.0381</v>
      </c>
      <c r="P16" s="15">
        <v>2.1175999999999999</v>
      </c>
      <c r="Q16" s="15">
        <v>1.8050999999999999</v>
      </c>
      <c r="R16" s="15">
        <v>1.8143</v>
      </c>
      <c r="S16" s="15">
        <v>2.0674999999999999</v>
      </c>
      <c r="T16" s="15">
        <v>2.1551</v>
      </c>
      <c r="U16" s="15">
        <v>2.3275000000000001</v>
      </c>
      <c r="V16" s="15">
        <v>2.1347</v>
      </c>
      <c r="W16" s="15">
        <v>1.9078999999999999</v>
      </c>
      <c r="X16" s="15">
        <v>1.9138999999999999</v>
      </c>
      <c r="Y16" s="15">
        <v>2.0371999999999999</v>
      </c>
      <c r="Z16" s="15">
        <v>1.8816999999999999</v>
      </c>
      <c r="AA16" s="18">
        <v>1.9127350094614299</v>
      </c>
    </row>
    <row r="17" spans="1:27" x14ac:dyDescent="0.25">
      <c r="A17" s="7" t="s">
        <v>183</v>
      </c>
      <c r="B17" s="7" t="s">
        <v>184</v>
      </c>
      <c r="C17" s="21">
        <v>5.2470999999999997</v>
      </c>
      <c r="D17" s="21">
        <v>5.3517999999999999</v>
      </c>
      <c r="E17" s="21">
        <v>6.2991000000000001</v>
      </c>
      <c r="F17" s="21">
        <v>6.4565000000000001</v>
      </c>
      <c r="G17" s="21" t="s">
        <v>1033</v>
      </c>
      <c r="H17" s="21" t="s">
        <v>1033</v>
      </c>
      <c r="I17" s="21" t="s">
        <v>1033</v>
      </c>
      <c r="J17" s="21" t="s">
        <v>1033</v>
      </c>
      <c r="K17" s="21">
        <v>5.0225</v>
      </c>
      <c r="L17" s="21">
        <v>4.2168000000000001</v>
      </c>
      <c r="M17" s="21">
        <v>3.6945000000000001</v>
      </c>
      <c r="N17" s="21">
        <v>3.5204</v>
      </c>
      <c r="O17" s="21">
        <v>2.9657</v>
      </c>
      <c r="P17" s="21">
        <v>2.9068000000000001</v>
      </c>
      <c r="Q17" s="21">
        <v>2.7431000000000001</v>
      </c>
      <c r="R17" s="21">
        <v>2.7984</v>
      </c>
      <c r="S17" s="21">
        <v>2.5722</v>
      </c>
      <c r="T17" s="21">
        <v>2.5306999999999999</v>
      </c>
      <c r="U17" s="21">
        <v>2.5057999999999998</v>
      </c>
      <c r="V17" s="21">
        <v>2.3589000000000002</v>
      </c>
      <c r="W17" s="21">
        <v>2.4914999999999998</v>
      </c>
      <c r="X17" s="21">
        <v>2.7179000000000002</v>
      </c>
      <c r="Y17" s="21">
        <v>2.7665999999999999</v>
      </c>
      <c r="Z17" s="21">
        <v>3.2675000000000001</v>
      </c>
      <c r="AA17" s="24">
        <v>3.20857373763207</v>
      </c>
    </row>
    <row r="18" spans="1:27" x14ac:dyDescent="0.25">
      <c r="A18" s="7" t="s">
        <v>185</v>
      </c>
      <c r="B18" s="7" t="s">
        <v>186</v>
      </c>
      <c r="C18" s="21">
        <v>13.178000000000001</v>
      </c>
      <c r="D18" s="21">
        <v>12.6357</v>
      </c>
      <c r="E18" s="21">
        <v>14.952299999999999</v>
      </c>
      <c r="F18" s="21">
        <v>17.408999999999999</v>
      </c>
      <c r="G18" s="21">
        <v>17.829599999999999</v>
      </c>
      <c r="H18" s="21">
        <v>19.0687</v>
      </c>
      <c r="I18" s="21">
        <v>16.695499999999999</v>
      </c>
      <c r="J18" s="21">
        <v>18.305800000000001</v>
      </c>
      <c r="K18" s="21">
        <v>13.266299999999999</v>
      </c>
      <c r="L18" s="21">
        <v>12.9887</v>
      </c>
      <c r="M18" s="21">
        <v>13.194000000000001</v>
      </c>
      <c r="N18" s="21">
        <v>13.7453</v>
      </c>
      <c r="O18" s="21">
        <v>12.593299999999999</v>
      </c>
      <c r="P18" s="21">
        <v>13.1274</v>
      </c>
      <c r="Q18" s="21">
        <v>12.7019</v>
      </c>
      <c r="R18" s="21">
        <v>12.863799999999999</v>
      </c>
      <c r="S18" s="21">
        <v>11.759399999999999</v>
      </c>
      <c r="T18" s="21">
        <v>11.4391</v>
      </c>
      <c r="U18" s="21">
        <v>11.548999999999999</v>
      </c>
      <c r="V18" s="21">
        <v>11.0344</v>
      </c>
      <c r="W18" s="21">
        <v>11.766299999999999</v>
      </c>
      <c r="X18" s="21">
        <v>12.724500000000001</v>
      </c>
      <c r="Y18" s="21">
        <v>11.689399999999999</v>
      </c>
      <c r="Z18" s="21">
        <v>12.8354</v>
      </c>
      <c r="AA18" s="24">
        <v>12.6037357071774</v>
      </c>
    </row>
    <row r="19" spans="1:27" x14ac:dyDescent="0.25">
      <c r="A19" s="7" t="s">
        <v>187</v>
      </c>
      <c r="B19" s="7" t="s">
        <v>188</v>
      </c>
      <c r="C19" s="21">
        <v>2.8517999999999999</v>
      </c>
      <c r="D19" s="21">
        <v>2.6282999999999999</v>
      </c>
      <c r="E19" s="21">
        <v>2.7073</v>
      </c>
      <c r="F19" s="21">
        <v>2.9908000000000001</v>
      </c>
      <c r="G19" s="21">
        <v>3.2052</v>
      </c>
      <c r="H19" s="21">
        <v>3.2924000000000002</v>
      </c>
      <c r="I19" s="21">
        <v>3.1234999999999999</v>
      </c>
      <c r="J19" s="21">
        <v>3.6408</v>
      </c>
      <c r="K19" s="21">
        <v>3.0171000000000001</v>
      </c>
      <c r="L19" s="21">
        <v>3.0516000000000001</v>
      </c>
      <c r="M19" s="21">
        <v>3.4108999999999998</v>
      </c>
      <c r="N19" s="21">
        <v>3.4952000000000001</v>
      </c>
      <c r="O19" s="21">
        <v>3.4660000000000002</v>
      </c>
      <c r="P19" s="21">
        <v>3.5674999999999999</v>
      </c>
      <c r="Q19" s="21">
        <v>3.5434000000000001</v>
      </c>
      <c r="R19" s="21">
        <v>3.5238</v>
      </c>
      <c r="S19" s="21">
        <v>3.5</v>
      </c>
      <c r="T19" s="21">
        <v>3.3319000000000001</v>
      </c>
      <c r="U19" s="21">
        <v>3.4847999999999999</v>
      </c>
      <c r="V19" s="21">
        <v>3.1916000000000002</v>
      </c>
      <c r="W19" s="21">
        <v>3.6402999999999999</v>
      </c>
      <c r="X19" s="21">
        <v>3.7330999999999999</v>
      </c>
      <c r="Y19" s="21">
        <v>3.8409</v>
      </c>
      <c r="Z19" s="21">
        <v>4.0296000000000003</v>
      </c>
      <c r="AA19" s="24">
        <v>3.9569239340479898</v>
      </c>
    </row>
    <row r="20" spans="1:27" x14ac:dyDescent="0.25">
      <c r="A20" s="7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2"/>
    </row>
    <row r="21" spans="1:27" x14ac:dyDescent="0.25">
      <c r="A21" s="7" t="s">
        <v>189</v>
      </c>
      <c r="B21" s="7" t="s">
        <v>190</v>
      </c>
      <c r="C21" s="20">
        <v>229872.62</v>
      </c>
      <c r="D21" s="20">
        <v>220930.4442</v>
      </c>
      <c r="E21" s="20">
        <v>300879.20520000003</v>
      </c>
      <c r="F21" s="20">
        <v>331977.35499999998</v>
      </c>
      <c r="G21" s="20">
        <v>371279.46</v>
      </c>
      <c r="H21" s="20">
        <v>382259.8407</v>
      </c>
      <c r="I21" s="20">
        <v>369713.6972</v>
      </c>
      <c r="J21" s="20">
        <v>431227.42499999999</v>
      </c>
      <c r="K21" s="20">
        <v>323437.32610000001</v>
      </c>
      <c r="L21" s="20">
        <v>372888.6067</v>
      </c>
      <c r="M21" s="20">
        <v>403424.41210000002</v>
      </c>
      <c r="N21" s="20">
        <v>437997.05660000001</v>
      </c>
      <c r="O21" s="20">
        <v>407172.9056</v>
      </c>
      <c r="P21" s="20">
        <v>421301.84289999999</v>
      </c>
      <c r="Q21" s="20">
        <v>492379.04800000001</v>
      </c>
      <c r="R21" s="20">
        <v>508555.23950000003</v>
      </c>
      <c r="S21" s="20">
        <v>411065.57199999999</v>
      </c>
      <c r="T21" s="20">
        <v>402242.19429999997</v>
      </c>
      <c r="U21" s="20">
        <v>368015.86729999998</v>
      </c>
      <c r="V21" s="20">
        <v>399271.31540000002</v>
      </c>
      <c r="W21" s="20">
        <v>487256.69270000001</v>
      </c>
      <c r="X21" s="20">
        <v>518971.12770000001</v>
      </c>
      <c r="Y21" s="20">
        <v>475095.17599999998</v>
      </c>
      <c r="Z21" s="20">
        <v>559199.26780000003</v>
      </c>
      <c r="AA21" s="23">
        <v>540210.45731179102</v>
      </c>
    </row>
    <row r="22" spans="1:27" x14ac:dyDescent="0.25">
      <c r="A22" s="7" t="s">
        <v>191</v>
      </c>
      <c r="B22" s="7" t="s">
        <v>192</v>
      </c>
      <c r="C22" s="20">
        <v>587191.40890000004</v>
      </c>
      <c r="D22" s="20">
        <v>564168.57849999995</v>
      </c>
      <c r="E22" s="20">
        <v>601674.58880000003</v>
      </c>
      <c r="F22" s="20">
        <v>679621.35499999998</v>
      </c>
      <c r="G22" s="20">
        <v>725335.87199999997</v>
      </c>
      <c r="H22" s="20">
        <v>770561.99589999998</v>
      </c>
      <c r="I22" s="20">
        <v>731628.47140000004</v>
      </c>
      <c r="J22" s="20">
        <v>877487.42500000005</v>
      </c>
      <c r="K22" s="20">
        <v>695523.54680000001</v>
      </c>
      <c r="L22" s="20">
        <v>735679.50100000005</v>
      </c>
      <c r="M22" s="20">
        <v>820543.33840000001</v>
      </c>
      <c r="N22" s="20">
        <v>871675.05660000001</v>
      </c>
      <c r="O22" s="20">
        <v>829850.90560000006</v>
      </c>
      <c r="P22" s="20">
        <v>892166.84290000005</v>
      </c>
      <c r="Q22" s="20">
        <v>883559.23679999996</v>
      </c>
      <c r="R22" s="20">
        <v>922694.23950000003</v>
      </c>
      <c r="S22" s="20">
        <v>849886.57200000004</v>
      </c>
      <c r="T22" s="20">
        <v>845724.34490000003</v>
      </c>
      <c r="U22" s="20">
        <v>869142.14610000001</v>
      </c>
      <c r="V22" s="20">
        <v>852341.31539999996</v>
      </c>
      <c r="W22" s="20">
        <v>920582.61899999995</v>
      </c>
      <c r="X22" s="20">
        <v>981061.45920000004</v>
      </c>
      <c r="Y22" s="20">
        <v>956732.36179999996</v>
      </c>
      <c r="Z22" s="20">
        <v>1052268.2678</v>
      </c>
      <c r="AA22" s="23">
        <v>1033279.45731179</v>
      </c>
    </row>
    <row r="23" spans="1:27" x14ac:dyDescent="0.25">
      <c r="A23" s="7" t="s">
        <v>193</v>
      </c>
      <c r="B23" s="7" t="s">
        <v>194</v>
      </c>
      <c r="C23" s="21">
        <v>203.64150000000001</v>
      </c>
      <c r="D23" s="21">
        <v>195.65700000000001</v>
      </c>
      <c r="E23" s="21">
        <v>211.34790000000001</v>
      </c>
      <c r="F23" s="21">
        <v>235.69319999999999</v>
      </c>
      <c r="G23" s="21">
        <v>251.55080000000001</v>
      </c>
      <c r="H23" s="21">
        <v>267.2355</v>
      </c>
      <c r="I23" s="21">
        <v>256.04349999999999</v>
      </c>
      <c r="J23" s="21">
        <v>304.31330000000003</v>
      </c>
      <c r="K23" s="21">
        <v>241.21170000000001</v>
      </c>
      <c r="L23" s="21">
        <v>255.13810000000001</v>
      </c>
      <c r="M23" s="21">
        <v>281.79719999999998</v>
      </c>
      <c r="N23" s="21">
        <v>302.3021</v>
      </c>
      <c r="O23" s="21">
        <v>287.79730000000001</v>
      </c>
      <c r="P23" s="21">
        <v>309.40879999999999</v>
      </c>
      <c r="Q23" s="21">
        <v>308.24529999999999</v>
      </c>
      <c r="R23" s="21">
        <v>319.99590000000001</v>
      </c>
      <c r="S23" s="21">
        <v>294.7457</v>
      </c>
      <c r="T23" s="21">
        <v>300.6318</v>
      </c>
      <c r="U23" s="21">
        <v>311.8143</v>
      </c>
      <c r="V23" s="21">
        <v>302.98399999999998</v>
      </c>
      <c r="W23" s="21">
        <v>327.24189999999999</v>
      </c>
      <c r="X23" s="21">
        <v>353.07459999999998</v>
      </c>
      <c r="Y23" s="21">
        <v>340.09210000000002</v>
      </c>
      <c r="Z23" s="21">
        <v>374.05250000000001</v>
      </c>
      <c r="AA23" s="24">
        <v>374.05250386687902</v>
      </c>
    </row>
    <row r="24" spans="1:27" x14ac:dyDescent="0.25">
      <c r="A24" s="7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2"/>
    </row>
    <row r="25" spans="1:27" x14ac:dyDescent="0.25">
      <c r="A25" s="7" t="s">
        <v>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2"/>
    </row>
    <row r="26" spans="1:27" x14ac:dyDescent="0.25">
      <c r="A26" s="12" t="s">
        <v>195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7"/>
    </row>
    <row r="27" spans="1:27" x14ac:dyDescent="0.25">
      <c r="A27" s="11" t="s">
        <v>196</v>
      </c>
      <c r="B27" s="11" t="s">
        <v>197</v>
      </c>
      <c r="C27" s="13" t="s">
        <v>198</v>
      </c>
      <c r="D27" s="13" t="s">
        <v>198</v>
      </c>
      <c r="E27" s="13" t="s">
        <v>198</v>
      </c>
      <c r="F27" s="13" t="s">
        <v>198</v>
      </c>
      <c r="G27" s="13" t="s">
        <v>198</v>
      </c>
      <c r="H27" s="13" t="s">
        <v>198</v>
      </c>
      <c r="I27" s="13" t="s">
        <v>198</v>
      </c>
      <c r="J27" s="13" t="s">
        <v>198</v>
      </c>
      <c r="K27" s="13" t="s">
        <v>198</v>
      </c>
      <c r="L27" s="13" t="s">
        <v>198</v>
      </c>
      <c r="M27" s="13" t="s">
        <v>198</v>
      </c>
      <c r="N27" s="13" t="s">
        <v>198</v>
      </c>
      <c r="O27" s="13" t="s">
        <v>198</v>
      </c>
      <c r="P27" s="13" t="s">
        <v>198</v>
      </c>
      <c r="Q27" s="13" t="s">
        <v>198</v>
      </c>
      <c r="R27" s="13" t="s">
        <v>198</v>
      </c>
      <c r="S27" s="13" t="s">
        <v>198</v>
      </c>
      <c r="T27" s="13" t="s">
        <v>198</v>
      </c>
      <c r="U27" s="13" t="s">
        <v>198</v>
      </c>
      <c r="V27" s="13" t="s">
        <v>198</v>
      </c>
      <c r="W27" s="13" t="s">
        <v>198</v>
      </c>
      <c r="X27" s="13" t="s">
        <v>198</v>
      </c>
      <c r="Y27" s="13" t="s">
        <v>198</v>
      </c>
      <c r="Z27" s="13" t="s">
        <v>198</v>
      </c>
      <c r="AA27" s="16" t="s">
        <v>198</v>
      </c>
    </row>
    <row r="28" spans="1:27" x14ac:dyDescent="0.25">
      <c r="A28" s="11" t="s">
        <v>199</v>
      </c>
      <c r="B28" s="11" t="s">
        <v>200</v>
      </c>
      <c r="C28" s="14">
        <v>111908.21339999999</v>
      </c>
      <c r="D28" s="14">
        <v>105417.1651</v>
      </c>
      <c r="E28" s="14">
        <v>95517.895199999999</v>
      </c>
      <c r="F28" s="14">
        <v>105261.85890000001</v>
      </c>
      <c r="G28" s="14" t="s">
        <v>1033</v>
      </c>
      <c r="H28" s="14" t="s">
        <v>1033</v>
      </c>
      <c r="I28" s="14" t="s">
        <v>1033</v>
      </c>
      <c r="J28" s="14" t="s">
        <v>1033</v>
      </c>
      <c r="K28" s="14">
        <v>138480.9791</v>
      </c>
      <c r="L28" s="14">
        <v>174462.66880000001</v>
      </c>
      <c r="M28" s="14">
        <v>217921.7885</v>
      </c>
      <c r="N28" s="14">
        <v>247608.7885</v>
      </c>
      <c r="O28" s="14">
        <v>279815.78840000002</v>
      </c>
      <c r="P28" s="14">
        <v>306921.53009999997</v>
      </c>
      <c r="Q28" s="14">
        <v>322106</v>
      </c>
      <c r="R28" s="14">
        <v>329722</v>
      </c>
      <c r="S28" s="14">
        <v>330410</v>
      </c>
      <c r="T28" s="14">
        <v>334192</v>
      </c>
      <c r="U28" s="14">
        <v>346850</v>
      </c>
      <c r="V28" s="14">
        <v>361324</v>
      </c>
      <c r="W28" s="14">
        <v>369491</v>
      </c>
      <c r="X28" s="14">
        <v>360963</v>
      </c>
      <c r="Y28" s="14">
        <v>345811</v>
      </c>
      <c r="Z28" s="14">
        <v>322037</v>
      </c>
      <c r="AA28" s="17">
        <v>322037</v>
      </c>
    </row>
    <row r="29" spans="1:27" x14ac:dyDescent="0.25">
      <c r="A29" s="11" t="s">
        <v>201</v>
      </c>
      <c r="B29" s="11" t="s">
        <v>202</v>
      </c>
      <c r="C29" s="14">
        <v>44558.407899999998</v>
      </c>
      <c r="D29" s="14">
        <v>44648.731399999997</v>
      </c>
      <c r="E29" s="14">
        <v>40239.474499999997</v>
      </c>
      <c r="F29" s="14">
        <v>39038.474499999997</v>
      </c>
      <c r="G29" s="14">
        <v>40681.474499999997</v>
      </c>
      <c r="H29" s="14">
        <v>40409.830600000001</v>
      </c>
      <c r="I29" s="14">
        <v>43821.982600000003</v>
      </c>
      <c r="J29" s="14">
        <v>47934.982600000003</v>
      </c>
      <c r="K29" s="14">
        <v>52427.982600000003</v>
      </c>
      <c r="L29" s="14">
        <v>56639.982600000003</v>
      </c>
      <c r="M29" s="14">
        <v>61022.126199999999</v>
      </c>
      <c r="N29" s="14">
        <v>63416.126199999999</v>
      </c>
      <c r="O29" s="14">
        <v>65896.126199999999</v>
      </c>
      <c r="P29" s="14">
        <v>67962.126199999999</v>
      </c>
      <c r="Q29" s="14">
        <v>69561</v>
      </c>
      <c r="R29" s="14">
        <v>71728</v>
      </c>
      <c r="S29" s="14">
        <v>72273</v>
      </c>
      <c r="T29" s="14">
        <v>73933</v>
      </c>
      <c r="U29" s="14">
        <v>75257</v>
      </c>
      <c r="V29" s="14">
        <v>77244</v>
      </c>
      <c r="W29" s="14">
        <v>78239</v>
      </c>
      <c r="X29" s="14">
        <v>77100</v>
      </c>
      <c r="Y29" s="14">
        <v>81846</v>
      </c>
      <c r="Z29" s="14">
        <v>81982</v>
      </c>
      <c r="AA29" s="17">
        <v>81982</v>
      </c>
    </row>
    <row r="30" spans="1:27" x14ac:dyDescent="0.25">
      <c r="A30" s="11" t="s">
        <v>203</v>
      </c>
      <c r="B30" s="11" t="s">
        <v>60</v>
      </c>
      <c r="C30" s="14">
        <v>205901.1727</v>
      </c>
      <c r="D30" s="14">
        <v>214651.53570000001</v>
      </c>
      <c r="E30" s="14">
        <v>222242</v>
      </c>
      <c r="F30" s="14">
        <v>227234</v>
      </c>
      <c r="G30" s="14">
        <v>226297.3168</v>
      </c>
      <c r="H30" s="14">
        <v>234042.95879999999</v>
      </c>
      <c r="I30" s="14">
        <v>234234</v>
      </c>
      <c r="J30" s="14">
        <v>241017</v>
      </c>
      <c r="K30" s="14">
        <v>230527.7648</v>
      </c>
      <c r="L30" s="14">
        <v>241081.98379999999</v>
      </c>
      <c r="M30" s="14">
        <v>236043</v>
      </c>
      <c r="N30" s="14">
        <v>249390</v>
      </c>
      <c r="O30" s="14">
        <v>239425</v>
      </c>
      <c r="P30" s="14">
        <v>250084</v>
      </c>
      <c r="Q30" s="14">
        <v>249353</v>
      </c>
      <c r="R30" s="14">
        <v>261850</v>
      </c>
      <c r="S30" s="14">
        <v>242825</v>
      </c>
      <c r="T30" s="14">
        <v>253823</v>
      </c>
      <c r="U30" s="14">
        <v>249409</v>
      </c>
      <c r="V30" s="14">
        <v>267056</v>
      </c>
      <c r="W30" s="14">
        <v>252883</v>
      </c>
      <c r="X30" s="14">
        <v>262803</v>
      </c>
      <c r="Y30" s="14">
        <v>249090</v>
      </c>
      <c r="Z30" s="14">
        <v>261132</v>
      </c>
      <c r="AA30" s="17">
        <v>261132</v>
      </c>
    </row>
    <row r="31" spans="1:27" x14ac:dyDescent="0.25">
      <c r="A31" s="8" t="s">
        <v>84</v>
      </c>
      <c r="B31" s="8"/>
      <c r="C31" s="8" t="s">
        <v>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9"/>
  <sheetViews>
    <sheetView workbookViewId="0">
      <selection activeCell="I6" sqref="I6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204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164</v>
      </c>
    </row>
    <row r="5" spans="1:27" x14ac:dyDescent="0.25">
      <c r="A5" s="10" t="s">
        <v>31</v>
      </c>
      <c r="B5" s="10"/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44</v>
      </c>
      <c r="O5" s="6" t="s">
        <v>45</v>
      </c>
      <c r="P5" s="6" t="s">
        <v>46</v>
      </c>
      <c r="Q5" s="6" t="s">
        <v>47</v>
      </c>
      <c r="R5" s="6" t="s">
        <v>48</v>
      </c>
      <c r="S5" s="6" t="s">
        <v>49</v>
      </c>
      <c r="T5" s="6" t="s">
        <v>50</v>
      </c>
      <c r="U5" s="6" t="s">
        <v>51</v>
      </c>
      <c r="V5" s="6" t="s">
        <v>52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165</v>
      </c>
    </row>
    <row r="6" spans="1:27" x14ac:dyDescent="0.25">
      <c r="A6" s="7" t="s">
        <v>205</v>
      </c>
      <c r="B6" s="7" t="s">
        <v>206</v>
      </c>
      <c r="C6" s="21">
        <v>6.8128000000000002</v>
      </c>
      <c r="D6" s="21">
        <v>6.5385999999999997</v>
      </c>
      <c r="E6" s="21">
        <v>10.282500000000001</v>
      </c>
      <c r="F6" s="21">
        <v>10.9732</v>
      </c>
      <c r="G6" s="21">
        <v>11.493499999999999</v>
      </c>
      <c r="H6" s="21">
        <v>11.8453</v>
      </c>
      <c r="I6" s="21">
        <v>10.8391</v>
      </c>
      <c r="J6" s="21">
        <v>11.4716</v>
      </c>
      <c r="K6" s="21">
        <v>7.9771999999999998</v>
      </c>
      <c r="L6" s="21">
        <v>8.6286000000000005</v>
      </c>
      <c r="M6" s="21">
        <v>8.798</v>
      </c>
      <c r="N6" s="21">
        <v>9.1013999999999999</v>
      </c>
      <c r="O6" s="21">
        <v>8.1943999999999999</v>
      </c>
      <c r="P6" s="21">
        <v>8.1943999999999999</v>
      </c>
      <c r="Q6" s="21">
        <v>9.3934999999999995</v>
      </c>
      <c r="R6" s="21">
        <v>9.4867000000000008</v>
      </c>
      <c r="S6" s="21">
        <v>7.5373999999999999</v>
      </c>
      <c r="T6" s="21">
        <v>7.2145000000000001</v>
      </c>
      <c r="U6" s="21">
        <v>6.718</v>
      </c>
      <c r="V6" s="21">
        <v>6.9047999999999998</v>
      </c>
      <c r="W6" s="21">
        <v>8.2304999999999993</v>
      </c>
      <c r="X6" s="21">
        <v>8.7934000000000001</v>
      </c>
      <c r="Y6" s="21">
        <v>7.7709999999999999</v>
      </c>
      <c r="Z6" s="21">
        <v>9.2454999999999998</v>
      </c>
      <c r="AA6" s="24">
        <v>8.9315734299152396</v>
      </c>
    </row>
    <row r="7" spans="1:27" x14ac:dyDescent="0.25">
      <c r="A7" s="11" t="s">
        <v>207</v>
      </c>
      <c r="B7" s="11" t="s">
        <v>208</v>
      </c>
      <c r="C7" s="15">
        <v>5.6996000000000002</v>
      </c>
      <c r="D7" s="15">
        <v>6.7079000000000004</v>
      </c>
      <c r="E7" s="15">
        <v>8.5504999999999995</v>
      </c>
      <c r="F7" s="15">
        <v>10.4369</v>
      </c>
      <c r="G7" s="15">
        <v>11.996700000000001</v>
      </c>
      <c r="H7" s="15">
        <v>11.458</v>
      </c>
      <c r="I7" s="15">
        <v>11.860900000000001</v>
      </c>
      <c r="J7" s="15">
        <v>11.3103</v>
      </c>
      <c r="K7" s="15">
        <v>9.9290000000000003</v>
      </c>
      <c r="L7" s="15">
        <v>8.6014999999999997</v>
      </c>
      <c r="M7" s="15">
        <v>9.9963999999999995</v>
      </c>
      <c r="N7" s="15">
        <v>9.6704000000000008</v>
      </c>
      <c r="O7" s="15">
        <v>8.8292999999999999</v>
      </c>
      <c r="P7" s="15">
        <v>8.5566999999999993</v>
      </c>
      <c r="Q7" s="15">
        <v>8.8214000000000006</v>
      </c>
      <c r="R7" s="15">
        <v>9.6102000000000007</v>
      </c>
      <c r="S7" s="15">
        <v>8.7989999999999995</v>
      </c>
      <c r="T7" s="15">
        <v>7.4667000000000003</v>
      </c>
      <c r="U7" s="15">
        <v>7.3452999999999999</v>
      </c>
      <c r="V7" s="15">
        <v>7.3582999999999998</v>
      </c>
      <c r="W7" s="15">
        <v>8.0190999999999999</v>
      </c>
      <c r="X7" s="15">
        <v>8.2074999999999996</v>
      </c>
      <c r="Y7" s="15">
        <v>8.3003999999999998</v>
      </c>
      <c r="Z7" s="15">
        <v>8.9016999999999999</v>
      </c>
      <c r="AA7" s="18"/>
    </row>
    <row r="8" spans="1:27" x14ac:dyDescent="0.25">
      <c r="A8" s="11" t="s">
        <v>209</v>
      </c>
      <c r="B8" s="11" t="s">
        <v>210</v>
      </c>
      <c r="C8" s="15">
        <v>6.8888999999999996</v>
      </c>
      <c r="D8" s="15">
        <v>7.2060000000000004</v>
      </c>
      <c r="E8" s="15">
        <v>10.282500000000001</v>
      </c>
      <c r="F8" s="15">
        <v>11.2151</v>
      </c>
      <c r="G8" s="15">
        <v>13.247400000000001</v>
      </c>
      <c r="H8" s="15">
        <v>11.897</v>
      </c>
      <c r="I8" s="15">
        <v>12.519</v>
      </c>
      <c r="J8" s="15">
        <v>13.1134</v>
      </c>
      <c r="K8" s="15">
        <v>11.3765</v>
      </c>
      <c r="L8" s="15">
        <v>9.8596000000000004</v>
      </c>
      <c r="M8" s="15">
        <v>11.098000000000001</v>
      </c>
      <c r="N8" s="15">
        <v>10.316700000000001</v>
      </c>
      <c r="O8" s="15">
        <v>9.4674999999999994</v>
      </c>
      <c r="P8" s="15">
        <v>9.2098999999999993</v>
      </c>
      <c r="Q8" s="15">
        <v>9.7967999999999993</v>
      </c>
      <c r="R8" s="15">
        <v>10.4436</v>
      </c>
      <c r="S8" s="15">
        <v>9.7826000000000004</v>
      </c>
      <c r="T8" s="15">
        <v>7.9565999999999999</v>
      </c>
      <c r="U8" s="15">
        <v>8.0823</v>
      </c>
      <c r="V8" s="15">
        <v>7.8703000000000003</v>
      </c>
      <c r="W8" s="15">
        <v>8.6148000000000007</v>
      </c>
      <c r="X8" s="15">
        <v>8.9527000000000001</v>
      </c>
      <c r="Y8" s="15">
        <v>8.8268000000000004</v>
      </c>
      <c r="Z8" s="15">
        <v>9.7177000000000007</v>
      </c>
      <c r="AA8" s="18"/>
    </row>
    <row r="9" spans="1:27" x14ac:dyDescent="0.25">
      <c r="A9" s="11" t="s">
        <v>211</v>
      </c>
      <c r="B9" s="11" t="s">
        <v>212</v>
      </c>
      <c r="C9" s="15">
        <v>4.7378</v>
      </c>
      <c r="D9" s="15">
        <v>6.2675999999999998</v>
      </c>
      <c r="E9" s="15">
        <v>6.4669999999999996</v>
      </c>
      <c r="F9" s="15">
        <v>9.5006000000000004</v>
      </c>
      <c r="G9" s="15">
        <v>10.9847</v>
      </c>
      <c r="H9" s="15">
        <v>10.973100000000001</v>
      </c>
      <c r="I9" s="15">
        <v>10.8391</v>
      </c>
      <c r="J9" s="15">
        <v>10.443899999999999</v>
      </c>
      <c r="K9" s="15">
        <v>7.9771999999999998</v>
      </c>
      <c r="L9" s="15">
        <v>7.8371000000000004</v>
      </c>
      <c r="M9" s="15">
        <v>8.7739999999999991</v>
      </c>
      <c r="N9" s="15">
        <v>8.6954999999999991</v>
      </c>
      <c r="O9" s="15">
        <v>8.1943999999999999</v>
      </c>
      <c r="P9" s="15">
        <v>8.1851000000000003</v>
      </c>
      <c r="Q9" s="15">
        <v>7.9023000000000003</v>
      </c>
      <c r="R9" s="15">
        <v>8.9781999999999993</v>
      </c>
      <c r="S9" s="15">
        <v>7.1367000000000003</v>
      </c>
      <c r="T9" s="15">
        <v>6.9890999999999996</v>
      </c>
      <c r="U9" s="15">
        <v>6.718</v>
      </c>
      <c r="V9" s="15">
        <v>6.8663999999999996</v>
      </c>
      <c r="W9" s="15">
        <v>6.6162999999999998</v>
      </c>
      <c r="X9" s="15">
        <v>7.6561000000000003</v>
      </c>
      <c r="Y9" s="15">
        <v>7.7709999999999999</v>
      </c>
      <c r="Z9" s="15">
        <v>7.8604000000000003</v>
      </c>
      <c r="AA9" s="18"/>
    </row>
    <row r="10" spans="1:27" x14ac:dyDescent="0.25">
      <c r="A10" s="7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2"/>
    </row>
    <row r="11" spans="1:27" x14ac:dyDescent="0.25">
      <c r="A11" s="7" t="s">
        <v>213</v>
      </c>
      <c r="B11" s="7" t="s">
        <v>214</v>
      </c>
      <c r="C11" s="21">
        <v>1.1164000000000001</v>
      </c>
      <c r="D11" s="21">
        <v>1.0293000000000001</v>
      </c>
      <c r="E11" s="21">
        <v>1.4081999999999999</v>
      </c>
      <c r="F11" s="21">
        <v>1.4609000000000001</v>
      </c>
      <c r="G11" s="21">
        <v>1.6406000000000001</v>
      </c>
      <c r="H11" s="21">
        <v>1.6333</v>
      </c>
      <c r="I11" s="21">
        <v>1.6227</v>
      </c>
      <c r="J11" s="21">
        <v>1.7891999999999999</v>
      </c>
      <c r="K11" s="21">
        <v>1.403</v>
      </c>
      <c r="L11" s="21">
        <v>1.5467</v>
      </c>
      <c r="M11" s="21">
        <v>1.6935</v>
      </c>
      <c r="N11" s="21">
        <v>1.7563</v>
      </c>
      <c r="O11" s="21">
        <v>1.7005999999999999</v>
      </c>
      <c r="P11" s="21">
        <v>1.6846000000000001</v>
      </c>
      <c r="Q11" s="21">
        <v>1.9630000000000001</v>
      </c>
      <c r="R11" s="21">
        <v>1.9421999999999999</v>
      </c>
      <c r="S11" s="21">
        <v>1.6928000000000001</v>
      </c>
      <c r="T11" s="21">
        <v>1.5461</v>
      </c>
      <c r="U11" s="21">
        <v>1.4972000000000001</v>
      </c>
      <c r="V11" s="21">
        <v>1.4951000000000001</v>
      </c>
      <c r="W11" s="21">
        <v>1.9079999999999999</v>
      </c>
      <c r="X11" s="21">
        <v>1.9504999999999999</v>
      </c>
      <c r="Y11" s="21">
        <v>1.8854</v>
      </c>
      <c r="Z11" s="21">
        <v>2.1414</v>
      </c>
      <c r="AA11" s="24">
        <v>2.0687256150597801</v>
      </c>
    </row>
    <row r="12" spans="1:27" x14ac:dyDescent="0.25">
      <c r="A12" s="11" t="s">
        <v>207</v>
      </c>
      <c r="B12" s="11" t="s">
        <v>215</v>
      </c>
      <c r="C12" s="15">
        <v>1.0474000000000001</v>
      </c>
      <c r="D12" s="15">
        <v>1.0986</v>
      </c>
      <c r="E12" s="15">
        <v>1.3426</v>
      </c>
      <c r="F12" s="15">
        <v>1.4286000000000001</v>
      </c>
      <c r="G12" s="15">
        <v>1.599</v>
      </c>
      <c r="H12" s="15">
        <v>1.6347</v>
      </c>
      <c r="I12" s="15">
        <v>1.6374</v>
      </c>
      <c r="J12" s="15">
        <v>1.6943999999999999</v>
      </c>
      <c r="K12" s="15">
        <v>1.5510999999999999</v>
      </c>
      <c r="L12" s="15">
        <v>1.5133000000000001</v>
      </c>
      <c r="M12" s="15">
        <v>1.7938000000000001</v>
      </c>
      <c r="N12" s="15">
        <v>1.8614999999999999</v>
      </c>
      <c r="O12" s="15">
        <v>1.7057</v>
      </c>
      <c r="P12" s="15">
        <v>1.7756000000000001</v>
      </c>
      <c r="Q12" s="15">
        <v>1.8141</v>
      </c>
      <c r="R12" s="15">
        <v>2.0076000000000001</v>
      </c>
      <c r="S12" s="15">
        <v>1.8037000000000001</v>
      </c>
      <c r="T12" s="15">
        <v>1.6758</v>
      </c>
      <c r="U12" s="15">
        <v>1.5750999999999999</v>
      </c>
      <c r="V12" s="15">
        <v>1.6392</v>
      </c>
      <c r="W12" s="15">
        <v>1.7383999999999999</v>
      </c>
      <c r="X12" s="15">
        <v>1.9014</v>
      </c>
      <c r="Y12" s="15">
        <v>1.8436999999999999</v>
      </c>
      <c r="Z12" s="15">
        <v>2.1579999999999999</v>
      </c>
      <c r="AA12" s="18"/>
    </row>
    <row r="13" spans="1:27" x14ac:dyDescent="0.25">
      <c r="A13" s="11" t="s">
        <v>209</v>
      </c>
      <c r="B13" s="11" t="s">
        <v>216</v>
      </c>
      <c r="C13" s="15">
        <v>1.2686999999999999</v>
      </c>
      <c r="D13" s="15">
        <v>1.1808000000000001</v>
      </c>
      <c r="E13" s="15">
        <v>1.5463</v>
      </c>
      <c r="F13" s="15">
        <v>1.5359</v>
      </c>
      <c r="G13" s="15">
        <v>1.7637</v>
      </c>
      <c r="H13" s="15">
        <v>1.6981999999999999</v>
      </c>
      <c r="I13" s="15">
        <v>1.7262</v>
      </c>
      <c r="J13" s="15">
        <v>1.9632000000000001</v>
      </c>
      <c r="K13" s="15">
        <v>1.7744</v>
      </c>
      <c r="L13" s="15">
        <v>1.7341</v>
      </c>
      <c r="M13" s="15">
        <v>1.9894000000000001</v>
      </c>
      <c r="N13" s="15">
        <v>1.9858</v>
      </c>
      <c r="O13" s="15">
        <v>1.8269</v>
      </c>
      <c r="P13" s="15">
        <v>1.9114</v>
      </c>
      <c r="Q13" s="15">
        <v>2.0141</v>
      </c>
      <c r="R13" s="15">
        <v>2.1823999999999999</v>
      </c>
      <c r="S13" s="15">
        <v>2.0026999999999999</v>
      </c>
      <c r="T13" s="15">
        <v>1.7869999999999999</v>
      </c>
      <c r="U13" s="15">
        <v>1.7321</v>
      </c>
      <c r="V13" s="15">
        <v>1.7541</v>
      </c>
      <c r="W13" s="15">
        <v>1.9079999999999999</v>
      </c>
      <c r="X13" s="15">
        <v>2.0754999999999999</v>
      </c>
      <c r="Y13" s="15">
        <v>1.9579</v>
      </c>
      <c r="Z13" s="15">
        <v>2.3576999999999999</v>
      </c>
      <c r="AA13" s="18"/>
    </row>
    <row r="14" spans="1:27" x14ac:dyDescent="0.25">
      <c r="A14" s="11" t="s">
        <v>211</v>
      </c>
      <c r="B14" s="11" t="s">
        <v>217</v>
      </c>
      <c r="C14" s="15">
        <v>0.87250000000000005</v>
      </c>
      <c r="D14" s="15">
        <v>1.0270999999999999</v>
      </c>
      <c r="E14" s="15">
        <v>1.018</v>
      </c>
      <c r="F14" s="15">
        <v>1.3010999999999999</v>
      </c>
      <c r="G14" s="15">
        <v>1.4624999999999999</v>
      </c>
      <c r="H14" s="15">
        <v>1.5664</v>
      </c>
      <c r="I14" s="15">
        <v>1.5341</v>
      </c>
      <c r="J14" s="15">
        <v>1.5636000000000001</v>
      </c>
      <c r="K14" s="15">
        <v>1.3362000000000001</v>
      </c>
      <c r="L14" s="15">
        <v>1.3784000000000001</v>
      </c>
      <c r="M14" s="15">
        <v>1.5728</v>
      </c>
      <c r="N14" s="15">
        <v>1.6738</v>
      </c>
      <c r="O14" s="15">
        <v>1.5873999999999999</v>
      </c>
      <c r="P14" s="15">
        <v>1.6846000000000001</v>
      </c>
      <c r="Q14" s="15">
        <v>1.6246</v>
      </c>
      <c r="R14" s="15">
        <v>1.8762000000000001</v>
      </c>
      <c r="S14" s="15">
        <v>1.4611000000000001</v>
      </c>
      <c r="T14" s="15">
        <v>1.5461</v>
      </c>
      <c r="U14" s="15">
        <v>1.4630000000000001</v>
      </c>
      <c r="V14" s="15">
        <v>1.4951000000000001</v>
      </c>
      <c r="W14" s="15">
        <v>1.4326000000000001</v>
      </c>
      <c r="X14" s="15">
        <v>1.7748999999999999</v>
      </c>
      <c r="Y14" s="15">
        <v>1.7385999999999999</v>
      </c>
      <c r="Z14" s="15">
        <v>1.9071</v>
      </c>
      <c r="AA14" s="18"/>
    </row>
    <row r="15" spans="1:27" x14ac:dyDescent="0.25">
      <c r="A15" s="7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2"/>
    </row>
    <row r="16" spans="1:27" x14ac:dyDescent="0.25">
      <c r="A16" s="7" t="s">
        <v>218</v>
      </c>
      <c r="B16" s="7" t="s">
        <v>219</v>
      </c>
      <c r="C16" s="21">
        <v>1.389</v>
      </c>
      <c r="D16" s="21">
        <v>1.2596000000000001</v>
      </c>
      <c r="E16" s="21">
        <v>1.6006</v>
      </c>
      <c r="F16" s="21">
        <v>1.6921999999999999</v>
      </c>
      <c r="G16" s="21">
        <v>2.16</v>
      </c>
      <c r="H16" s="21">
        <v>2.1295000000000002</v>
      </c>
      <c r="I16" s="21">
        <v>1.8318000000000001</v>
      </c>
      <c r="J16" s="21">
        <v>2.1825999999999999</v>
      </c>
      <c r="K16" s="21">
        <v>1.7386999999999999</v>
      </c>
      <c r="L16" s="21">
        <v>1.899</v>
      </c>
      <c r="M16" s="21">
        <v>2.0905</v>
      </c>
      <c r="N16" s="21">
        <v>2.1396000000000002</v>
      </c>
      <c r="O16" s="21">
        <v>2.0891000000000002</v>
      </c>
      <c r="P16" s="21">
        <v>2.0478999999999998</v>
      </c>
      <c r="Q16" s="21">
        <v>2.3847</v>
      </c>
      <c r="R16" s="21">
        <v>2.33</v>
      </c>
      <c r="S16" s="21">
        <v>2.0562999999999998</v>
      </c>
      <c r="T16" s="21">
        <v>1.8648</v>
      </c>
      <c r="U16" s="21">
        <v>1.8088</v>
      </c>
      <c r="V16" s="21">
        <v>1.7785</v>
      </c>
      <c r="W16" s="21">
        <v>2.2856999999999998</v>
      </c>
      <c r="X16" s="21">
        <v>2.2961</v>
      </c>
      <c r="Y16" s="21">
        <v>2.2361</v>
      </c>
      <c r="Z16" s="21">
        <v>2.5141</v>
      </c>
      <c r="AA16" s="24">
        <v>2.4287635994271701</v>
      </c>
    </row>
    <row r="17" spans="1:27" x14ac:dyDescent="0.25">
      <c r="A17" s="11" t="s">
        <v>207</v>
      </c>
      <c r="B17" s="11" t="s">
        <v>220</v>
      </c>
      <c r="C17" s="15">
        <v>1.21</v>
      </c>
      <c r="D17" s="15">
        <v>1.3665</v>
      </c>
      <c r="E17" s="15">
        <v>1.6411</v>
      </c>
      <c r="F17" s="15">
        <v>1.6244000000000001</v>
      </c>
      <c r="G17" s="15">
        <v>1.8562000000000001</v>
      </c>
      <c r="H17" s="15">
        <v>2.1518999999999999</v>
      </c>
      <c r="I17" s="15">
        <v>2.1303999999999998</v>
      </c>
      <c r="J17" s="15">
        <v>1.9153</v>
      </c>
      <c r="K17" s="15">
        <v>1.8926000000000001</v>
      </c>
      <c r="L17" s="15">
        <v>1.8751</v>
      </c>
      <c r="M17" s="15">
        <v>2.2025000000000001</v>
      </c>
      <c r="N17" s="15">
        <v>2.2974000000000001</v>
      </c>
      <c r="O17" s="15">
        <v>2.0783</v>
      </c>
      <c r="P17" s="15">
        <v>2.1808999999999998</v>
      </c>
      <c r="Q17" s="15">
        <v>2.2052</v>
      </c>
      <c r="R17" s="15">
        <v>2.4384000000000001</v>
      </c>
      <c r="S17" s="15">
        <v>2.1642999999999999</v>
      </c>
      <c r="T17" s="15">
        <v>2.0354000000000001</v>
      </c>
      <c r="U17" s="15">
        <v>1.8997999999999999</v>
      </c>
      <c r="V17" s="15">
        <v>1.9799</v>
      </c>
      <c r="W17" s="15">
        <v>2.0682</v>
      </c>
      <c r="X17" s="15">
        <v>2.2770999999999999</v>
      </c>
      <c r="Y17" s="15">
        <v>2.1707000000000001</v>
      </c>
      <c r="Z17" s="15">
        <v>2.5590000000000002</v>
      </c>
      <c r="AA17" s="18"/>
    </row>
    <row r="18" spans="1:27" x14ac:dyDescent="0.25">
      <c r="A18" s="11" t="s">
        <v>209</v>
      </c>
      <c r="B18" s="11" t="s">
        <v>221</v>
      </c>
      <c r="C18" s="15">
        <v>1.4637</v>
      </c>
      <c r="D18" s="15">
        <v>1.4691000000000001</v>
      </c>
      <c r="E18" s="15">
        <v>1.8924000000000001</v>
      </c>
      <c r="F18" s="15">
        <v>1.7458</v>
      </c>
      <c r="G18" s="15">
        <v>2.16</v>
      </c>
      <c r="H18" s="15">
        <v>2.2359</v>
      </c>
      <c r="I18" s="15">
        <v>2.2505999999999999</v>
      </c>
      <c r="J18" s="15">
        <v>2.2161</v>
      </c>
      <c r="K18" s="15">
        <v>2.1644999999999999</v>
      </c>
      <c r="L18" s="15">
        <v>2.1490999999999998</v>
      </c>
      <c r="M18" s="15">
        <v>2.4424000000000001</v>
      </c>
      <c r="N18" s="15">
        <v>2.4514</v>
      </c>
      <c r="O18" s="15">
        <v>2.2256999999999998</v>
      </c>
      <c r="P18" s="15">
        <v>2.3479999999999999</v>
      </c>
      <c r="Q18" s="15">
        <v>2.4483000000000001</v>
      </c>
      <c r="R18" s="15">
        <v>2.6511999999999998</v>
      </c>
      <c r="S18" s="15">
        <v>2.4026999999999998</v>
      </c>
      <c r="T18" s="15">
        <v>2.1707000000000001</v>
      </c>
      <c r="U18" s="15">
        <v>2.0891000000000002</v>
      </c>
      <c r="V18" s="15">
        <v>2.1191</v>
      </c>
      <c r="W18" s="15">
        <v>2.2856999999999998</v>
      </c>
      <c r="X18" s="15">
        <v>2.4863</v>
      </c>
      <c r="Y18" s="15">
        <v>2.3048000000000002</v>
      </c>
      <c r="Z18" s="15">
        <v>2.7963</v>
      </c>
      <c r="AA18" s="18"/>
    </row>
    <row r="19" spans="1:27" x14ac:dyDescent="0.25">
      <c r="A19" s="11" t="s">
        <v>211</v>
      </c>
      <c r="B19" s="11" t="s">
        <v>222</v>
      </c>
      <c r="C19" s="15">
        <v>1.0065999999999999</v>
      </c>
      <c r="D19" s="15">
        <v>1.2596000000000001</v>
      </c>
      <c r="E19" s="15">
        <v>1.2458</v>
      </c>
      <c r="F19" s="15">
        <v>1.4789000000000001</v>
      </c>
      <c r="G19" s="15">
        <v>1.694</v>
      </c>
      <c r="H19" s="15">
        <v>2.0621999999999998</v>
      </c>
      <c r="I19" s="15">
        <v>1.8318000000000001</v>
      </c>
      <c r="J19" s="15">
        <v>1.7649999999999999</v>
      </c>
      <c r="K19" s="15">
        <v>1.63</v>
      </c>
      <c r="L19" s="15">
        <v>1.7081999999999999</v>
      </c>
      <c r="M19" s="15">
        <v>1.931</v>
      </c>
      <c r="N19" s="15">
        <v>2.0661999999999998</v>
      </c>
      <c r="O19" s="15">
        <v>1.9338</v>
      </c>
      <c r="P19" s="15">
        <v>2.0478999999999998</v>
      </c>
      <c r="Q19" s="15">
        <v>1.9749000000000001</v>
      </c>
      <c r="R19" s="15">
        <v>2.2791999999999999</v>
      </c>
      <c r="S19" s="15">
        <v>1.7527999999999999</v>
      </c>
      <c r="T19" s="15">
        <v>1.8648</v>
      </c>
      <c r="U19" s="15">
        <v>1.7645</v>
      </c>
      <c r="V19" s="15">
        <v>1.7785</v>
      </c>
      <c r="W19" s="15">
        <v>1.7041999999999999</v>
      </c>
      <c r="X19" s="15">
        <v>2.1261999999999999</v>
      </c>
      <c r="Y19" s="15">
        <v>2.0467</v>
      </c>
      <c r="Z19" s="15">
        <v>2.2618</v>
      </c>
      <c r="AA19" s="18"/>
    </row>
    <row r="20" spans="1:27" x14ac:dyDescent="0.25">
      <c r="A20" s="7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2"/>
    </row>
    <row r="21" spans="1:27" x14ac:dyDescent="0.25">
      <c r="A21" s="7" t="s">
        <v>223</v>
      </c>
      <c r="B21" s="7" t="s">
        <v>224</v>
      </c>
      <c r="C21" s="21">
        <v>1.1479999999999999</v>
      </c>
      <c r="D21" s="21">
        <v>1.1272</v>
      </c>
      <c r="E21" s="21">
        <v>1.6518999999999999</v>
      </c>
      <c r="F21" s="21">
        <v>1.5246999999999999</v>
      </c>
      <c r="G21" s="21">
        <v>1.7836000000000001</v>
      </c>
      <c r="H21" s="21">
        <v>1.923</v>
      </c>
      <c r="I21" s="21">
        <v>1.8351999999999999</v>
      </c>
      <c r="J21" s="21">
        <v>1.9774</v>
      </c>
      <c r="K21" s="21">
        <v>1.2585999999999999</v>
      </c>
      <c r="L21" s="21">
        <v>1.2133</v>
      </c>
      <c r="M21" s="21">
        <v>1.1561999999999999</v>
      </c>
      <c r="N21" s="21">
        <v>1.1556</v>
      </c>
      <c r="O21" s="21">
        <v>0.98419999999999996</v>
      </c>
      <c r="P21" s="21">
        <v>0.9496</v>
      </c>
      <c r="Q21" s="21">
        <v>1.0639000000000001</v>
      </c>
      <c r="R21" s="21">
        <v>1.0662</v>
      </c>
      <c r="S21" s="21">
        <v>0.84950000000000003</v>
      </c>
      <c r="T21" s="21">
        <v>0.81869999999999998</v>
      </c>
      <c r="U21" s="21">
        <v>0.754</v>
      </c>
      <c r="V21" s="21">
        <v>0.76639999999999997</v>
      </c>
      <c r="W21" s="21">
        <v>0.90090000000000003</v>
      </c>
      <c r="X21" s="21">
        <v>0.96919999999999995</v>
      </c>
      <c r="Y21" s="21">
        <v>0.90210000000000001</v>
      </c>
      <c r="Z21" s="21">
        <v>1.1146</v>
      </c>
      <c r="AA21" s="24">
        <v>1.0767660662560601</v>
      </c>
    </row>
    <row r="22" spans="1:27" x14ac:dyDescent="0.25">
      <c r="A22" s="11" t="s">
        <v>207</v>
      </c>
      <c r="B22" s="11" t="s">
        <v>225</v>
      </c>
      <c r="C22" s="15">
        <v>1.0082</v>
      </c>
      <c r="D22" s="15">
        <v>1.1307</v>
      </c>
      <c r="E22" s="15">
        <v>1.4721</v>
      </c>
      <c r="F22" s="15">
        <v>1.6728000000000001</v>
      </c>
      <c r="G22" s="15">
        <v>1.6698999999999999</v>
      </c>
      <c r="H22" s="15">
        <v>1.7794000000000001</v>
      </c>
      <c r="I22" s="15">
        <v>1.9267000000000001</v>
      </c>
      <c r="J22" s="15">
        <v>1.9155</v>
      </c>
      <c r="K22" s="15">
        <v>1.7097</v>
      </c>
      <c r="L22" s="15">
        <v>1.3548</v>
      </c>
      <c r="M22" s="15">
        <v>1.4044000000000001</v>
      </c>
      <c r="N22" s="15">
        <v>1.2702</v>
      </c>
      <c r="O22" s="15">
        <v>1.1202000000000001</v>
      </c>
      <c r="P22" s="15">
        <v>1.0271999999999999</v>
      </c>
      <c r="Q22" s="15">
        <v>1.0219</v>
      </c>
      <c r="R22" s="15">
        <v>1.0884</v>
      </c>
      <c r="S22" s="15">
        <v>0.9889</v>
      </c>
      <c r="T22" s="15">
        <v>0.84160000000000001</v>
      </c>
      <c r="U22" s="15">
        <v>0.83340000000000003</v>
      </c>
      <c r="V22" s="15">
        <v>0.82569999999999999</v>
      </c>
      <c r="W22" s="15">
        <v>0.88990000000000002</v>
      </c>
      <c r="X22" s="15">
        <v>0.89849999999999997</v>
      </c>
      <c r="Y22" s="15">
        <v>0.91559999999999997</v>
      </c>
      <c r="Z22" s="15">
        <v>1.034</v>
      </c>
      <c r="AA22" s="18"/>
    </row>
    <row r="23" spans="1:27" x14ac:dyDescent="0.25">
      <c r="A23" s="11" t="s">
        <v>209</v>
      </c>
      <c r="B23" s="11" t="s">
        <v>226</v>
      </c>
      <c r="C23" s="15">
        <v>1.2316</v>
      </c>
      <c r="D23" s="15">
        <v>1.224</v>
      </c>
      <c r="E23" s="15">
        <v>1.736</v>
      </c>
      <c r="F23" s="15">
        <v>1.8301000000000001</v>
      </c>
      <c r="G23" s="15">
        <v>1.9071</v>
      </c>
      <c r="H23" s="15">
        <v>1.9292</v>
      </c>
      <c r="I23" s="15">
        <v>2.0537999999999998</v>
      </c>
      <c r="J23" s="15">
        <v>2.2536</v>
      </c>
      <c r="K23" s="15">
        <v>1.9924999999999999</v>
      </c>
      <c r="L23" s="15">
        <v>1.5701000000000001</v>
      </c>
      <c r="M23" s="15">
        <v>1.5743</v>
      </c>
      <c r="N23" s="15">
        <v>1.3715999999999999</v>
      </c>
      <c r="O23" s="15">
        <v>1.2124999999999999</v>
      </c>
      <c r="P23" s="15">
        <v>1.1083000000000001</v>
      </c>
      <c r="Q23" s="15">
        <v>1.1580999999999999</v>
      </c>
      <c r="R23" s="15">
        <v>1.1846000000000001</v>
      </c>
      <c r="S23" s="15">
        <v>1.1140000000000001</v>
      </c>
      <c r="T23" s="15">
        <v>0.90280000000000005</v>
      </c>
      <c r="U23" s="15">
        <v>0.92420000000000002</v>
      </c>
      <c r="V23" s="15">
        <v>0.89839999999999998</v>
      </c>
      <c r="W23" s="15">
        <v>0.97640000000000005</v>
      </c>
      <c r="X23" s="15">
        <v>0.98370000000000002</v>
      </c>
      <c r="Y23" s="15">
        <v>0.97950000000000004</v>
      </c>
      <c r="Z23" s="15">
        <v>1.1348</v>
      </c>
      <c r="AA23" s="18"/>
    </row>
    <row r="24" spans="1:27" x14ac:dyDescent="0.25">
      <c r="A24" s="11" t="s">
        <v>211</v>
      </c>
      <c r="B24" s="11" t="s">
        <v>227</v>
      </c>
      <c r="C24" s="15">
        <v>0.82379999999999998</v>
      </c>
      <c r="D24" s="15">
        <v>1.0394000000000001</v>
      </c>
      <c r="E24" s="15">
        <v>1.1041000000000001</v>
      </c>
      <c r="F24" s="15">
        <v>1.5026999999999999</v>
      </c>
      <c r="G24" s="15">
        <v>1.5194000000000001</v>
      </c>
      <c r="H24" s="15">
        <v>1.6767000000000001</v>
      </c>
      <c r="I24" s="15">
        <v>1.7679</v>
      </c>
      <c r="J24" s="15">
        <v>1.6637999999999999</v>
      </c>
      <c r="K24" s="15">
        <v>1.2396</v>
      </c>
      <c r="L24" s="15">
        <v>1.2068000000000001</v>
      </c>
      <c r="M24" s="15">
        <v>1.1511</v>
      </c>
      <c r="N24" s="15">
        <v>1.1321000000000001</v>
      </c>
      <c r="O24" s="15">
        <v>0.97419999999999995</v>
      </c>
      <c r="P24" s="15">
        <v>0.94699999999999995</v>
      </c>
      <c r="Q24" s="15">
        <v>0.8952</v>
      </c>
      <c r="R24" s="15">
        <v>1.0065999999999999</v>
      </c>
      <c r="S24" s="15">
        <v>0.79490000000000005</v>
      </c>
      <c r="T24" s="15">
        <v>0.77490000000000003</v>
      </c>
      <c r="U24" s="15">
        <v>0.75129999999999997</v>
      </c>
      <c r="V24" s="15">
        <v>0.75849999999999995</v>
      </c>
      <c r="W24" s="15">
        <v>0.72689999999999999</v>
      </c>
      <c r="X24" s="15">
        <v>0.81679999999999997</v>
      </c>
      <c r="Y24" s="15">
        <v>0.86160000000000003</v>
      </c>
      <c r="Z24" s="15">
        <v>0.90029999999999999</v>
      </c>
      <c r="AA24" s="18"/>
    </row>
    <row r="25" spans="1:27" x14ac:dyDescent="0.25">
      <c r="A25" s="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2"/>
    </row>
    <row r="26" spans="1:27" x14ac:dyDescent="0.25">
      <c r="A26" s="7" t="s">
        <v>228</v>
      </c>
      <c r="B26" s="7" t="s">
        <v>229</v>
      </c>
      <c r="C26" s="21">
        <v>40.165500000000002</v>
      </c>
      <c r="D26" s="21">
        <v>16.727</v>
      </c>
      <c r="E26" s="21" t="s">
        <v>1033</v>
      </c>
      <c r="F26" s="21" t="s">
        <v>1033</v>
      </c>
      <c r="G26" s="21">
        <v>51.9833</v>
      </c>
      <c r="H26" s="21">
        <v>29.1374</v>
      </c>
      <c r="I26" s="21">
        <v>7.5449999999999999</v>
      </c>
      <c r="J26" s="21">
        <v>5.3019999999999996</v>
      </c>
      <c r="K26" s="21">
        <v>9.7249999999999996</v>
      </c>
      <c r="L26" s="21">
        <v>7.5608000000000004</v>
      </c>
      <c r="M26" s="21">
        <v>5.7291999999999996</v>
      </c>
      <c r="N26" s="21">
        <v>7.7510000000000003</v>
      </c>
      <c r="O26" s="21">
        <v>4.5140000000000002</v>
      </c>
      <c r="P26" s="21">
        <v>9.6438000000000006</v>
      </c>
      <c r="Q26" s="21" t="s">
        <v>1033</v>
      </c>
      <c r="R26" s="21">
        <v>77.999300000000005</v>
      </c>
      <c r="S26" s="21">
        <v>13.0092</v>
      </c>
      <c r="T26" s="21">
        <v>4.9004000000000003</v>
      </c>
      <c r="U26" s="21">
        <v>3.9782999999999999</v>
      </c>
      <c r="V26" s="21">
        <v>5.3350999999999997</v>
      </c>
      <c r="W26" s="21">
        <v>7.0057999999999998</v>
      </c>
      <c r="X26" s="21">
        <v>8.0704999999999991</v>
      </c>
      <c r="Y26" s="21">
        <v>7.7629000000000001</v>
      </c>
      <c r="Z26" s="21">
        <v>18.371500000000001</v>
      </c>
      <c r="AA26" s="24">
        <v>17.7476735834801</v>
      </c>
    </row>
    <row r="27" spans="1:27" x14ac:dyDescent="0.25">
      <c r="A27" s="11" t="s">
        <v>207</v>
      </c>
      <c r="B27" s="11" t="s">
        <v>230</v>
      </c>
      <c r="C27" s="15">
        <v>40.165500000000002</v>
      </c>
      <c r="D27" s="15">
        <v>39.211100000000002</v>
      </c>
      <c r="E27" s="15">
        <v>21.802299999999999</v>
      </c>
      <c r="F27" s="15" t="s">
        <v>1033</v>
      </c>
      <c r="G27" s="15">
        <v>51.9833</v>
      </c>
      <c r="H27" s="15">
        <v>51.446899999999999</v>
      </c>
      <c r="I27" s="15">
        <v>28.876999999999999</v>
      </c>
      <c r="J27" s="15">
        <v>7.8296000000000001</v>
      </c>
      <c r="K27" s="15">
        <v>4.6848999999999998</v>
      </c>
      <c r="L27" s="15">
        <v>10.4407</v>
      </c>
      <c r="M27" s="15">
        <v>8.7272999999999996</v>
      </c>
      <c r="N27" s="15">
        <v>6.3262999999999998</v>
      </c>
      <c r="O27" s="15">
        <v>7.4794999999999998</v>
      </c>
      <c r="P27" s="15">
        <v>4.7925000000000004</v>
      </c>
      <c r="Q27" s="15">
        <v>10.3704</v>
      </c>
      <c r="R27" s="15">
        <v>77.999300000000005</v>
      </c>
      <c r="S27" s="15">
        <v>71.579899999999995</v>
      </c>
      <c r="T27" s="15">
        <v>12.771000000000001</v>
      </c>
      <c r="U27" s="15">
        <v>4.9798999999999998</v>
      </c>
      <c r="V27" s="15">
        <v>4.3777999999999997</v>
      </c>
      <c r="W27" s="15">
        <v>6.2065999999999999</v>
      </c>
      <c r="X27" s="15">
        <v>6.9951999999999996</v>
      </c>
      <c r="Y27" s="15">
        <v>7.6279000000000003</v>
      </c>
      <c r="Z27" s="15">
        <v>9.0420999999999996</v>
      </c>
      <c r="AA27" s="18"/>
    </row>
    <row r="28" spans="1:27" x14ac:dyDescent="0.25">
      <c r="A28" s="11" t="s">
        <v>209</v>
      </c>
      <c r="B28" s="11" t="s">
        <v>231</v>
      </c>
      <c r="C28" s="15">
        <v>40.165500000000002</v>
      </c>
      <c r="D28" s="15">
        <v>42.4831</v>
      </c>
      <c r="E28" s="15">
        <v>25.129899999999999</v>
      </c>
      <c r="F28" s="15" t="s">
        <v>1033</v>
      </c>
      <c r="G28" s="15">
        <v>51.9833</v>
      </c>
      <c r="H28" s="15">
        <v>53.808199999999999</v>
      </c>
      <c r="I28" s="15">
        <v>30.794599999999999</v>
      </c>
      <c r="J28" s="15">
        <v>9.1280000000000001</v>
      </c>
      <c r="K28" s="15">
        <v>9.7249999999999996</v>
      </c>
      <c r="L28" s="15">
        <v>12.02</v>
      </c>
      <c r="M28" s="15">
        <v>9.7246000000000006</v>
      </c>
      <c r="N28" s="15">
        <v>7.7510000000000003</v>
      </c>
      <c r="O28" s="15">
        <v>8.0627999999999993</v>
      </c>
      <c r="P28" s="15">
        <v>9.6438000000000006</v>
      </c>
      <c r="Q28" s="15">
        <v>11.529500000000001</v>
      </c>
      <c r="R28" s="15">
        <v>77.999300000000005</v>
      </c>
      <c r="S28" s="15">
        <v>80.431600000000003</v>
      </c>
      <c r="T28" s="15">
        <v>13.732900000000001</v>
      </c>
      <c r="U28" s="15">
        <v>5.4898999999999996</v>
      </c>
      <c r="V28" s="15">
        <v>5.3350999999999997</v>
      </c>
      <c r="W28" s="15">
        <v>7.0057999999999998</v>
      </c>
      <c r="X28" s="15">
        <v>8.0704999999999991</v>
      </c>
      <c r="Y28" s="15">
        <v>8.1011000000000006</v>
      </c>
      <c r="Z28" s="15">
        <v>18.371500000000001</v>
      </c>
      <c r="AA28" s="18"/>
    </row>
    <row r="29" spans="1:27" x14ac:dyDescent="0.25">
      <c r="A29" s="11" t="s">
        <v>211</v>
      </c>
      <c r="B29" s="11" t="s">
        <v>232</v>
      </c>
      <c r="C29" s="15">
        <v>40.165500000000002</v>
      </c>
      <c r="D29" s="15">
        <v>16.727</v>
      </c>
      <c r="E29" s="15">
        <v>16.543700000000001</v>
      </c>
      <c r="F29" s="15" t="s">
        <v>1033</v>
      </c>
      <c r="G29" s="15">
        <v>51.9833</v>
      </c>
      <c r="H29" s="15">
        <v>29.1374</v>
      </c>
      <c r="I29" s="15">
        <v>7.5449999999999999</v>
      </c>
      <c r="J29" s="15">
        <v>5.3019999999999996</v>
      </c>
      <c r="K29" s="15">
        <v>3.9597000000000002</v>
      </c>
      <c r="L29" s="15">
        <v>7.5608000000000004</v>
      </c>
      <c r="M29" s="15">
        <v>5.7291999999999996</v>
      </c>
      <c r="N29" s="15">
        <v>5.6624999999999996</v>
      </c>
      <c r="O29" s="15">
        <v>4.5140000000000002</v>
      </c>
      <c r="P29" s="15">
        <v>4.5088999999999997</v>
      </c>
      <c r="Q29" s="15">
        <v>9.2998999999999992</v>
      </c>
      <c r="R29" s="15">
        <v>77.999300000000005</v>
      </c>
      <c r="S29" s="15">
        <v>13.0092</v>
      </c>
      <c r="T29" s="15">
        <v>4.9004000000000003</v>
      </c>
      <c r="U29" s="15">
        <v>3.9782999999999999</v>
      </c>
      <c r="V29" s="15">
        <v>4.0662000000000003</v>
      </c>
      <c r="W29" s="15">
        <v>5.1121999999999996</v>
      </c>
      <c r="X29" s="15">
        <v>6.5168999999999997</v>
      </c>
      <c r="Y29" s="15">
        <v>7.1938000000000004</v>
      </c>
      <c r="Z29" s="15">
        <v>7.8521999999999998</v>
      </c>
      <c r="AA29" s="18"/>
    </row>
    <row r="30" spans="1:27" x14ac:dyDescent="0.25">
      <c r="A30" s="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2"/>
    </row>
    <row r="31" spans="1:27" x14ac:dyDescent="0.25">
      <c r="A31" s="7" t="s">
        <v>233</v>
      </c>
      <c r="B31" s="7" t="s">
        <v>234</v>
      </c>
      <c r="C31" s="21">
        <v>79.72</v>
      </c>
      <c r="D31" s="21">
        <v>76.62</v>
      </c>
      <c r="E31" s="21">
        <v>109.93</v>
      </c>
      <c r="F31" s="21">
        <v>115.13</v>
      </c>
      <c r="G31" s="21">
        <v>128.76</v>
      </c>
      <c r="H31" s="21">
        <v>132.57</v>
      </c>
      <c r="I31" s="21">
        <v>133.02000000000001</v>
      </c>
      <c r="J31" s="21">
        <v>149.55000000000001</v>
      </c>
      <c r="K31" s="21">
        <v>112.17</v>
      </c>
      <c r="L31" s="21">
        <v>129.32</v>
      </c>
      <c r="M31" s="21">
        <v>139.91</v>
      </c>
      <c r="N31" s="21">
        <v>151.9</v>
      </c>
      <c r="O31" s="21">
        <v>141.21</v>
      </c>
      <c r="P31" s="21">
        <v>146.11000000000001</v>
      </c>
      <c r="Q31" s="21">
        <v>170.76</v>
      </c>
      <c r="R31" s="21">
        <v>176.37</v>
      </c>
      <c r="S31" s="21">
        <v>142.56</v>
      </c>
      <c r="T31" s="21">
        <v>139.5</v>
      </c>
      <c r="U31" s="21">
        <v>133.97</v>
      </c>
      <c r="V31" s="21">
        <v>141.93</v>
      </c>
      <c r="W31" s="21">
        <v>171.52</v>
      </c>
      <c r="X31" s="21">
        <v>184.48</v>
      </c>
      <c r="Y31" s="21">
        <v>166.94</v>
      </c>
      <c r="Z31" s="21">
        <v>198.78</v>
      </c>
      <c r="AA31" s="24">
        <v>192.02999877929699</v>
      </c>
    </row>
    <row r="32" spans="1:27" x14ac:dyDescent="0.25">
      <c r="A32" s="11" t="s">
        <v>209</v>
      </c>
      <c r="B32" s="11" t="s">
        <v>235</v>
      </c>
      <c r="C32" s="15">
        <v>86.73</v>
      </c>
      <c r="D32" s="15">
        <v>85</v>
      </c>
      <c r="E32" s="15">
        <v>118</v>
      </c>
      <c r="F32" s="15">
        <v>121.79</v>
      </c>
      <c r="G32" s="15">
        <v>144</v>
      </c>
      <c r="H32" s="15">
        <v>133.88</v>
      </c>
      <c r="I32" s="15">
        <v>141.59</v>
      </c>
      <c r="J32" s="15">
        <v>163.35</v>
      </c>
      <c r="K32" s="15">
        <v>150.69</v>
      </c>
      <c r="L32" s="15">
        <v>139.93</v>
      </c>
      <c r="M32" s="15">
        <v>167.79</v>
      </c>
      <c r="N32" s="15">
        <v>165.98</v>
      </c>
      <c r="O32" s="15">
        <v>159.38</v>
      </c>
      <c r="P32" s="15">
        <v>159.02000000000001</v>
      </c>
      <c r="Q32" s="15">
        <v>178.19</v>
      </c>
      <c r="R32" s="15">
        <v>190.12</v>
      </c>
      <c r="S32" s="15">
        <v>184.28</v>
      </c>
      <c r="T32" s="15">
        <v>151.5</v>
      </c>
      <c r="U32" s="15">
        <v>157.47</v>
      </c>
      <c r="V32" s="15">
        <v>159.63</v>
      </c>
      <c r="W32" s="15">
        <v>180.82</v>
      </c>
      <c r="X32" s="15">
        <v>187.29</v>
      </c>
      <c r="Y32" s="15">
        <v>186.44</v>
      </c>
      <c r="Z32" s="15">
        <v>210</v>
      </c>
      <c r="AA32" s="18">
        <v>194.80999755859401</v>
      </c>
    </row>
    <row r="33" spans="1:27" x14ac:dyDescent="0.25">
      <c r="A33" s="11" t="s">
        <v>211</v>
      </c>
      <c r="B33" s="11" t="s">
        <v>236</v>
      </c>
      <c r="C33" s="15">
        <v>58.01</v>
      </c>
      <c r="D33" s="15">
        <v>72.180000000000007</v>
      </c>
      <c r="E33" s="15">
        <v>75.05</v>
      </c>
      <c r="F33" s="15">
        <v>100</v>
      </c>
      <c r="G33" s="15">
        <v>114.73</v>
      </c>
      <c r="H33" s="15">
        <v>121.04</v>
      </c>
      <c r="I33" s="15">
        <v>121.88</v>
      </c>
      <c r="J33" s="15">
        <v>120.6</v>
      </c>
      <c r="K33" s="15">
        <v>106.12</v>
      </c>
      <c r="L33" s="15">
        <v>108.54</v>
      </c>
      <c r="M33" s="15">
        <v>128.04</v>
      </c>
      <c r="N33" s="15">
        <v>137.35</v>
      </c>
      <c r="O33" s="15">
        <v>135.01</v>
      </c>
      <c r="P33" s="15">
        <v>140.11000000000001</v>
      </c>
      <c r="Q33" s="15">
        <v>137.74</v>
      </c>
      <c r="R33" s="15">
        <v>161.56</v>
      </c>
      <c r="S33" s="15">
        <v>131.5</v>
      </c>
      <c r="T33" s="15">
        <v>130.04</v>
      </c>
      <c r="U33" s="15">
        <v>131.6</v>
      </c>
      <c r="V33" s="15">
        <v>134.77000000000001</v>
      </c>
      <c r="W33" s="15">
        <v>134.61000000000001</v>
      </c>
      <c r="X33" s="15">
        <v>155.5</v>
      </c>
      <c r="Y33" s="15">
        <v>164</v>
      </c>
      <c r="Z33" s="15">
        <v>166.61</v>
      </c>
      <c r="AA33" s="18">
        <v>191.66000366210901</v>
      </c>
    </row>
    <row r="34" spans="1:27" x14ac:dyDescent="0.25">
      <c r="A34" s="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2"/>
    </row>
    <row r="35" spans="1:27" x14ac:dyDescent="0.25">
      <c r="A35" s="7" t="s">
        <v>2</v>
      </c>
      <c r="B35" s="7" t="s">
        <v>58</v>
      </c>
      <c r="C35" s="20">
        <v>229869.15969999999</v>
      </c>
      <c r="D35" s="20">
        <v>220930.4442</v>
      </c>
      <c r="E35" s="20">
        <v>312953.58880000003</v>
      </c>
      <c r="F35" s="20">
        <v>331977.35499999998</v>
      </c>
      <c r="G35" s="20">
        <v>371273.87099999998</v>
      </c>
      <c r="H35" s="20">
        <v>382259.8407</v>
      </c>
      <c r="I35" s="20">
        <v>380096.47139999998</v>
      </c>
      <c r="J35" s="20">
        <v>431227.42499999999</v>
      </c>
      <c r="K35" s="20">
        <v>323437.32610000001</v>
      </c>
      <c r="L35" s="20">
        <v>372888.6067</v>
      </c>
      <c r="M35" s="20">
        <v>399736.92830000003</v>
      </c>
      <c r="N35" s="20">
        <v>437997.05660000001</v>
      </c>
      <c r="O35" s="20">
        <v>407172.9056</v>
      </c>
      <c r="P35" s="20">
        <v>421301.84289999999</v>
      </c>
      <c r="Q35" s="20">
        <v>489469.23680000001</v>
      </c>
      <c r="R35" s="20">
        <v>508555.23950000003</v>
      </c>
      <c r="S35" s="20">
        <v>411065.57199999999</v>
      </c>
      <c r="T35" s="20">
        <v>392435.34490000003</v>
      </c>
      <c r="U35" s="20">
        <v>373424.14610000001</v>
      </c>
      <c r="V35" s="20">
        <v>399271.31540000002</v>
      </c>
      <c r="W35" s="20">
        <v>482512.61900000001</v>
      </c>
      <c r="X35" s="20">
        <v>512600.45919999998</v>
      </c>
      <c r="Y35" s="20">
        <v>469628.36180000001</v>
      </c>
      <c r="Z35" s="20">
        <v>559199.26780000003</v>
      </c>
      <c r="AA35" s="23">
        <v>540210.46074581996</v>
      </c>
    </row>
    <row r="36" spans="1:27" x14ac:dyDescent="0.25">
      <c r="A36" s="11" t="s">
        <v>207</v>
      </c>
      <c r="B36" s="11" t="s">
        <v>237</v>
      </c>
      <c r="C36" s="14">
        <v>204663.09830000001</v>
      </c>
      <c r="D36" s="14">
        <v>226333.15470000001</v>
      </c>
      <c r="E36" s="14">
        <v>288425.2977</v>
      </c>
      <c r="F36" s="14">
        <v>321634.92940000002</v>
      </c>
      <c r="G36" s="14">
        <v>363308.6655</v>
      </c>
      <c r="H36" s="14">
        <v>370121.81920000003</v>
      </c>
      <c r="I36" s="14">
        <v>383290.22590000002</v>
      </c>
      <c r="J36" s="14">
        <v>400637.69079999998</v>
      </c>
      <c r="K36" s="14">
        <v>373610.38630000001</v>
      </c>
      <c r="L36" s="14">
        <v>349106.30040000001</v>
      </c>
      <c r="M36" s="14">
        <v>432371.5258</v>
      </c>
      <c r="N36" s="14">
        <v>443752.9852</v>
      </c>
      <c r="O36" s="14">
        <v>425109.86589999998</v>
      </c>
      <c r="P36" s="14">
        <v>425393.68969999999</v>
      </c>
      <c r="Q36" s="14">
        <v>453689.67830000003</v>
      </c>
      <c r="R36" s="14">
        <v>503927.2917</v>
      </c>
      <c r="S36" s="14">
        <v>471798.37660000002</v>
      </c>
      <c r="T36" s="14">
        <v>407345.0258</v>
      </c>
      <c r="U36" s="14">
        <v>409727.09009999997</v>
      </c>
      <c r="V36" s="14">
        <v>416978.68150000001</v>
      </c>
      <c r="W36" s="14">
        <v>463816.01730000001</v>
      </c>
      <c r="X36" s="14">
        <v>481215.10460000002</v>
      </c>
      <c r="Y36" s="14">
        <v>490045.18070000003</v>
      </c>
      <c r="Z36" s="14">
        <v>537963.62490000005</v>
      </c>
      <c r="AA36" s="17"/>
    </row>
    <row r="37" spans="1:27" x14ac:dyDescent="0.25">
      <c r="A37" s="11" t="s">
        <v>209</v>
      </c>
      <c r="B37" s="11" t="s">
        <v>238</v>
      </c>
      <c r="C37" s="14">
        <v>247660.08689999999</v>
      </c>
      <c r="D37" s="14">
        <v>243133.06</v>
      </c>
      <c r="E37" s="14">
        <v>331914.68849999999</v>
      </c>
      <c r="F37" s="14">
        <v>345726.44559999998</v>
      </c>
      <c r="G37" s="14">
        <v>400771.63199999998</v>
      </c>
      <c r="H37" s="14">
        <v>384307.09480000002</v>
      </c>
      <c r="I37" s="14">
        <v>404001.10340000002</v>
      </c>
      <c r="J37" s="14">
        <v>464034.66970000003</v>
      </c>
      <c r="K37" s="14">
        <v>427645.44750000001</v>
      </c>
      <c r="L37" s="14">
        <v>399762.42219999997</v>
      </c>
      <c r="M37" s="14">
        <v>479605.33529999998</v>
      </c>
      <c r="N37" s="14">
        <v>473059.88880000002</v>
      </c>
      <c r="O37" s="14">
        <v>455614.97639999999</v>
      </c>
      <c r="P37" s="14">
        <v>457633.39600000001</v>
      </c>
      <c r="Q37" s="14">
        <v>503682.19780000002</v>
      </c>
      <c r="R37" s="14">
        <v>547424.23439999996</v>
      </c>
      <c r="S37" s="14">
        <v>524414.25080000004</v>
      </c>
      <c r="T37" s="14">
        <v>433931.38280000002</v>
      </c>
      <c r="U37" s="14">
        <v>450626.59649999999</v>
      </c>
      <c r="V37" s="14">
        <v>441524.92739999999</v>
      </c>
      <c r="W37" s="14">
        <v>498153.7697</v>
      </c>
      <c r="X37" s="14">
        <v>524850.62569999998</v>
      </c>
      <c r="Y37" s="14">
        <v>520940.33809999999</v>
      </c>
      <c r="Z37" s="14">
        <v>587274.57059999998</v>
      </c>
      <c r="AA37" s="17"/>
    </row>
    <row r="38" spans="1:27" x14ac:dyDescent="0.25">
      <c r="A38" s="11" t="s">
        <v>211</v>
      </c>
      <c r="B38" s="11" t="s">
        <v>239</v>
      </c>
      <c r="C38" s="14">
        <v>170325.78099999999</v>
      </c>
      <c r="D38" s="14">
        <v>211472.7066</v>
      </c>
      <c r="E38" s="14">
        <v>218508.3407</v>
      </c>
      <c r="F38" s="14">
        <v>292872.6863</v>
      </c>
      <c r="G38" s="14">
        <v>332318.3725</v>
      </c>
      <c r="H38" s="14">
        <v>354463.31910000002</v>
      </c>
      <c r="I38" s="14">
        <v>359048.01510000002</v>
      </c>
      <c r="J38" s="14">
        <v>369572.63170000003</v>
      </c>
      <c r="K38" s="14">
        <v>322053.26699999999</v>
      </c>
      <c r="L38" s="14">
        <v>317756.9167</v>
      </c>
      <c r="M38" s="14">
        <v>379174.54210000002</v>
      </c>
      <c r="N38" s="14">
        <v>398724.37780000002</v>
      </c>
      <c r="O38" s="14">
        <v>395869.75579999998</v>
      </c>
      <c r="P38" s="14">
        <v>406711.5526</v>
      </c>
      <c r="Q38" s="14">
        <v>406279.03409999999</v>
      </c>
      <c r="R38" s="14">
        <v>470608.95069999999</v>
      </c>
      <c r="S38" s="14">
        <v>382577.0209</v>
      </c>
      <c r="T38" s="14">
        <v>381164.12719999999</v>
      </c>
      <c r="U38" s="14">
        <v>380616.27039999998</v>
      </c>
      <c r="V38" s="14">
        <v>394831.71139999997</v>
      </c>
      <c r="W38" s="14">
        <v>382589.29680000001</v>
      </c>
      <c r="X38" s="14">
        <v>448839.13459999999</v>
      </c>
      <c r="Y38" s="14">
        <v>462595.47029999999</v>
      </c>
      <c r="Z38" s="14">
        <v>475029.6225</v>
      </c>
      <c r="AA38" s="17"/>
    </row>
    <row r="39" spans="1:27" x14ac:dyDescent="0.25">
      <c r="A39" s="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2"/>
    </row>
    <row r="40" spans="1:27" x14ac:dyDescent="0.25">
      <c r="A40" s="7" t="s">
        <v>240</v>
      </c>
      <c r="B40" s="7" t="s">
        <v>241</v>
      </c>
      <c r="C40" s="21">
        <v>0.28689999999999999</v>
      </c>
      <c r="D40" s="21">
        <v>0.2717</v>
      </c>
      <c r="E40" s="21">
        <v>0.38090000000000002</v>
      </c>
      <c r="F40" s="21">
        <v>0.3997</v>
      </c>
      <c r="G40" s="21">
        <v>0.45829999999999999</v>
      </c>
      <c r="H40" s="21">
        <v>0.4819</v>
      </c>
      <c r="I40" s="21">
        <v>0.47570000000000001</v>
      </c>
      <c r="J40" s="21">
        <v>0.51580000000000004</v>
      </c>
      <c r="K40" s="21">
        <v>0.37380000000000002</v>
      </c>
      <c r="L40" s="21">
        <v>0.42720000000000002</v>
      </c>
      <c r="M40" s="21">
        <v>0.44550000000000001</v>
      </c>
      <c r="N40" s="21">
        <v>0.47770000000000001</v>
      </c>
      <c r="O40" s="21">
        <v>0.4168</v>
      </c>
      <c r="P40" s="21">
        <v>0.40629999999999999</v>
      </c>
      <c r="Q40" s="21">
        <v>0.46489999999999998</v>
      </c>
      <c r="R40" s="21">
        <v>0.47420000000000001</v>
      </c>
      <c r="S40" s="21">
        <v>0.372</v>
      </c>
      <c r="T40" s="21">
        <v>0.34899999999999998</v>
      </c>
      <c r="U40" s="21">
        <v>0.32940000000000003</v>
      </c>
      <c r="V40" s="21">
        <v>0.33910000000000001</v>
      </c>
      <c r="W40" s="21">
        <v>0.40600000000000003</v>
      </c>
      <c r="X40" s="21">
        <v>0.44119999999999998</v>
      </c>
      <c r="Y40" s="21">
        <v>0.37809999999999999</v>
      </c>
      <c r="Z40" s="21">
        <v>0.44969999999999999</v>
      </c>
      <c r="AA40" s="24">
        <v>0.43445569091820202</v>
      </c>
    </row>
    <row r="41" spans="1:27" x14ac:dyDescent="0.25">
      <c r="A41" s="11" t="s">
        <v>207</v>
      </c>
      <c r="B41" s="11" t="s">
        <v>242</v>
      </c>
      <c r="C41" s="15">
        <v>0.2646</v>
      </c>
      <c r="D41" s="15">
        <v>0.28239999999999998</v>
      </c>
      <c r="E41" s="15">
        <v>0.35470000000000002</v>
      </c>
      <c r="F41" s="15">
        <v>0.39140000000000003</v>
      </c>
      <c r="G41" s="15">
        <v>0.43759999999999999</v>
      </c>
      <c r="H41" s="15">
        <v>0.45700000000000002</v>
      </c>
      <c r="I41" s="15">
        <v>0.48309999999999997</v>
      </c>
      <c r="J41" s="15">
        <v>0.501</v>
      </c>
      <c r="K41" s="15">
        <v>0.44669999999999999</v>
      </c>
      <c r="L41" s="15">
        <v>0.40339999999999998</v>
      </c>
      <c r="M41" s="15">
        <v>0.49509999999999998</v>
      </c>
      <c r="N41" s="15">
        <v>0.49440000000000001</v>
      </c>
      <c r="O41" s="15">
        <v>0.4632</v>
      </c>
      <c r="P41" s="15">
        <v>0.43509999999999999</v>
      </c>
      <c r="Q41" s="15">
        <v>0.43740000000000001</v>
      </c>
      <c r="R41" s="15">
        <v>0.47849999999999998</v>
      </c>
      <c r="S41" s="15">
        <v>0.43980000000000002</v>
      </c>
      <c r="T41" s="15">
        <v>0.36849999999999999</v>
      </c>
      <c r="U41" s="15">
        <v>0.36430000000000001</v>
      </c>
      <c r="V41" s="15">
        <v>0.36770000000000003</v>
      </c>
      <c r="W41" s="15">
        <v>0.39389999999999997</v>
      </c>
      <c r="X41" s="15">
        <v>0.40510000000000002</v>
      </c>
      <c r="Y41" s="15">
        <v>0.4214</v>
      </c>
      <c r="Z41" s="15">
        <v>0.43309999999999998</v>
      </c>
      <c r="AA41" s="18"/>
    </row>
    <row r="42" spans="1:27" x14ac:dyDescent="0.25">
      <c r="A42" s="11" t="s">
        <v>209</v>
      </c>
      <c r="B42" s="11" t="s">
        <v>243</v>
      </c>
      <c r="C42" s="15">
        <v>0.32040000000000002</v>
      </c>
      <c r="D42" s="15">
        <v>0.30349999999999999</v>
      </c>
      <c r="E42" s="15">
        <v>0.40820000000000001</v>
      </c>
      <c r="F42" s="15">
        <v>0.42070000000000002</v>
      </c>
      <c r="G42" s="15">
        <v>0.48249999999999998</v>
      </c>
      <c r="H42" s="15">
        <v>0.4819</v>
      </c>
      <c r="I42" s="15">
        <v>0.50929999999999997</v>
      </c>
      <c r="J42" s="15">
        <v>0.58079999999999998</v>
      </c>
      <c r="K42" s="15">
        <v>0.51149999999999995</v>
      </c>
      <c r="L42" s="15">
        <v>0.46210000000000001</v>
      </c>
      <c r="M42" s="15">
        <v>0.5494</v>
      </c>
      <c r="N42" s="15">
        <v>0.52729999999999999</v>
      </c>
      <c r="O42" s="15">
        <v>0.49690000000000001</v>
      </c>
      <c r="P42" s="15">
        <v>0.46850000000000003</v>
      </c>
      <c r="Q42" s="15">
        <v>0.48570000000000002</v>
      </c>
      <c r="R42" s="15">
        <v>0.52</v>
      </c>
      <c r="S42" s="15">
        <v>0.48899999999999999</v>
      </c>
      <c r="T42" s="15">
        <v>0.39269999999999999</v>
      </c>
      <c r="U42" s="15">
        <v>0.4007</v>
      </c>
      <c r="V42" s="15">
        <v>0.38950000000000001</v>
      </c>
      <c r="W42" s="15">
        <v>0.42309999999999998</v>
      </c>
      <c r="X42" s="15">
        <v>0.44669999999999999</v>
      </c>
      <c r="Y42" s="15">
        <v>0.44840000000000002</v>
      </c>
      <c r="Z42" s="15">
        <v>0.4728</v>
      </c>
      <c r="AA42" s="18"/>
    </row>
    <row r="43" spans="1:27" x14ac:dyDescent="0.25">
      <c r="A43" s="11" t="s">
        <v>211</v>
      </c>
      <c r="B43" s="11" t="s">
        <v>244</v>
      </c>
      <c r="C43" s="15">
        <v>0.2203</v>
      </c>
      <c r="D43" s="15">
        <v>0.26400000000000001</v>
      </c>
      <c r="E43" s="15">
        <v>0.26869999999999999</v>
      </c>
      <c r="F43" s="15">
        <v>0.35639999999999999</v>
      </c>
      <c r="G43" s="15">
        <v>0.40010000000000001</v>
      </c>
      <c r="H43" s="15">
        <v>0.43759999999999999</v>
      </c>
      <c r="I43" s="15">
        <v>0.4526</v>
      </c>
      <c r="J43" s="15">
        <v>0.46250000000000002</v>
      </c>
      <c r="K43" s="15">
        <v>0.37380000000000002</v>
      </c>
      <c r="L43" s="15">
        <v>0.36730000000000002</v>
      </c>
      <c r="M43" s="15">
        <v>0.43440000000000001</v>
      </c>
      <c r="N43" s="15">
        <v>0.44440000000000002</v>
      </c>
      <c r="O43" s="15">
        <v>0.4168</v>
      </c>
      <c r="P43" s="15">
        <v>0.40629999999999999</v>
      </c>
      <c r="Q43" s="15">
        <v>0.39179999999999998</v>
      </c>
      <c r="R43" s="15">
        <v>0.44700000000000001</v>
      </c>
      <c r="S43" s="15">
        <v>0.35670000000000002</v>
      </c>
      <c r="T43" s="15">
        <v>0.34489999999999998</v>
      </c>
      <c r="U43" s="15">
        <v>0.33839999999999998</v>
      </c>
      <c r="V43" s="15">
        <v>0.33910000000000001</v>
      </c>
      <c r="W43" s="15">
        <v>0.32500000000000001</v>
      </c>
      <c r="X43" s="15">
        <v>0.37769999999999998</v>
      </c>
      <c r="Y43" s="15">
        <v>0.37809999999999999</v>
      </c>
      <c r="Z43" s="15">
        <v>0.38250000000000001</v>
      </c>
      <c r="AA43" s="18"/>
    </row>
    <row r="44" spans="1:27" x14ac:dyDescent="0.25">
      <c r="A44" s="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2"/>
    </row>
    <row r="45" spans="1:27" x14ac:dyDescent="0.25">
      <c r="A45" s="7" t="s">
        <v>173</v>
      </c>
      <c r="B45" s="7" t="s">
        <v>174</v>
      </c>
      <c r="C45" s="20">
        <v>587191.40890000004</v>
      </c>
      <c r="D45" s="20">
        <v>564168.57849999995</v>
      </c>
      <c r="E45" s="20">
        <v>601674.58880000003</v>
      </c>
      <c r="F45" s="20">
        <v>679621.35499999998</v>
      </c>
      <c r="G45" s="20">
        <v>725335.87199999997</v>
      </c>
      <c r="H45" s="20">
        <v>770561.99589999998</v>
      </c>
      <c r="I45" s="20">
        <v>731628.47140000004</v>
      </c>
      <c r="J45" s="20">
        <v>877487.42500000005</v>
      </c>
      <c r="K45" s="20">
        <v>695523.54680000001</v>
      </c>
      <c r="L45" s="20">
        <v>735679.50100000005</v>
      </c>
      <c r="M45" s="20">
        <v>805122.92830000003</v>
      </c>
      <c r="N45" s="20">
        <v>871675.05660000001</v>
      </c>
      <c r="O45" s="20">
        <v>829850.90560000006</v>
      </c>
      <c r="P45" s="20">
        <v>892166.84290000005</v>
      </c>
      <c r="Q45" s="20">
        <v>883559.23679999996</v>
      </c>
      <c r="R45" s="20">
        <v>922694.23950000003</v>
      </c>
      <c r="S45" s="20">
        <v>849886.57200000004</v>
      </c>
      <c r="T45" s="20">
        <v>845724.34490000003</v>
      </c>
      <c r="U45" s="20">
        <v>869142.14610000001</v>
      </c>
      <c r="V45" s="20">
        <v>852341.31539999996</v>
      </c>
      <c r="W45" s="20">
        <v>920582.61899999995</v>
      </c>
      <c r="X45" s="20">
        <v>981061.45920000004</v>
      </c>
      <c r="Y45" s="20">
        <v>956732.36179999996</v>
      </c>
      <c r="Z45" s="20">
        <v>1052268.2678</v>
      </c>
      <c r="AA45" s="23">
        <v>1033279.46074582</v>
      </c>
    </row>
    <row r="46" spans="1:27" x14ac:dyDescent="0.25">
      <c r="A46" s="11" t="s">
        <v>207</v>
      </c>
      <c r="B46" s="11" t="s">
        <v>245</v>
      </c>
      <c r="C46" s="14">
        <v>554487.02170000004</v>
      </c>
      <c r="D46" s="14">
        <v>583438.72519999999</v>
      </c>
      <c r="E46" s="14">
        <v>630798.08070000005</v>
      </c>
      <c r="F46" s="14">
        <v>611321.88020000001</v>
      </c>
      <c r="G46" s="14">
        <v>711054.53850000002</v>
      </c>
      <c r="H46" s="14">
        <v>724710.59180000005</v>
      </c>
      <c r="I46" s="14">
        <v>771017.84739999997</v>
      </c>
      <c r="J46" s="14">
        <v>753697.56180000002</v>
      </c>
      <c r="K46" s="14">
        <v>818693.02469999995</v>
      </c>
      <c r="L46" s="14">
        <v>721049.51599999995</v>
      </c>
      <c r="M46" s="14">
        <v>795849.43790000002</v>
      </c>
      <c r="N46" s="14">
        <v>849588.06460000004</v>
      </c>
      <c r="O46" s="14">
        <v>858610.44660000002</v>
      </c>
      <c r="P46" s="14">
        <v>848813.0281</v>
      </c>
      <c r="Q46" s="14">
        <v>923296.07169999997</v>
      </c>
      <c r="R46" s="14">
        <v>898351.44169999997</v>
      </c>
      <c r="S46" s="14">
        <v>886323.03280000004</v>
      </c>
      <c r="T46" s="14">
        <v>846388.61040000001</v>
      </c>
      <c r="U46" s="14">
        <v>863700.42879999999</v>
      </c>
      <c r="V46" s="14">
        <v>911997.53399999999</v>
      </c>
      <c r="W46" s="14">
        <v>916644.08180000004</v>
      </c>
      <c r="X46" s="14">
        <v>919752.65850000002</v>
      </c>
      <c r="Y46" s="14">
        <v>958802.10129999998</v>
      </c>
      <c r="Z46" s="14">
        <v>1025165.4117000001</v>
      </c>
      <c r="AA46" s="17"/>
    </row>
    <row r="47" spans="1:27" x14ac:dyDescent="0.25">
      <c r="A47" s="11" t="s">
        <v>209</v>
      </c>
      <c r="B47" s="11" t="s">
        <v>246</v>
      </c>
      <c r="C47" s="14">
        <v>597361.08689999999</v>
      </c>
      <c r="D47" s="14">
        <v>600455.30920000002</v>
      </c>
      <c r="E47" s="14">
        <v>675152.82279999997</v>
      </c>
      <c r="F47" s="14">
        <v>679616.35770000005</v>
      </c>
      <c r="G47" s="14">
        <v>748415.63199999998</v>
      </c>
      <c r="H47" s="14">
        <v>770561.99589999998</v>
      </c>
      <c r="I47" s="14">
        <v>792303.25859999994</v>
      </c>
      <c r="J47" s="14">
        <v>877480.93359999999</v>
      </c>
      <c r="K47" s="14">
        <v>873905.44750000001</v>
      </c>
      <c r="L47" s="14">
        <v>771848.64280000003</v>
      </c>
      <c r="M47" s="14">
        <v>842396.22950000002</v>
      </c>
      <c r="N47" s="14">
        <v>878445.88879999996</v>
      </c>
      <c r="O47" s="14">
        <v>889292.97640000004</v>
      </c>
      <c r="P47" s="14">
        <v>892166.84290000005</v>
      </c>
      <c r="Q47" s="14">
        <v>974547.19779999997</v>
      </c>
      <c r="R47" s="14">
        <v>941514.23439999996</v>
      </c>
      <c r="S47" s="14">
        <v>938553.25080000004</v>
      </c>
      <c r="T47" s="14">
        <v>872752.38280000002</v>
      </c>
      <c r="U47" s="14">
        <v>903915.59649999999</v>
      </c>
      <c r="V47" s="14">
        <v>937242.92740000004</v>
      </c>
      <c r="W47" s="14">
        <v>951223.76969999995</v>
      </c>
      <c r="X47" s="14">
        <v>987432.12849999999</v>
      </c>
      <c r="Y47" s="14">
        <v>989401.33810000005</v>
      </c>
      <c r="Z47" s="14">
        <v>1074378.5706</v>
      </c>
      <c r="AA47" s="17"/>
    </row>
    <row r="48" spans="1:27" x14ac:dyDescent="0.25">
      <c r="A48" s="11" t="s">
        <v>211</v>
      </c>
      <c r="B48" s="11" t="s">
        <v>247</v>
      </c>
      <c r="C48" s="14">
        <v>520026.78100000002</v>
      </c>
      <c r="D48" s="14">
        <v>564168.57849999995</v>
      </c>
      <c r="E48" s="14">
        <v>561746.47499999998</v>
      </c>
      <c r="F48" s="14">
        <v>581593.68629999994</v>
      </c>
      <c r="G48" s="14">
        <v>679962.37250000006</v>
      </c>
      <c r="H48" s="14">
        <v>708525.32010000001</v>
      </c>
      <c r="I48" s="14">
        <v>735089.39610000001</v>
      </c>
      <c r="J48" s="14">
        <v>721104.63170000003</v>
      </c>
      <c r="K48" s="14">
        <v>695523.54680000001</v>
      </c>
      <c r="L48" s="14">
        <v>689843.13729999994</v>
      </c>
      <c r="M48" s="14">
        <v>741965.43629999994</v>
      </c>
      <c r="N48" s="14">
        <v>804110.37780000002</v>
      </c>
      <c r="O48" s="14">
        <v>829547.75580000004</v>
      </c>
      <c r="P48" s="14">
        <v>829389.55260000005</v>
      </c>
      <c r="Q48" s="14">
        <v>877144.03410000005</v>
      </c>
      <c r="R48" s="14">
        <v>864698.95070000004</v>
      </c>
      <c r="S48" s="14">
        <v>796716.0209</v>
      </c>
      <c r="T48" s="14">
        <v>819985.12719999999</v>
      </c>
      <c r="U48" s="14">
        <v>833905.27040000004</v>
      </c>
      <c r="V48" s="14">
        <v>852341.31539999996</v>
      </c>
      <c r="W48" s="14">
        <v>835659.29680000001</v>
      </c>
      <c r="X48" s="14">
        <v>886909.13459999999</v>
      </c>
      <c r="Y48" s="14">
        <v>931056.47030000004</v>
      </c>
      <c r="Z48" s="14">
        <v>962133.62250000006</v>
      </c>
      <c r="AA48" s="17"/>
    </row>
    <row r="49" spans="1:27" x14ac:dyDescent="0.25">
      <c r="A49" s="7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2"/>
    </row>
    <row r="50" spans="1:27" x14ac:dyDescent="0.25">
      <c r="A50" s="7" t="s">
        <v>248</v>
      </c>
      <c r="B50" s="7" t="s">
        <v>249</v>
      </c>
      <c r="C50" s="21">
        <v>2.9533</v>
      </c>
      <c r="D50" s="21">
        <v>2.8992</v>
      </c>
      <c r="E50" s="21">
        <v>3.1783999999999999</v>
      </c>
      <c r="F50" s="21">
        <v>3.1589</v>
      </c>
      <c r="G50" s="21">
        <v>3.5283000000000002</v>
      </c>
      <c r="H50" s="21">
        <v>3.9275000000000002</v>
      </c>
      <c r="I50" s="21">
        <v>3.5379</v>
      </c>
      <c r="J50" s="21">
        <v>4.0648999999999997</v>
      </c>
      <c r="K50" s="21">
        <v>2.7299000000000002</v>
      </c>
      <c r="L50" s="21">
        <v>2.4110999999999998</v>
      </c>
      <c r="M50" s="21">
        <v>2.3329</v>
      </c>
      <c r="N50" s="21">
        <v>2.3233000000000001</v>
      </c>
      <c r="O50" s="21">
        <v>2.0246</v>
      </c>
      <c r="P50" s="21">
        <v>2.0284</v>
      </c>
      <c r="Q50" s="21">
        <v>1.9092</v>
      </c>
      <c r="R50" s="21">
        <v>1.9343999999999999</v>
      </c>
      <c r="S50" s="21">
        <v>1.7564</v>
      </c>
      <c r="T50" s="21">
        <v>1.7213000000000001</v>
      </c>
      <c r="U50" s="21">
        <v>1.7191000000000001</v>
      </c>
      <c r="V50" s="21">
        <v>1.6274999999999999</v>
      </c>
      <c r="W50" s="21">
        <v>1.7153</v>
      </c>
      <c r="X50" s="21">
        <v>1.839</v>
      </c>
      <c r="Y50" s="21">
        <v>1.8282</v>
      </c>
      <c r="Z50" s="21">
        <v>2.0859999999999999</v>
      </c>
      <c r="AA50" s="24">
        <v>2.0483775226010299</v>
      </c>
    </row>
    <row r="51" spans="1:27" x14ac:dyDescent="0.25">
      <c r="A51" s="11" t="s">
        <v>207</v>
      </c>
      <c r="B51" s="11" t="s">
        <v>250</v>
      </c>
      <c r="C51" s="15">
        <v>2.7505000000000002</v>
      </c>
      <c r="D51" s="15">
        <v>2.9354</v>
      </c>
      <c r="E51" s="15">
        <v>3.2429999999999999</v>
      </c>
      <c r="F51" s="15">
        <v>3.2223000000000002</v>
      </c>
      <c r="G51" s="15">
        <v>3.3075000000000001</v>
      </c>
      <c r="H51" s="15">
        <v>3.528</v>
      </c>
      <c r="I51" s="15">
        <v>3.9268000000000001</v>
      </c>
      <c r="J51" s="15">
        <v>3.6417000000000002</v>
      </c>
      <c r="K51" s="15">
        <v>3.7848000000000002</v>
      </c>
      <c r="L51" s="15">
        <v>2.8228</v>
      </c>
      <c r="M51" s="15">
        <v>2.6034000000000002</v>
      </c>
      <c r="N51" s="15">
        <v>2.4584999999999999</v>
      </c>
      <c r="O51" s="15">
        <v>2.2854000000000001</v>
      </c>
      <c r="P51" s="15">
        <v>2.0686</v>
      </c>
      <c r="Q51" s="15">
        <v>2.0975000000000001</v>
      </c>
      <c r="R51" s="15">
        <v>1.9401999999999999</v>
      </c>
      <c r="S51" s="15">
        <v>1.8576999999999999</v>
      </c>
      <c r="T51" s="15">
        <v>1.7487999999999999</v>
      </c>
      <c r="U51" s="15">
        <v>1.7571000000000001</v>
      </c>
      <c r="V51" s="15">
        <v>1.8028999999999999</v>
      </c>
      <c r="W51" s="15">
        <v>1.7496</v>
      </c>
      <c r="X51" s="15">
        <v>1.7139</v>
      </c>
      <c r="Y51" s="15">
        <v>1.7978000000000001</v>
      </c>
      <c r="Z51" s="15">
        <v>1.9601999999999999</v>
      </c>
      <c r="AA51" s="18"/>
    </row>
    <row r="52" spans="1:27" x14ac:dyDescent="0.25">
      <c r="A52" s="11" t="s">
        <v>209</v>
      </c>
      <c r="B52" s="11" t="s">
        <v>251</v>
      </c>
      <c r="C52" s="15">
        <v>2.9624000000000001</v>
      </c>
      <c r="D52" s="15">
        <v>3.02</v>
      </c>
      <c r="E52" s="15">
        <v>3.4695999999999998</v>
      </c>
      <c r="F52" s="15">
        <v>3.3515000000000001</v>
      </c>
      <c r="G52" s="15">
        <v>3.5283000000000002</v>
      </c>
      <c r="H52" s="15">
        <v>3.9275000000000002</v>
      </c>
      <c r="I52" s="15">
        <v>4.0382999999999996</v>
      </c>
      <c r="J52" s="15">
        <v>4.0648999999999997</v>
      </c>
      <c r="K52" s="15">
        <v>4.0484</v>
      </c>
      <c r="L52" s="15">
        <v>3.0295000000000001</v>
      </c>
      <c r="M52" s="15">
        <v>2.7608999999999999</v>
      </c>
      <c r="N52" s="15">
        <v>2.5453000000000001</v>
      </c>
      <c r="O52" s="15">
        <v>2.3702000000000001</v>
      </c>
      <c r="P52" s="15">
        <v>2.1476999999999999</v>
      </c>
      <c r="Q52" s="15">
        <v>2.2157</v>
      </c>
      <c r="R52" s="15">
        <v>2.0344000000000002</v>
      </c>
      <c r="S52" s="15">
        <v>1.9676</v>
      </c>
      <c r="T52" s="15">
        <v>1.8037000000000001</v>
      </c>
      <c r="U52" s="15">
        <v>1.8398000000000001</v>
      </c>
      <c r="V52" s="15">
        <v>1.8537999999999999</v>
      </c>
      <c r="W52" s="15">
        <v>1.8163</v>
      </c>
      <c r="X52" s="15">
        <v>1.8509</v>
      </c>
      <c r="Y52" s="15">
        <v>1.8546</v>
      </c>
      <c r="Z52" s="15">
        <v>2.0859999999999999</v>
      </c>
      <c r="AA52" s="18"/>
    </row>
    <row r="53" spans="1:27" x14ac:dyDescent="0.25">
      <c r="A53" s="11" t="s">
        <v>211</v>
      </c>
      <c r="B53" s="11" t="s">
        <v>252</v>
      </c>
      <c r="C53" s="15">
        <v>2.5789</v>
      </c>
      <c r="D53" s="15">
        <v>2.8607999999999998</v>
      </c>
      <c r="E53" s="15">
        <v>2.8868</v>
      </c>
      <c r="F53" s="15">
        <v>3.0722999999999998</v>
      </c>
      <c r="G53" s="15">
        <v>3.1604999999999999</v>
      </c>
      <c r="H53" s="15">
        <v>3.4466000000000001</v>
      </c>
      <c r="I53" s="15">
        <v>3.5546000000000002</v>
      </c>
      <c r="J53" s="15">
        <v>3.4870000000000001</v>
      </c>
      <c r="K53" s="15">
        <v>2.7299000000000002</v>
      </c>
      <c r="L53" s="15">
        <v>2.4110999999999998</v>
      </c>
      <c r="M53" s="15">
        <v>2.3435999999999999</v>
      </c>
      <c r="N53" s="15">
        <v>2.3233000000000001</v>
      </c>
      <c r="O53" s="15">
        <v>2.0246</v>
      </c>
      <c r="P53" s="15">
        <v>2.0234000000000001</v>
      </c>
      <c r="Q53" s="15">
        <v>1.9155</v>
      </c>
      <c r="R53" s="15">
        <v>1.8685</v>
      </c>
      <c r="S53" s="15">
        <v>1.6702999999999999</v>
      </c>
      <c r="T53" s="15">
        <v>1.6946000000000001</v>
      </c>
      <c r="U53" s="15">
        <v>1.6973</v>
      </c>
      <c r="V53" s="15">
        <v>1.6274999999999999</v>
      </c>
      <c r="W53" s="15">
        <v>1.5956999999999999</v>
      </c>
      <c r="X53" s="15">
        <v>1.6526000000000001</v>
      </c>
      <c r="Y53" s="15">
        <v>1.7452000000000001</v>
      </c>
      <c r="Z53" s="15">
        <v>1.8385</v>
      </c>
      <c r="AA53" s="18"/>
    </row>
    <row r="54" spans="1:27" x14ac:dyDescent="0.25">
      <c r="A54" s="7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2"/>
    </row>
    <row r="55" spans="1:27" x14ac:dyDescent="0.25">
      <c r="A55" s="7" t="s">
        <v>183</v>
      </c>
      <c r="B55" s="7" t="s">
        <v>184</v>
      </c>
      <c r="C55" s="21">
        <v>5.2470999999999997</v>
      </c>
      <c r="D55" s="21">
        <v>5.3517999999999999</v>
      </c>
      <c r="E55" s="21">
        <v>6.2991000000000001</v>
      </c>
      <c r="F55" s="21">
        <v>6.4565000000000001</v>
      </c>
      <c r="G55" s="21" t="s">
        <v>1033</v>
      </c>
      <c r="H55" s="21" t="s">
        <v>1033</v>
      </c>
      <c r="I55" s="21" t="s">
        <v>1033</v>
      </c>
      <c r="J55" s="21" t="s">
        <v>1033</v>
      </c>
      <c r="K55" s="21">
        <v>5.0225</v>
      </c>
      <c r="L55" s="21">
        <v>4.2168000000000001</v>
      </c>
      <c r="M55" s="21">
        <v>3.6945000000000001</v>
      </c>
      <c r="N55" s="21">
        <v>3.5204</v>
      </c>
      <c r="O55" s="21">
        <v>2.9657</v>
      </c>
      <c r="P55" s="21">
        <v>2.9068000000000001</v>
      </c>
      <c r="Q55" s="21">
        <v>2.7431000000000001</v>
      </c>
      <c r="R55" s="21">
        <v>2.7984</v>
      </c>
      <c r="S55" s="21">
        <v>2.5722</v>
      </c>
      <c r="T55" s="21">
        <v>2.5306999999999999</v>
      </c>
      <c r="U55" s="21">
        <v>2.5057999999999998</v>
      </c>
      <c r="V55" s="21">
        <v>2.3589000000000002</v>
      </c>
      <c r="W55" s="21">
        <v>2.4914999999999998</v>
      </c>
      <c r="X55" s="21">
        <v>2.7179000000000002</v>
      </c>
      <c r="Y55" s="21">
        <v>2.7665999999999999</v>
      </c>
      <c r="Z55" s="21">
        <v>3.2675000000000001</v>
      </c>
      <c r="AA55" s="24">
        <v>3.20857373763207</v>
      </c>
    </row>
    <row r="56" spans="1:27" x14ac:dyDescent="0.25">
      <c r="A56" s="11" t="s">
        <v>207</v>
      </c>
      <c r="B56" s="11" t="s">
        <v>253</v>
      </c>
      <c r="C56" s="15">
        <v>4.8715999999999999</v>
      </c>
      <c r="D56" s="15">
        <v>5.2183000000000002</v>
      </c>
      <c r="E56" s="15">
        <v>5.9932999999999996</v>
      </c>
      <c r="F56" s="15">
        <v>6.3893000000000004</v>
      </c>
      <c r="G56" s="15">
        <v>6.7529000000000003</v>
      </c>
      <c r="H56" s="15" t="s">
        <v>1033</v>
      </c>
      <c r="I56" s="15" t="s">
        <v>1033</v>
      </c>
      <c r="J56" s="15" t="s">
        <v>1033</v>
      </c>
      <c r="K56" s="15">
        <v>5.0225</v>
      </c>
      <c r="L56" s="15">
        <v>5.19</v>
      </c>
      <c r="M56" s="15">
        <v>4.5468000000000002</v>
      </c>
      <c r="N56" s="15">
        <v>3.891</v>
      </c>
      <c r="O56" s="15">
        <v>3.4613999999999998</v>
      </c>
      <c r="P56" s="15">
        <v>3.0291000000000001</v>
      </c>
      <c r="Q56" s="15">
        <v>3.0059999999999998</v>
      </c>
      <c r="R56" s="15">
        <v>2.7879</v>
      </c>
      <c r="S56" s="15">
        <v>2.6880000000000002</v>
      </c>
      <c r="T56" s="15">
        <v>2.5611999999999999</v>
      </c>
      <c r="U56" s="15">
        <v>2.5829</v>
      </c>
      <c r="V56" s="15">
        <v>2.6278000000000001</v>
      </c>
      <c r="W56" s="15">
        <v>2.536</v>
      </c>
      <c r="X56" s="15">
        <v>2.4902000000000002</v>
      </c>
      <c r="Y56" s="15">
        <v>2.6581000000000001</v>
      </c>
      <c r="Z56" s="15">
        <v>2.9681999999999999</v>
      </c>
      <c r="AA56" s="18"/>
    </row>
    <row r="57" spans="1:27" x14ac:dyDescent="0.25">
      <c r="A57" s="11" t="s">
        <v>209</v>
      </c>
      <c r="B57" s="11" t="s">
        <v>254</v>
      </c>
      <c r="C57" s="15">
        <v>5.2470999999999997</v>
      </c>
      <c r="D57" s="15">
        <v>5.3655999999999997</v>
      </c>
      <c r="E57" s="15">
        <v>6.4046000000000003</v>
      </c>
      <c r="F57" s="15">
        <v>6.6421999999999999</v>
      </c>
      <c r="G57" s="15">
        <v>7.11</v>
      </c>
      <c r="H57" s="15" t="s">
        <v>1033</v>
      </c>
      <c r="I57" s="15" t="s">
        <v>1033</v>
      </c>
      <c r="J57" s="15" t="s">
        <v>1033</v>
      </c>
      <c r="K57" s="15">
        <v>5.0225</v>
      </c>
      <c r="L57" s="15">
        <v>5.5736999999999997</v>
      </c>
      <c r="M57" s="15">
        <v>4.8285</v>
      </c>
      <c r="N57" s="15">
        <v>4.0309999999999997</v>
      </c>
      <c r="O57" s="15">
        <v>3.5914999999999999</v>
      </c>
      <c r="P57" s="15">
        <v>3.1459999999999999</v>
      </c>
      <c r="Q57" s="15">
        <v>3.1751999999999998</v>
      </c>
      <c r="R57" s="15">
        <v>2.923</v>
      </c>
      <c r="S57" s="15">
        <v>2.8464999999999998</v>
      </c>
      <c r="T57" s="15">
        <v>2.6414</v>
      </c>
      <c r="U57" s="15">
        <v>2.7048000000000001</v>
      </c>
      <c r="V57" s="15">
        <v>2.7021999999999999</v>
      </c>
      <c r="W57" s="15">
        <v>2.6326000000000001</v>
      </c>
      <c r="X57" s="15">
        <v>2.7355</v>
      </c>
      <c r="Y57" s="15">
        <v>2.7665999999999999</v>
      </c>
      <c r="Z57" s="15">
        <v>3.2675000000000001</v>
      </c>
      <c r="AA57" s="18"/>
    </row>
    <row r="58" spans="1:27" x14ac:dyDescent="0.25">
      <c r="A58" s="11" t="s">
        <v>211</v>
      </c>
      <c r="B58" s="11" t="s">
        <v>255</v>
      </c>
      <c r="C58" s="15">
        <v>4.5674999999999999</v>
      </c>
      <c r="D58" s="15">
        <v>5.0827</v>
      </c>
      <c r="E58" s="15">
        <v>5.3288000000000002</v>
      </c>
      <c r="F58" s="15">
        <v>6.0888</v>
      </c>
      <c r="G58" s="15">
        <v>6.4596999999999998</v>
      </c>
      <c r="H58" s="15" t="s">
        <v>1033</v>
      </c>
      <c r="I58" s="15" t="s">
        <v>1033</v>
      </c>
      <c r="J58" s="15" t="s">
        <v>1033</v>
      </c>
      <c r="K58" s="15">
        <v>5.0225</v>
      </c>
      <c r="L58" s="15">
        <v>4.2168000000000001</v>
      </c>
      <c r="M58" s="15">
        <v>3.7115</v>
      </c>
      <c r="N58" s="15">
        <v>3.5204</v>
      </c>
      <c r="O58" s="15">
        <v>2.9657</v>
      </c>
      <c r="P58" s="15">
        <v>2.9068000000000001</v>
      </c>
      <c r="Q58" s="15">
        <v>2.7521</v>
      </c>
      <c r="R58" s="15">
        <v>2.6844999999999999</v>
      </c>
      <c r="S58" s="15">
        <v>2.4163000000000001</v>
      </c>
      <c r="T58" s="15">
        <v>2.4817</v>
      </c>
      <c r="U58" s="15">
        <v>2.4952999999999999</v>
      </c>
      <c r="V58" s="15">
        <v>2.3589000000000002</v>
      </c>
      <c r="W58" s="15">
        <v>2.3128000000000002</v>
      </c>
      <c r="X58" s="15">
        <v>2.4003999999999999</v>
      </c>
      <c r="Y58" s="15">
        <v>2.5794000000000001</v>
      </c>
      <c r="Z58" s="15">
        <v>2.7823000000000002</v>
      </c>
      <c r="AA58" s="18"/>
    </row>
    <row r="59" spans="1:27" x14ac:dyDescent="0.25">
      <c r="A59" s="8" t="s">
        <v>84</v>
      </c>
      <c r="B59" s="8"/>
      <c r="C59" s="8" t="s">
        <v>3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3"/>
  <sheetViews>
    <sheetView workbookViewId="0">
      <selection activeCell="E8" sqref="E8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256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7" t="s">
        <v>91</v>
      </c>
      <c r="B6" s="7" t="s">
        <v>68</v>
      </c>
      <c r="C6" s="20">
        <v>29576</v>
      </c>
      <c r="D6" s="20">
        <v>30228</v>
      </c>
      <c r="E6" s="20">
        <v>37787.950599999996</v>
      </c>
      <c r="F6" s="20">
        <v>38719.681700000001</v>
      </c>
      <c r="G6" s="20">
        <v>45352</v>
      </c>
      <c r="H6" s="20">
        <v>27783</v>
      </c>
      <c r="I6" s="20">
        <v>28728</v>
      </c>
      <c r="J6" s="20">
        <v>47775.823400000001</v>
      </c>
      <c r="K6" s="20">
        <v>50722</v>
      </c>
      <c r="L6" s="20">
        <v>44821</v>
      </c>
      <c r="M6" s="20">
        <v>47623</v>
      </c>
      <c r="N6" s="20">
        <v>49422.258199999997</v>
      </c>
      <c r="O6" s="20">
        <v>53613</v>
      </c>
      <c r="P6" s="20">
        <v>49736</v>
      </c>
      <c r="Q6" s="20">
        <v>52653</v>
      </c>
      <c r="R6" s="20">
        <v>58724</v>
      </c>
      <c r="S6" s="20">
        <v>62609</v>
      </c>
      <c r="T6" s="20">
        <v>56427</v>
      </c>
      <c r="U6" s="20">
        <v>58529</v>
      </c>
      <c r="V6" s="20">
        <v>61665</v>
      </c>
      <c r="W6" s="20">
        <v>68397</v>
      </c>
      <c r="X6" s="20">
        <v>62625</v>
      </c>
      <c r="Y6" s="20">
        <v>62382</v>
      </c>
      <c r="Z6" s="20">
        <v>71482</v>
      </c>
      <c r="AA6" s="20">
        <v>73459</v>
      </c>
    </row>
    <row r="7" spans="1:27" x14ac:dyDescent="0.25">
      <c r="A7" s="7" t="s">
        <v>257</v>
      </c>
      <c r="B7" s="7" t="s">
        <v>88</v>
      </c>
      <c r="C7" s="20">
        <v>21968</v>
      </c>
      <c r="D7" s="20">
        <v>13861</v>
      </c>
      <c r="E7" s="20">
        <v>22911.357800000002</v>
      </c>
      <c r="F7" s="20">
        <v>21037.933499999999</v>
      </c>
      <c r="G7" s="20">
        <v>22777</v>
      </c>
      <c r="H7" s="20">
        <v>19649</v>
      </c>
      <c r="I7" s="20">
        <v>22873</v>
      </c>
      <c r="J7" s="20">
        <v>26456.718400000002</v>
      </c>
      <c r="K7" s="20">
        <v>26922</v>
      </c>
      <c r="L7" s="20">
        <v>27051</v>
      </c>
      <c r="M7" s="20">
        <v>30694</v>
      </c>
      <c r="N7" s="20">
        <v>31224.689399999999</v>
      </c>
      <c r="O7" s="20">
        <v>31730</v>
      </c>
      <c r="P7" s="20">
        <v>28523</v>
      </c>
      <c r="Q7" s="20">
        <v>33189</v>
      </c>
      <c r="R7" s="20">
        <v>34039</v>
      </c>
      <c r="S7" s="20">
        <v>34777</v>
      </c>
      <c r="T7" s="20">
        <v>31938</v>
      </c>
      <c r="U7" s="20">
        <v>35964</v>
      </c>
      <c r="V7" s="20">
        <v>35701</v>
      </c>
      <c r="W7" s="20">
        <v>35746</v>
      </c>
      <c r="X7" s="20">
        <v>35834</v>
      </c>
      <c r="Y7" s="20">
        <v>36614</v>
      </c>
      <c r="Z7" s="20">
        <v>38117</v>
      </c>
      <c r="AA7" s="20">
        <v>39477</v>
      </c>
    </row>
    <row r="8" spans="1:27" x14ac:dyDescent="0.25">
      <c r="A8" s="11" t="s">
        <v>258</v>
      </c>
      <c r="B8" s="11" t="s">
        <v>259</v>
      </c>
      <c r="C8" s="14">
        <v>36519</v>
      </c>
      <c r="D8" s="14">
        <v>32350</v>
      </c>
      <c r="E8" s="14">
        <v>33248.883399999999</v>
      </c>
      <c r="F8" s="14">
        <v>30651.828600000001</v>
      </c>
      <c r="G8" s="14">
        <v>47391</v>
      </c>
      <c r="H8" s="14">
        <v>31016</v>
      </c>
      <c r="I8" s="14">
        <v>32894</v>
      </c>
      <c r="J8" s="14">
        <v>37615.621200000001</v>
      </c>
      <c r="K8" s="14">
        <v>55233</v>
      </c>
      <c r="L8" s="14">
        <v>60289</v>
      </c>
      <c r="M8" s="14">
        <v>72162</v>
      </c>
      <c r="N8" s="14">
        <v>80739.351699999999</v>
      </c>
      <c r="O8" s="14">
        <v>87223</v>
      </c>
      <c r="P8" s="14">
        <v>91542</v>
      </c>
      <c r="Q8" s="14">
        <v>99573</v>
      </c>
      <c r="R8" s="14">
        <v>97203</v>
      </c>
      <c r="S8" s="14">
        <v>95483</v>
      </c>
      <c r="T8" s="14">
        <v>95152</v>
      </c>
      <c r="U8" s="14">
        <v>103915</v>
      </c>
      <c r="V8" s="14">
        <v>110172</v>
      </c>
      <c r="W8" s="14">
        <v>108793</v>
      </c>
      <c r="X8" s="14">
        <v>105831</v>
      </c>
      <c r="Y8" s="14">
        <v>97514</v>
      </c>
      <c r="Z8" s="14">
        <v>92614</v>
      </c>
      <c r="AA8" s="14">
        <v>88573</v>
      </c>
    </row>
    <row r="9" spans="1:27" x14ac:dyDescent="0.25">
      <c r="A9" s="12" t="s">
        <v>260</v>
      </c>
      <c r="B9" s="12" t="s">
        <v>261</v>
      </c>
      <c r="C9" s="26">
        <v>36519</v>
      </c>
      <c r="D9" s="26">
        <v>32350</v>
      </c>
      <c r="E9" s="26">
        <v>33248.883399999999</v>
      </c>
      <c r="F9" s="26">
        <v>30651.828600000001</v>
      </c>
      <c r="G9" s="26">
        <v>47391</v>
      </c>
      <c r="H9" s="26">
        <v>31016</v>
      </c>
      <c r="I9" s="26">
        <v>32894</v>
      </c>
      <c r="J9" s="26">
        <v>37615.621200000001</v>
      </c>
      <c r="K9" s="26">
        <v>55233</v>
      </c>
      <c r="L9" s="26">
        <v>60289</v>
      </c>
      <c r="M9" s="26">
        <v>72162</v>
      </c>
      <c r="N9" s="26">
        <v>80739.351699999999</v>
      </c>
      <c r="O9" s="26">
        <v>87223</v>
      </c>
      <c r="P9" s="26">
        <v>91542</v>
      </c>
      <c r="Q9" s="26">
        <v>99573</v>
      </c>
      <c r="R9" s="26">
        <v>97203</v>
      </c>
      <c r="S9" s="26">
        <v>95483</v>
      </c>
      <c r="T9" s="26">
        <v>95152</v>
      </c>
      <c r="U9" s="26">
        <v>103915</v>
      </c>
      <c r="V9" s="26">
        <v>110172</v>
      </c>
      <c r="W9" s="26">
        <v>108793</v>
      </c>
      <c r="X9" s="26">
        <v>105831</v>
      </c>
      <c r="Y9" s="26">
        <v>97514</v>
      </c>
      <c r="Z9" s="26">
        <v>92614</v>
      </c>
      <c r="AA9" s="26">
        <v>88573</v>
      </c>
    </row>
    <row r="10" spans="1:27" x14ac:dyDescent="0.25">
      <c r="A10" s="11" t="s">
        <v>262</v>
      </c>
      <c r="B10" s="11" t="s">
        <v>263</v>
      </c>
      <c r="C10" s="14">
        <v>14551</v>
      </c>
      <c r="D10" s="14">
        <v>18489</v>
      </c>
      <c r="E10" s="14">
        <v>10337.525600000001</v>
      </c>
      <c r="F10" s="14">
        <v>9613.8950999999997</v>
      </c>
      <c r="G10" s="14">
        <v>24614</v>
      </c>
      <c r="H10" s="14">
        <v>11367</v>
      </c>
      <c r="I10" s="14">
        <v>10021</v>
      </c>
      <c r="J10" s="14">
        <v>11158.9028</v>
      </c>
      <c r="K10" s="14">
        <v>28311</v>
      </c>
      <c r="L10" s="14">
        <v>33238</v>
      </c>
      <c r="M10" s="14">
        <v>41468</v>
      </c>
      <c r="N10" s="14">
        <v>49514.662300000004</v>
      </c>
      <c r="O10" s="14">
        <v>55493</v>
      </c>
      <c r="P10" s="14">
        <v>63019</v>
      </c>
      <c r="Q10" s="14">
        <v>66384</v>
      </c>
      <c r="R10" s="14">
        <v>63164</v>
      </c>
      <c r="S10" s="14">
        <v>60706</v>
      </c>
      <c r="T10" s="14">
        <v>63214</v>
      </c>
      <c r="U10" s="14">
        <v>67951</v>
      </c>
      <c r="V10" s="14">
        <v>74471</v>
      </c>
      <c r="W10" s="14">
        <v>73047</v>
      </c>
      <c r="X10" s="14">
        <v>69997</v>
      </c>
      <c r="Y10" s="14">
        <v>60900</v>
      </c>
      <c r="Z10" s="14">
        <v>54497</v>
      </c>
      <c r="AA10" s="14">
        <v>49096</v>
      </c>
    </row>
    <row r="11" spans="1:27" x14ac:dyDescent="0.25">
      <c r="A11" s="7" t="s">
        <v>264</v>
      </c>
      <c r="B11" s="7" t="s">
        <v>265</v>
      </c>
      <c r="C11" s="20">
        <v>7608</v>
      </c>
      <c r="D11" s="20">
        <v>16367</v>
      </c>
      <c r="E11" s="20">
        <v>14876.5928</v>
      </c>
      <c r="F11" s="20">
        <v>17681.748200000002</v>
      </c>
      <c r="G11" s="20">
        <v>22575</v>
      </c>
      <c r="H11" s="20">
        <v>8134</v>
      </c>
      <c r="I11" s="20">
        <v>5855</v>
      </c>
      <c r="J11" s="20">
        <v>21319.105</v>
      </c>
      <c r="K11" s="20">
        <v>23800</v>
      </c>
      <c r="L11" s="20">
        <v>17770</v>
      </c>
      <c r="M11" s="20">
        <v>16929</v>
      </c>
      <c r="N11" s="20">
        <v>18197.568800000001</v>
      </c>
      <c r="O11" s="20">
        <v>21883</v>
      </c>
      <c r="P11" s="20">
        <v>21213</v>
      </c>
      <c r="Q11" s="20">
        <v>19464</v>
      </c>
      <c r="R11" s="20">
        <v>24685</v>
      </c>
      <c r="S11" s="20">
        <v>27832</v>
      </c>
      <c r="T11" s="20">
        <v>24489</v>
      </c>
      <c r="U11" s="20">
        <v>22565</v>
      </c>
      <c r="V11" s="20">
        <v>25964</v>
      </c>
      <c r="W11" s="20">
        <v>32651</v>
      </c>
      <c r="X11" s="20">
        <v>26791</v>
      </c>
      <c r="Y11" s="20">
        <v>25768</v>
      </c>
      <c r="Z11" s="20">
        <v>33365</v>
      </c>
      <c r="AA11" s="20">
        <v>33982</v>
      </c>
    </row>
    <row r="12" spans="1:27" x14ac:dyDescent="0.25">
      <c r="A12" s="11" t="s">
        <v>266</v>
      </c>
      <c r="B12" s="11" t="s">
        <v>267</v>
      </c>
      <c r="C12" s="14">
        <v>1166</v>
      </c>
      <c r="D12" s="14">
        <v>1703</v>
      </c>
      <c r="E12" s="14">
        <v>1127.6635000000001</v>
      </c>
      <c r="F12" s="14">
        <v>857.56650000000002</v>
      </c>
      <c r="G12" s="14">
        <v>860</v>
      </c>
      <c r="H12" s="14">
        <v>840</v>
      </c>
      <c r="I12" s="14">
        <v>1116</v>
      </c>
      <c r="J12" s="14">
        <v>1475.7619999999999</v>
      </c>
      <c r="K12" s="14">
        <v>1466</v>
      </c>
      <c r="L12" s="14">
        <v>1032</v>
      </c>
      <c r="M12" s="14">
        <v>777</v>
      </c>
      <c r="N12" s="14">
        <v>651.30079999999998</v>
      </c>
      <c r="O12" s="14">
        <v>412</v>
      </c>
      <c r="P12" s="14">
        <v>1172</v>
      </c>
      <c r="Q12" s="14">
        <v>1061</v>
      </c>
      <c r="R12" s="14">
        <v>1268</v>
      </c>
      <c r="S12" s="14">
        <v>1034</v>
      </c>
      <c r="T12" s="14">
        <v>1038</v>
      </c>
      <c r="U12" s="14">
        <v>1499</v>
      </c>
      <c r="V12" s="14">
        <v>1410</v>
      </c>
      <c r="W12" s="14">
        <v>2115</v>
      </c>
      <c r="X12" s="14">
        <v>2451</v>
      </c>
      <c r="Y12" s="14">
        <v>2438</v>
      </c>
      <c r="Z12" s="14">
        <v>1890</v>
      </c>
      <c r="AA12" s="14">
        <v>1756</v>
      </c>
    </row>
    <row r="13" spans="1:27" x14ac:dyDescent="0.25">
      <c r="A13" s="11" t="s">
        <v>268</v>
      </c>
      <c r="B13" s="11" t="s">
        <v>269</v>
      </c>
      <c r="C13" s="14">
        <v>1166</v>
      </c>
      <c r="D13" s="14">
        <v>1703</v>
      </c>
      <c r="E13" s="14">
        <v>-1528.77</v>
      </c>
      <c r="F13" s="14">
        <v>272</v>
      </c>
      <c r="G13" s="14">
        <v>-492</v>
      </c>
      <c r="H13" s="14">
        <v>840</v>
      </c>
      <c r="I13" s="14">
        <v>358</v>
      </c>
      <c r="J13" s="14">
        <v>529.76199999999994</v>
      </c>
      <c r="K13" s="14">
        <v>53</v>
      </c>
      <c r="L13" s="14">
        <v>-172</v>
      </c>
      <c r="M13" s="14">
        <v>-18</v>
      </c>
      <c r="N13" s="14">
        <v>445</v>
      </c>
      <c r="O13" s="14">
        <v>150</v>
      </c>
      <c r="P13" s="14">
        <v>539</v>
      </c>
      <c r="Q13" s="14">
        <v>351</v>
      </c>
      <c r="R13" s="14">
        <v>1392</v>
      </c>
      <c r="S13" s="14">
        <v>536</v>
      </c>
      <c r="T13" s="14">
        <v>500</v>
      </c>
      <c r="U13" s="14">
        <v>2065</v>
      </c>
      <c r="V13" s="14">
        <v>179</v>
      </c>
      <c r="W13" s="14">
        <v>1854</v>
      </c>
      <c r="X13" s="14">
        <v>1385</v>
      </c>
      <c r="Y13" s="14">
        <v>1750</v>
      </c>
      <c r="Z13" s="14">
        <v>591</v>
      </c>
      <c r="AA13" s="14">
        <v>979</v>
      </c>
    </row>
    <row r="14" spans="1:27" x14ac:dyDescent="0.25">
      <c r="A14" s="11" t="s">
        <v>270</v>
      </c>
      <c r="B14" s="11" t="s">
        <v>271</v>
      </c>
      <c r="C14" s="14">
        <v>0</v>
      </c>
      <c r="D14" s="14">
        <v>0</v>
      </c>
      <c r="E14" s="14">
        <v>2656.4335000000001</v>
      </c>
      <c r="F14" s="14">
        <v>585.56650000000002</v>
      </c>
      <c r="G14" s="14">
        <v>1352</v>
      </c>
      <c r="H14" s="14">
        <v>0</v>
      </c>
      <c r="I14" s="14">
        <v>758</v>
      </c>
      <c r="J14" s="14">
        <v>946</v>
      </c>
      <c r="K14" s="14">
        <v>1413</v>
      </c>
      <c r="L14" s="14">
        <v>1204</v>
      </c>
      <c r="M14" s="14">
        <v>795</v>
      </c>
      <c r="N14" s="14">
        <v>206.30080000000001</v>
      </c>
      <c r="O14" s="14">
        <v>262</v>
      </c>
      <c r="P14" s="14">
        <v>633</v>
      </c>
      <c r="Q14" s="14">
        <v>710</v>
      </c>
      <c r="R14" s="14">
        <v>-124</v>
      </c>
      <c r="S14" s="14">
        <v>498</v>
      </c>
      <c r="T14" s="14">
        <v>538</v>
      </c>
      <c r="U14" s="14">
        <v>-566</v>
      </c>
      <c r="V14" s="14">
        <v>1231</v>
      </c>
      <c r="W14" s="14">
        <v>261</v>
      </c>
      <c r="X14" s="14">
        <v>1066</v>
      </c>
      <c r="Y14" s="14">
        <v>688</v>
      </c>
      <c r="Z14" s="14">
        <v>1299</v>
      </c>
      <c r="AA14" s="14">
        <v>777</v>
      </c>
    </row>
    <row r="15" spans="1:27" x14ac:dyDescent="0.25">
      <c r="A15" s="11" t="s">
        <v>272</v>
      </c>
      <c r="B15" s="11" t="s">
        <v>273</v>
      </c>
      <c r="C15" s="14">
        <v>6115</v>
      </c>
      <c r="D15" s="14">
        <v>5406</v>
      </c>
      <c r="E15" s="14">
        <v>5707.5526</v>
      </c>
      <c r="F15" s="14">
        <v>6774.4233999999997</v>
      </c>
      <c r="G15" s="14">
        <v>6374</v>
      </c>
      <c r="H15" s="14">
        <v>6685</v>
      </c>
      <c r="I15" s="14">
        <v>7113</v>
      </c>
      <c r="J15" s="14">
        <v>7788.0502999999999</v>
      </c>
      <c r="K15" s="14">
        <v>7359</v>
      </c>
      <c r="L15" s="14">
        <v>8082</v>
      </c>
      <c r="M15" s="14">
        <v>8132</v>
      </c>
      <c r="N15" s="14">
        <v>8775.2139000000006</v>
      </c>
      <c r="O15" s="14">
        <v>8372</v>
      </c>
      <c r="P15" s="14">
        <v>8625</v>
      </c>
      <c r="Q15" s="14">
        <v>8533</v>
      </c>
      <c r="R15" s="14">
        <v>9543</v>
      </c>
      <c r="S15" s="14">
        <v>9397</v>
      </c>
      <c r="T15" s="14">
        <v>10087</v>
      </c>
      <c r="U15" s="14">
        <v>10636</v>
      </c>
      <c r="V15" s="14">
        <v>10518</v>
      </c>
      <c r="W15" s="14">
        <v>10198</v>
      </c>
      <c r="X15" s="14">
        <v>10704</v>
      </c>
      <c r="Y15" s="14">
        <v>10035</v>
      </c>
      <c r="Z15" s="14">
        <v>10102</v>
      </c>
      <c r="AA15" s="14">
        <v>10035</v>
      </c>
    </row>
    <row r="16" spans="1:27" x14ac:dyDescent="0.25">
      <c r="A16" s="11" t="s">
        <v>274</v>
      </c>
      <c r="B16" s="11" t="s">
        <v>275</v>
      </c>
      <c r="C16" s="14">
        <v>327</v>
      </c>
      <c r="D16" s="14">
        <v>9258</v>
      </c>
      <c r="E16" s="14">
        <v>8041.3766999999998</v>
      </c>
      <c r="F16" s="14">
        <v>10049.7583</v>
      </c>
      <c r="G16" s="14">
        <v>15341</v>
      </c>
      <c r="H16" s="14">
        <v>609</v>
      </c>
      <c r="I16" s="14">
        <v>-2374</v>
      </c>
      <c r="J16" s="14">
        <v>12055.2927</v>
      </c>
      <c r="K16" s="14">
        <v>14975</v>
      </c>
      <c r="L16" s="14">
        <v>8656</v>
      </c>
      <c r="M16" s="14">
        <v>8020</v>
      </c>
      <c r="N16" s="14">
        <v>8771.0540999999994</v>
      </c>
      <c r="O16" s="14">
        <v>13099</v>
      </c>
      <c r="P16" s="14">
        <v>11416</v>
      </c>
      <c r="Q16" s="14">
        <v>9870</v>
      </c>
      <c r="R16" s="14">
        <v>13874</v>
      </c>
      <c r="S16" s="14">
        <v>17401</v>
      </c>
      <c r="T16" s="14">
        <v>13364</v>
      </c>
      <c r="U16" s="14">
        <v>10430</v>
      </c>
      <c r="V16" s="14">
        <v>14036</v>
      </c>
      <c r="W16" s="14">
        <v>20338</v>
      </c>
      <c r="X16" s="14">
        <v>13636</v>
      </c>
      <c r="Y16" s="14">
        <v>13295</v>
      </c>
      <c r="Z16" s="14">
        <v>21373</v>
      </c>
      <c r="AA16" s="14">
        <v>22191</v>
      </c>
    </row>
    <row r="17" spans="1:27" x14ac:dyDescent="0.25">
      <c r="A17" s="7" t="s">
        <v>276</v>
      </c>
      <c r="B17" s="7" t="s">
        <v>95</v>
      </c>
      <c r="C17" s="20">
        <v>4344</v>
      </c>
      <c r="D17" s="20">
        <v>8456</v>
      </c>
      <c r="E17" s="20">
        <v>3137.9470999999999</v>
      </c>
      <c r="F17" s="20">
        <v>5992.1468999999997</v>
      </c>
      <c r="G17" s="20">
        <v>3214</v>
      </c>
      <c r="H17" s="20">
        <v>2765</v>
      </c>
      <c r="I17" s="20">
        <v>2653</v>
      </c>
      <c r="J17" s="20">
        <v>2718.6257000000001</v>
      </c>
      <c r="K17" s="20">
        <v>2668</v>
      </c>
      <c r="L17" s="20">
        <v>2434</v>
      </c>
      <c r="M17" s="20">
        <v>3148</v>
      </c>
      <c r="N17" s="20">
        <v>3631.6623</v>
      </c>
      <c r="O17" s="20">
        <v>3771</v>
      </c>
      <c r="P17" s="20">
        <v>4038</v>
      </c>
      <c r="Q17" s="20">
        <v>4541</v>
      </c>
      <c r="R17" s="20">
        <v>3591</v>
      </c>
      <c r="S17" s="20">
        <v>4868</v>
      </c>
      <c r="T17" s="20">
        <v>4854</v>
      </c>
      <c r="U17" s="20">
        <v>4615</v>
      </c>
      <c r="V17" s="20">
        <v>3786</v>
      </c>
      <c r="W17" s="20">
        <v>5086</v>
      </c>
      <c r="X17" s="20">
        <v>5208</v>
      </c>
      <c r="Y17" s="20">
        <v>8176</v>
      </c>
      <c r="Z17" s="20">
        <v>2769</v>
      </c>
      <c r="AA17" s="20">
        <v>6916</v>
      </c>
    </row>
    <row r="18" spans="1:27" x14ac:dyDescent="0.25">
      <c r="A18" s="7" t="s">
        <v>277</v>
      </c>
      <c r="B18" s="7" t="s">
        <v>278</v>
      </c>
      <c r="C18" s="20">
        <v>25232</v>
      </c>
      <c r="D18" s="20">
        <v>21772</v>
      </c>
      <c r="E18" s="20">
        <v>34650.003499999999</v>
      </c>
      <c r="F18" s="20">
        <v>32727.534800000001</v>
      </c>
      <c r="G18" s="20">
        <v>42138</v>
      </c>
      <c r="H18" s="20">
        <v>25018</v>
      </c>
      <c r="I18" s="20">
        <v>26075</v>
      </c>
      <c r="J18" s="20">
        <v>45057.1976</v>
      </c>
      <c r="K18" s="20">
        <v>48054</v>
      </c>
      <c r="L18" s="20">
        <v>42387</v>
      </c>
      <c r="M18" s="20">
        <v>44475</v>
      </c>
      <c r="N18" s="20">
        <v>45790.5959</v>
      </c>
      <c r="O18" s="20">
        <v>49842</v>
      </c>
      <c r="P18" s="20">
        <v>45698</v>
      </c>
      <c r="Q18" s="20">
        <v>48112</v>
      </c>
      <c r="R18" s="20">
        <v>55133</v>
      </c>
      <c r="S18" s="20">
        <v>57741</v>
      </c>
      <c r="T18" s="20">
        <v>51573</v>
      </c>
      <c r="U18" s="20">
        <v>53914</v>
      </c>
      <c r="V18" s="20">
        <v>57879</v>
      </c>
      <c r="W18" s="20">
        <v>63311</v>
      </c>
      <c r="X18" s="20">
        <v>57417</v>
      </c>
      <c r="Y18" s="20">
        <v>54206</v>
      </c>
      <c r="Z18" s="20">
        <v>68713</v>
      </c>
      <c r="AA18" s="20">
        <v>66543</v>
      </c>
    </row>
    <row r="19" spans="1:27" x14ac:dyDescent="0.25">
      <c r="A19" s="7" t="s">
        <v>279</v>
      </c>
      <c r="B19" s="7" t="s">
        <v>99</v>
      </c>
      <c r="C19" s="20">
        <v>13214</v>
      </c>
      <c r="D19" s="20">
        <v>12776</v>
      </c>
      <c r="E19" s="20">
        <v>23043.359499999999</v>
      </c>
      <c r="F19" s="20">
        <v>25053.7042</v>
      </c>
      <c r="G19" s="20">
        <v>31320</v>
      </c>
      <c r="H19" s="20">
        <v>14379</v>
      </c>
      <c r="I19" s="20">
        <v>14378</v>
      </c>
      <c r="J19" s="20">
        <v>33763.214999999997</v>
      </c>
      <c r="K19" s="20">
        <v>33176</v>
      </c>
      <c r="L19" s="20">
        <v>27319</v>
      </c>
      <c r="M19" s="20">
        <v>28925</v>
      </c>
      <c r="N19" s="20">
        <v>30893.469700000001</v>
      </c>
      <c r="O19" s="20">
        <v>32570</v>
      </c>
      <c r="P19" s="20">
        <v>28109</v>
      </c>
      <c r="Q19" s="20">
        <v>30636</v>
      </c>
      <c r="R19" s="20">
        <v>38842</v>
      </c>
      <c r="S19" s="20">
        <v>38018</v>
      </c>
      <c r="T19" s="20">
        <v>33497</v>
      </c>
      <c r="U19" s="20">
        <v>34776</v>
      </c>
      <c r="V19" s="20">
        <v>39884</v>
      </c>
      <c r="W19" s="20">
        <v>41568</v>
      </c>
      <c r="X19" s="20">
        <v>38228</v>
      </c>
      <c r="Y19" s="20">
        <v>36067</v>
      </c>
      <c r="Z19" s="20">
        <v>45928</v>
      </c>
      <c r="AA19" s="20">
        <v>44741</v>
      </c>
    </row>
    <row r="20" spans="1:27" x14ac:dyDescent="0.25">
      <c r="A20" s="11" t="s">
        <v>280</v>
      </c>
      <c r="B20" s="11" t="s">
        <v>281</v>
      </c>
      <c r="C20" s="14">
        <v>2660</v>
      </c>
      <c r="D20" s="14">
        <v>2337</v>
      </c>
      <c r="E20" s="14">
        <v>2611.2381999999998</v>
      </c>
      <c r="F20" s="14">
        <v>3175.8049999999998</v>
      </c>
      <c r="G20" s="14">
        <v>2644</v>
      </c>
      <c r="H20" s="14">
        <v>3396</v>
      </c>
      <c r="I20" s="14">
        <v>3614</v>
      </c>
      <c r="J20" s="14">
        <v>3785.3953999999999</v>
      </c>
      <c r="K20" s="14">
        <v>3350</v>
      </c>
      <c r="L20" s="14">
        <v>3769</v>
      </c>
      <c r="M20" s="14">
        <v>3916</v>
      </c>
      <c r="N20" s="14">
        <v>4270.9345999999996</v>
      </c>
      <c r="O20" s="14">
        <v>4164</v>
      </c>
      <c r="P20" s="14">
        <v>4439</v>
      </c>
      <c r="Q20" s="14">
        <v>4438</v>
      </c>
      <c r="R20" s="14">
        <v>5078</v>
      </c>
      <c r="S20" s="14">
        <v>4605</v>
      </c>
      <c r="T20" s="14">
        <v>5150</v>
      </c>
      <c r="U20" s="14">
        <v>5332</v>
      </c>
      <c r="V20" s="14">
        <v>5768</v>
      </c>
      <c r="W20" s="14">
        <v>5404</v>
      </c>
      <c r="X20" s="14">
        <v>5632</v>
      </c>
      <c r="Y20" s="14">
        <v>4924</v>
      </c>
      <c r="Z20" s="14">
        <v>4481</v>
      </c>
      <c r="AA20" s="14">
        <v>4506</v>
      </c>
    </row>
    <row r="21" spans="1:27" x14ac:dyDescent="0.25">
      <c r="A21" s="11" t="s">
        <v>282</v>
      </c>
      <c r="B21" s="11" t="s">
        <v>283</v>
      </c>
      <c r="C21" s="14">
        <v>10554</v>
      </c>
      <c r="D21" s="14">
        <v>10439</v>
      </c>
      <c r="E21" s="14">
        <v>20432.1214</v>
      </c>
      <c r="F21" s="14">
        <v>21877.8992</v>
      </c>
      <c r="G21" s="14">
        <v>28676</v>
      </c>
      <c r="H21" s="14">
        <v>10983</v>
      </c>
      <c r="I21" s="14">
        <v>10764</v>
      </c>
      <c r="J21" s="14">
        <v>29977.819599999999</v>
      </c>
      <c r="K21" s="14">
        <v>29826</v>
      </c>
      <c r="L21" s="14">
        <v>23550</v>
      </c>
      <c r="M21" s="14">
        <v>25009</v>
      </c>
      <c r="N21" s="14">
        <v>26622.535100000001</v>
      </c>
      <c r="O21" s="14">
        <v>28406</v>
      </c>
      <c r="P21" s="14">
        <v>23670</v>
      </c>
      <c r="Q21" s="14">
        <v>26198</v>
      </c>
      <c r="R21" s="14">
        <v>33764</v>
      </c>
      <c r="S21" s="14">
        <v>33413</v>
      </c>
      <c r="T21" s="14">
        <v>28347</v>
      </c>
      <c r="U21" s="14">
        <v>29444</v>
      </c>
      <c r="V21" s="14">
        <v>34116</v>
      </c>
      <c r="W21" s="14">
        <v>36164</v>
      </c>
      <c r="X21" s="14">
        <v>32596</v>
      </c>
      <c r="Y21" s="14">
        <v>31143</v>
      </c>
      <c r="Z21" s="14">
        <v>41447</v>
      </c>
      <c r="AA21" s="14">
        <v>40235</v>
      </c>
    </row>
    <row r="22" spans="1:27" x14ac:dyDescent="0.25">
      <c r="A22" s="7" t="s">
        <v>284</v>
      </c>
      <c r="B22" s="7" t="s">
        <v>74</v>
      </c>
      <c r="C22" s="20">
        <v>12018</v>
      </c>
      <c r="D22" s="20">
        <v>8996</v>
      </c>
      <c r="E22" s="20">
        <v>11606.644</v>
      </c>
      <c r="F22" s="20">
        <v>7673.8306000000002</v>
      </c>
      <c r="G22" s="20">
        <v>10818</v>
      </c>
      <c r="H22" s="20">
        <v>10639</v>
      </c>
      <c r="I22" s="20">
        <v>11697</v>
      </c>
      <c r="J22" s="20">
        <v>11293.982599999999</v>
      </c>
      <c r="K22" s="20">
        <v>14878</v>
      </c>
      <c r="L22" s="20">
        <v>15068</v>
      </c>
      <c r="M22" s="20">
        <v>15550</v>
      </c>
      <c r="N22" s="20">
        <v>14897.126200000001</v>
      </c>
      <c r="O22" s="20">
        <v>17272</v>
      </c>
      <c r="P22" s="20">
        <v>17589</v>
      </c>
      <c r="Q22" s="20">
        <v>17476</v>
      </c>
      <c r="R22" s="20">
        <v>16291</v>
      </c>
      <c r="S22" s="20">
        <v>19723</v>
      </c>
      <c r="T22" s="20">
        <v>18076</v>
      </c>
      <c r="U22" s="20">
        <v>19138</v>
      </c>
      <c r="V22" s="20">
        <v>17995</v>
      </c>
      <c r="W22" s="20">
        <v>21743</v>
      </c>
      <c r="X22" s="20">
        <v>19189</v>
      </c>
      <c r="Y22" s="20">
        <v>18139</v>
      </c>
      <c r="Z22" s="20">
        <v>22785</v>
      </c>
      <c r="AA22" s="20">
        <v>21802</v>
      </c>
    </row>
    <row r="23" spans="1:27" x14ac:dyDescent="0.25">
      <c r="A23" s="7" t="s">
        <v>285</v>
      </c>
      <c r="B23" s="7" t="s">
        <v>286</v>
      </c>
      <c r="C23" s="20">
        <v>-353</v>
      </c>
      <c r="D23" s="20">
        <v>648</v>
      </c>
      <c r="E23" s="20">
        <v>-491.80099999999999</v>
      </c>
      <c r="F23" s="20">
        <v>-509.9683</v>
      </c>
      <c r="G23" s="20">
        <v>-429</v>
      </c>
      <c r="H23" s="20">
        <v>-675</v>
      </c>
      <c r="I23" s="20">
        <v>-532</v>
      </c>
      <c r="J23" s="20">
        <v>-636.99239999999998</v>
      </c>
      <c r="K23" s="20">
        <v>-197</v>
      </c>
      <c r="L23" s="20">
        <v>-128</v>
      </c>
      <c r="M23" s="20">
        <v>-233</v>
      </c>
      <c r="N23" s="20">
        <v>-407.87169999999998</v>
      </c>
      <c r="O23" s="20">
        <v>-333</v>
      </c>
      <c r="P23" s="20">
        <v>-358</v>
      </c>
      <c r="Q23" s="20">
        <v>-259</v>
      </c>
      <c r="R23" s="20">
        <v>-462</v>
      </c>
      <c r="S23" s="20">
        <v>-547</v>
      </c>
      <c r="T23" s="20">
        <v>-357</v>
      </c>
      <c r="U23" s="20">
        <v>-451</v>
      </c>
      <c r="V23" s="20">
        <v>-358</v>
      </c>
      <c r="W23" s="20">
        <v>-408</v>
      </c>
      <c r="X23" s="20">
        <v>-390</v>
      </c>
      <c r="Y23" s="20">
        <v>-456</v>
      </c>
      <c r="Z23" s="20">
        <v>-470</v>
      </c>
      <c r="AA23" s="20">
        <v>-360</v>
      </c>
    </row>
    <row r="24" spans="1:27" x14ac:dyDescent="0.25">
      <c r="A24" s="11" t="s">
        <v>287</v>
      </c>
      <c r="B24" s="11" t="s">
        <v>288</v>
      </c>
      <c r="C24" s="14">
        <v>-353</v>
      </c>
      <c r="D24" s="14">
        <v>648</v>
      </c>
      <c r="E24" s="14">
        <v>-491.80099999999999</v>
      </c>
      <c r="F24" s="14">
        <v>-509.9683</v>
      </c>
      <c r="G24" s="14">
        <v>-429</v>
      </c>
      <c r="H24" s="14">
        <v>-675</v>
      </c>
      <c r="I24" s="14">
        <v>-532</v>
      </c>
      <c r="J24" s="14">
        <v>-636.99239999999998</v>
      </c>
      <c r="K24" s="14">
        <v>-197</v>
      </c>
      <c r="L24" s="14">
        <v>-128</v>
      </c>
      <c r="M24" s="14">
        <v>-233</v>
      </c>
      <c r="N24" s="14">
        <v>-407.87169999999998</v>
      </c>
      <c r="O24" s="14">
        <v>-333</v>
      </c>
      <c r="P24" s="14">
        <v>-358</v>
      </c>
      <c r="Q24" s="14">
        <v>-259</v>
      </c>
      <c r="R24" s="14">
        <v>-462</v>
      </c>
      <c r="S24" s="14">
        <v>-547</v>
      </c>
      <c r="T24" s="14">
        <v>-357</v>
      </c>
      <c r="U24" s="14">
        <v>-451</v>
      </c>
      <c r="V24" s="14">
        <v>-358</v>
      </c>
      <c r="W24" s="14">
        <v>-408</v>
      </c>
      <c r="X24" s="14">
        <v>-390</v>
      </c>
      <c r="Y24" s="14">
        <v>-456</v>
      </c>
      <c r="Z24" s="14">
        <v>-470</v>
      </c>
      <c r="AA24" s="14">
        <v>-360</v>
      </c>
    </row>
    <row r="25" spans="1:27" x14ac:dyDescent="0.25">
      <c r="A25" s="11" t="s">
        <v>289</v>
      </c>
      <c r="B25" s="11" t="s">
        <v>290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</row>
    <row r="26" spans="1:27" x14ac:dyDescent="0.25">
      <c r="A26" s="7" t="s">
        <v>291</v>
      </c>
      <c r="B26" s="7" t="s">
        <v>292</v>
      </c>
      <c r="C26" s="20">
        <v>12371</v>
      </c>
      <c r="D26" s="20">
        <v>8348</v>
      </c>
      <c r="E26" s="20">
        <v>12098.445</v>
      </c>
      <c r="F26" s="20">
        <v>8183.7988999999998</v>
      </c>
      <c r="G26" s="20">
        <v>11247</v>
      </c>
      <c r="H26" s="20">
        <v>11314</v>
      </c>
      <c r="I26" s="20">
        <v>12229</v>
      </c>
      <c r="J26" s="20">
        <v>11930.975</v>
      </c>
      <c r="K26" s="20">
        <v>15075</v>
      </c>
      <c r="L26" s="20">
        <v>15196</v>
      </c>
      <c r="M26" s="20">
        <v>15783</v>
      </c>
      <c r="N26" s="20">
        <v>15304.9979</v>
      </c>
      <c r="O26" s="20">
        <v>17605</v>
      </c>
      <c r="P26" s="20">
        <v>17947</v>
      </c>
      <c r="Q26" s="20">
        <v>17735</v>
      </c>
      <c r="R26" s="20">
        <v>16753</v>
      </c>
      <c r="S26" s="20">
        <v>20270</v>
      </c>
      <c r="T26" s="20">
        <v>18433</v>
      </c>
      <c r="U26" s="20">
        <v>19589</v>
      </c>
      <c r="V26" s="20">
        <v>18353</v>
      </c>
      <c r="W26" s="20">
        <v>22151</v>
      </c>
      <c r="X26" s="20">
        <v>19579</v>
      </c>
      <c r="Y26" s="20">
        <v>18595</v>
      </c>
      <c r="Z26" s="20">
        <v>23255</v>
      </c>
      <c r="AA26" s="20">
        <v>22162</v>
      </c>
    </row>
    <row r="27" spans="1:27" x14ac:dyDescent="0.25">
      <c r="A27" s="7" t="s">
        <v>293</v>
      </c>
      <c r="B27" s="7" t="s">
        <v>294</v>
      </c>
      <c r="C27" s="20">
        <v>-88</v>
      </c>
      <c r="D27" s="20">
        <v>-132</v>
      </c>
      <c r="E27" s="20">
        <v>-110</v>
      </c>
      <c r="F27" s="20">
        <v>385</v>
      </c>
      <c r="G27" s="20">
        <v>-87</v>
      </c>
      <c r="H27" s="20">
        <v>-132</v>
      </c>
      <c r="I27" s="20">
        <v>252</v>
      </c>
      <c r="J27" s="20">
        <v>593</v>
      </c>
      <c r="K27" s="20">
        <v>-140</v>
      </c>
      <c r="L27" s="20">
        <v>-196</v>
      </c>
      <c r="M27" s="20">
        <v>-107</v>
      </c>
      <c r="N27" s="20">
        <v>-186</v>
      </c>
      <c r="O27" s="20">
        <v>-140</v>
      </c>
      <c r="P27" s="20">
        <v>-155</v>
      </c>
      <c r="Q27" s="20">
        <v>-247</v>
      </c>
      <c r="R27" s="20">
        <v>-391</v>
      </c>
      <c r="S27" s="20">
        <v>144</v>
      </c>
      <c r="T27" s="20">
        <v>-213</v>
      </c>
      <c r="U27" s="20">
        <v>-245</v>
      </c>
      <c r="V27" s="20">
        <v>-11</v>
      </c>
      <c r="W27" s="20">
        <v>177</v>
      </c>
      <c r="X27" s="20">
        <v>-95</v>
      </c>
      <c r="Y27" s="20">
        <v>-105</v>
      </c>
      <c r="Z27" s="20">
        <v>33</v>
      </c>
      <c r="AA27" s="20">
        <v>100</v>
      </c>
    </row>
    <row r="28" spans="1:27" x14ac:dyDescent="0.25">
      <c r="A28" s="11" t="s">
        <v>295</v>
      </c>
      <c r="B28" s="11" t="s">
        <v>296</v>
      </c>
      <c r="C28" s="14" t="s">
        <v>1033</v>
      </c>
      <c r="D28" s="14">
        <v>-132</v>
      </c>
      <c r="E28" s="14">
        <v>-165</v>
      </c>
      <c r="F28" s="14">
        <v>899</v>
      </c>
      <c r="G28" s="14" t="s">
        <v>1033</v>
      </c>
      <c r="H28" s="14">
        <v>-132</v>
      </c>
      <c r="I28" s="14" t="s">
        <v>1033</v>
      </c>
      <c r="J28" s="14" t="s">
        <v>1033</v>
      </c>
      <c r="K28" s="14" t="s">
        <v>1033</v>
      </c>
      <c r="L28" s="14" t="s">
        <v>1033</v>
      </c>
      <c r="M28" s="14" t="s">
        <v>1033</v>
      </c>
      <c r="N28" s="14" t="s">
        <v>1033</v>
      </c>
      <c r="O28" s="14" t="s">
        <v>1033</v>
      </c>
      <c r="P28" s="14" t="s">
        <v>1033</v>
      </c>
      <c r="Q28" s="14" t="s">
        <v>1033</v>
      </c>
      <c r="R28" s="14" t="s">
        <v>1033</v>
      </c>
      <c r="S28" s="14" t="s">
        <v>1033</v>
      </c>
      <c r="T28" s="14" t="s">
        <v>1033</v>
      </c>
      <c r="U28" s="14" t="s">
        <v>1033</v>
      </c>
      <c r="V28" s="14" t="s">
        <v>1033</v>
      </c>
      <c r="W28" s="14" t="s">
        <v>1033</v>
      </c>
      <c r="X28" s="14" t="s">
        <v>1033</v>
      </c>
      <c r="Y28" s="14" t="s">
        <v>1033</v>
      </c>
      <c r="Z28" s="14" t="s">
        <v>1033</v>
      </c>
      <c r="AA28" s="14" t="s">
        <v>1033</v>
      </c>
    </row>
    <row r="29" spans="1:27" x14ac:dyDescent="0.25">
      <c r="A29" s="11" t="s">
        <v>297</v>
      </c>
      <c r="B29" s="11" t="s">
        <v>298</v>
      </c>
      <c r="C29" s="14" t="s">
        <v>1033</v>
      </c>
      <c r="D29" s="14" t="s">
        <v>1033</v>
      </c>
      <c r="E29" s="14">
        <v>55</v>
      </c>
      <c r="F29" s="14" t="s">
        <v>1033</v>
      </c>
      <c r="G29" s="14" t="s">
        <v>1033</v>
      </c>
      <c r="H29" s="14" t="s">
        <v>1033</v>
      </c>
      <c r="I29" s="14" t="s">
        <v>1033</v>
      </c>
      <c r="J29" s="14">
        <v>372</v>
      </c>
      <c r="K29" s="14" t="s">
        <v>1033</v>
      </c>
      <c r="L29" s="14" t="s">
        <v>1033</v>
      </c>
      <c r="M29" s="14" t="s">
        <v>1033</v>
      </c>
      <c r="N29" s="14" t="s">
        <v>1033</v>
      </c>
      <c r="O29" s="14" t="s">
        <v>1033</v>
      </c>
      <c r="P29" s="14" t="s">
        <v>1033</v>
      </c>
      <c r="Q29" s="14" t="s">
        <v>1033</v>
      </c>
      <c r="R29" s="14" t="s">
        <v>1033</v>
      </c>
      <c r="S29" s="14" t="s">
        <v>1033</v>
      </c>
      <c r="T29" s="14" t="s">
        <v>1033</v>
      </c>
      <c r="U29" s="14" t="s">
        <v>1033</v>
      </c>
      <c r="V29" s="14" t="s">
        <v>1033</v>
      </c>
      <c r="W29" s="14" t="s">
        <v>1033</v>
      </c>
      <c r="X29" s="14" t="s">
        <v>1033</v>
      </c>
      <c r="Y29" s="14" t="s">
        <v>1033</v>
      </c>
      <c r="Z29" s="14" t="s">
        <v>1033</v>
      </c>
      <c r="AA29" s="14" t="s">
        <v>1033</v>
      </c>
    </row>
    <row r="30" spans="1:27" x14ac:dyDescent="0.25">
      <c r="A30" s="11" t="s">
        <v>299</v>
      </c>
      <c r="B30" s="11" t="s">
        <v>300</v>
      </c>
      <c r="C30" s="14">
        <v>-88</v>
      </c>
      <c r="D30" s="14" t="s">
        <v>1033</v>
      </c>
      <c r="E30" s="14" t="s">
        <v>1033</v>
      </c>
      <c r="F30" s="14">
        <v>-514</v>
      </c>
      <c r="G30" s="14">
        <v>-87</v>
      </c>
      <c r="H30" s="14" t="s">
        <v>1033</v>
      </c>
      <c r="I30" s="14">
        <v>252</v>
      </c>
      <c r="J30" s="14">
        <v>221</v>
      </c>
      <c r="K30" s="14">
        <v>-140</v>
      </c>
      <c r="L30" s="14">
        <v>-196</v>
      </c>
      <c r="M30" s="14">
        <v>-107</v>
      </c>
      <c r="N30" s="14">
        <v>-186</v>
      </c>
      <c r="O30" s="14">
        <v>-140</v>
      </c>
      <c r="P30" s="14">
        <v>-155</v>
      </c>
      <c r="Q30" s="14">
        <v>-247</v>
      </c>
      <c r="R30" s="14">
        <v>-391</v>
      </c>
      <c r="S30" s="14">
        <v>144</v>
      </c>
      <c r="T30" s="14">
        <v>-213</v>
      </c>
      <c r="U30" s="14">
        <v>-245</v>
      </c>
      <c r="V30" s="14">
        <v>-11</v>
      </c>
      <c r="W30" s="14">
        <v>177</v>
      </c>
      <c r="X30" s="14">
        <v>-95</v>
      </c>
      <c r="Y30" s="14">
        <v>-105</v>
      </c>
      <c r="Z30" s="14">
        <v>33</v>
      </c>
      <c r="AA30" s="14">
        <v>100</v>
      </c>
    </row>
    <row r="31" spans="1:27" x14ac:dyDescent="0.25">
      <c r="A31" s="7" t="s">
        <v>301</v>
      </c>
      <c r="B31" s="7" t="s">
        <v>292</v>
      </c>
      <c r="C31" s="20">
        <v>12459</v>
      </c>
      <c r="D31" s="20">
        <v>8480</v>
      </c>
      <c r="E31" s="20">
        <v>12208.445</v>
      </c>
      <c r="F31" s="20">
        <v>7798.7988999999998</v>
      </c>
      <c r="G31" s="20">
        <v>11334</v>
      </c>
      <c r="H31" s="20">
        <v>11446</v>
      </c>
      <c r="I31" s="20">
        <v>11977</v>
      </c>
      <c r="J31" s="20">
        <v>11337.975</v>
      </c>
      <c r="K31" s="20">
        <v>15215</v>
      </c>
      <c r="L31" s="20">
        <v>15392</v>
      </c>
      <c r="M31" s="20">
        <v>15890</v>
      </c>
      <c r="N31" s="20">
        <v>15490.9979</v>
      </c>
      <c r="O31" s="20">
        <v>17745</v>
      </c>
      <c r="P31" s="20">
        <v>18102</v>
      </c>
      <c r="Q31" s="20">
        <v>17982</v>
      </c>
      <c r="R31" s="20">
        <v>17144</v>
      </c>
      <c r="S31" s="20">
        <v>20126</v>
      </c>
      <c r="T31" s="20">
        <v>18646</v>
      </c>
      <c r="U31" s="20">
        <v>19834</v>
      </c>
      <c r="V31" s="20">
        <v>18364</v>
      </c>
      <c r="W31" s="20">
        <v>21974</v>
      </c>
      <c r="X31" s="20">
        <v>19674</v>
      </c>
      <c r="Y31" s="20">
        <v>18700</v>
      </c>
      <c r="Z31" s="20">
        <v>23222</v>
      </c>
      <c r="AA31" s="20">
        <v>22062</v>
      </c>
    </row>
    <row r="32" spans="1:27" x14ac:dyDescent="0.25">
      <c r="A32" s="7" t="s">
        <v>302</v>
      </c>
      <c r="B32" s="7" t="s">
        <v>303</v>
      </c>
      <c r="C32" s="20">
        <v>3228</v>
      </c>
      <c r="D32" s="20">
        <v>1886</v>
      </c>
      <c r="E32" s="20">
        <v>3178.4232000000002</v>
      </c>
      <c r="F32" s="20">
        <v>1756.4457</v>
      </c>
      <c r="G32" s="20">
        <v>2678</v>
      </c>
      <c r="H32" s="20">
        <v>2756</v>
      </c>
      <c r="I32" s="20">
        <v>2975</v>
      </c>
      <c r="J32" s="20">
        <v>2147.0821999999998</v>
      </c>
      <c r="K32" s="20">
        <v>4331</v>
      </c>
      <c r="L32" s="20">
        <v>3703</v>
      </c>
      <c r="M32" s="20">
        <v>4187</v>
      </c>
      <c r="N32" s="20">
        <v>3742.3290999999999</v>
      </c>
      <c r="O32" s="20">
        <v>4542</v>
      </c>
      <c r="P32" s="20">
        <v>4828</v>
      </c>
      <c r="Q32" s="20">
        <v>4518</v>
      </c>
      <c r="R32" s="20">
        <v>3944</v>
      </c>
      <c r="S32" s="20">
        <v>5965</v>
      </c>
      <c r="T32" s="20">
        <v>4543</v>
      </c>
      <c r="U32" s="20">
        <v>5288</v>
      </c>
      <c r="V32" s="20">
        <v>3560</v>
      </c>
      <c r="W32" s="20">
        <v>6179</v>
      </c>
      <c r="X32" s="20">
        <v>5317</v>
      </c>
      <c r="Y32" s="20">
        <v>4544</v>
      </c>
      <c r="Z32" s="20">
        <v>5717</v>
      </c>
      <c r="AA32" s="20">
        <v>6210</v>
      </c>
    </row>
    <row r="33" spans="1:27" x14ac:dyDescent="0.25">
      <c r="A33" s="11" t="s">
        <v>304</v>
      </c>
      <c r="B33" s="11" t="s">
        <v>305</v>
      </c>
      <c r="C33" s="14" t="s">
        <v>1033</v>
      </c>
      <c r="D33" s="14" t="s">
        <v>1033</v>
      </c>
      <c r="E33" s="14">
        <v>2476.5675000000001</v>
      </c>
      <c r="F33" s="14">
        <v>2267.6242000000002</v>
      </c>
      <c r="G33" s="14" t="s">
        <v>1033</v>
      </c>
      <c r="H33" s="14" t="s">
        <v>1033</v>
      </c>
      <c r="I33" s="14">
        <v>2295</v>
      </c>
      <c r="J33" s="14">
        <v>1231.3963000000001</v>
      </c>
      <c r="K33" s="14" t="s">
        <v>1033</v>
      </c>
      <c r="L33" s="14" t="s">
        <v>1033</v>
      </c>
      <c r="M33" s="14" t="s">
        <v>1033</v>
      </c>
      <c r="N33" s="14" t="s">
        <v>1033</v>
      </c>
      <c r="O33" s="14" t="s">
        <v>1033</v>
      </c>
      <c r="P33" s="14" t="s">
        <v>1033</v>
      </c>
      <c r="Q33" s="14" t="s">
        <v>1033</v>
      </c>
      <c r="R33" s="14" t="s">
        <v>1033</v>
      </c>
      <c r="S33" s="14" t="s">
        <v>1033</v>
      </c>
      <c r="T33" s="14" t="s">
        <v>1033</v>
      </c>
      <c r="U33" s="14" t="s">
        <v>1033</v>
      </c>
      <c r="V33" s="14" t="s">
        <v>1033</v>
      </c>
      <c r="W33" s="14" t="s">
        <v>1033</v>
      </c>
      <c r="X33" s="14" t="s">
        <v>1033</v>
      </c>
      <c r="Y33" s="14" t="s">
        <v>1033</v>
      </c>
      <c r="Z33" s="14" t="s">
        <v>1033</v>
      </c>
      <c r="AA33" s="14" t="s">
        <v>1033</v>
      </c>
    </row>
    <row r="34" spans="1:27" x14ac:dyDescent="0.25">
      <c r="A34" s="11" t="s">
        <v>306</v>
      </c>
      <c r="B34" s="11" t="s">
        <v>307</v>
      </c>
      <c r="C34" s="14" t="s">
        <v>1033</v>
      </c>
      <c r="D34" s="14" t="s">
        <v>1033</v>
      </c>
      <c r="E34" s="14">
        <v>701.85569999999996</v>
      </c>
      <c r="F34" s="14">
        <v>-511.17849999999999</v>
      </c>
      <c r="G34" s="14" t="s">
        <v>1033</v>
      </c>
      <c r="H34" s="14" t="s">
        <v>1033</v>
      </c>
      <c r="I34" s="14">
        <v>680</v>
      </c>
      <c r="J34" s="14">
        <v>915.68589999999995</v>
      </c>
      <c r="K34" s="14" t="s">
        <v>1033</v>
      </c>
      <c r="L34" s="14" t="s">
        <v>1033</v>
      </c>
      <c r="M34" s="14" t="s">
        <v>1033</v>
      </c>
      <c r="N34" s="14" t="s">
        <v>1033</v>
      </c>
      <c r="O34" s="14" t="s">
        <v>1033</v>
      </c>
      <c r="P34" s="14" t="s">
        <v>1033</v>
      </c>
      <c r="Q34" s="14" t="s">
        <v>1033</v>
      </c>
      <c r="R34" s="14" t="s">
        <v>1033</v>
      </c>
      <c r="S34" s="14" t="s">
        <v>1033</v>
      </c>
      <c r="T34" s="14" t="s">
        <v>1033</v>
      </c>
      <c r="U34" s="14" t="s">
        <v>1033</v>
      </c>
      <c r="V34" s="14" t="s">
        <v>1033</v>
      </c>
      <c r="W34" s="14" t="s">
        <v>1033</v>
      </c>
      <c r="X34" s="14" t="s">
        <v>1033</v>
      </c>
      <c r="Y34" s="14" t="s">
        <v>1033</v>
      </c>
      <c r="Z34" s="14" t="s">
        <v>1033</v>
      </c>
      <c r="AA34" s="14" t="s">
        <v>1033</v>
      </c>
    </row>
    <row r="35" spans="1:27" x14ac:dyDescent="0.25">
      <c r="A35" s="7" t="s">
        <v>308</v>
      </c>
      <c r="B35" s="7" t="s">
        <v>309</v>
      </c>
      <c r="C35" s="20">
        <v>9231</v>
      </c>
      <c r="D35" s="20">
        <v>6594</v>
      </c>
      <c r="E35" s="20">
        <v>9030.0218000000004</v>
      </c>
      <c r="F35" s="20">
        <v>6042.3531999999996</v>
      </c>
      <c r="G35" s="20">
        <v>8656</v>
      </c>
      <c r="H35" s="20">
        <v>8690</v>
      </c>
      <c r="I35" s="20">
        <v>9002</v>
      </c>
      <c r="J35" s="20">
        <v>9190.8927000000003</v>
      </c>
      <c r="K35" s="20">
        <v>10884</v>
      </c>
      <c r="L35" s="20">
        <v>11689</v>
      </c>
      <c r="M35" s="20">
        <v>11703</v>
      </c>
      <c r="N35" s="20">
        <v>11748.668900000001</v>
      </c>
      <c r="O35" s="20">
        <v>13203</v>
      </c>
      <c r="P35" s="20">
        <v>13274</v>
      </c>
      <c r="Q35" s="20">
        <v>13464</v>
      </c>
      <c r="R35" s="20">
        <v>13200</v>
      </c>
      <c r="S35" s="20">
        <v>14161</v>
      </c>
      <c r="T35" s="20">
        <v>14103</v>
      </c>
      <c r="U35" s="20">
        <v>14546</v>
      </c>
      <c r="V35" s="20">
        <v>14804</v>
      </c>
      <c r="W35" s="20">
        <v>15795</v>
      </c>
      <c r="X35" s="20">
        <v>14357</v>
      </c>
      <c r="Y35" s="20">
        <v>14156</v>
      </c>
      <c r="Z35" s="20">
        <v>17505</v>
      </c>
      <c r="AA35" s="20">
        <v>15852</v>
      </c>
    </row>
    <row r="36" spans="1:27" x14ac:dyDescent="0.25">
      <c r="A36" s="7" t="s">
        <v>310</v>
      </c>
      <c r="B36" s="7" t="s">
        <v>311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248</v>
      </c>
      <c r="V36" s="20">
        <v>366</v>
      </c>
      <c r="W36" s="20">
        <v>299</v>
      </c>
      <c r="X36" s="20">
        <v>0</v>
      </c>
      <c r="Y36" s="20">
        <v>1518</v>
      </c>
      <c r="Z36" s="20">
        <v>155</v>
      </c>
      <c r="AA36" s="20">
        <v>179</v>
      </c>
    </row>
    <row r="37" spans="1:27" x14ac:dyDescent="0.25">
      <c r="A37" s="11" t="s">
        <v>312</v>
      </c>
      <c r="B37" s="11" t="s">
        <v>313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248</v>
      </c>
      <c r="V37" s="14">
        <v>366</v>
      </c>
      <c r="W37" s="14">
        <v>299</v>
      </c>
      <c r="X37" s="14">
        <v>0</v>
      </c>
      <c r="Y37" s="14">
        <v>1518</v>
      </c>
      <c r="Z37" s="14">
        <v>155</v>
      </c>
      <c r="AA37" s="14">
        <v>179</v>
      </c>
    </row>
    <row r="38" spans="1:27" x14ac:dyDescent="0.25">
      <c r="A38" s="11" t="s">
        <v>314</v>
      </c>
      <c r="B38" s="11" t="s">
        <v>315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</row>
    <row r="39" spans="1:27" x14ac:dyDescent="0.25">
      <c r="A39" s="7" t="s">
        <v>316</v>
      </c>
      <c r="B39" s="7" t="s">
        <v>317</v>
      </c>
      <c r="C39" s="20">
        <v>9231</v>
      </c>
      <c r="D39" s="20">
        <v>6594</v>
      </c>
      <c r="E39" s="20">
        <v>9030.0218000000004</v>
      </c>
      <c r="F39" s="20">
        <v>6042.3531999999996</v>
      </c>
      <c r="G39" s="20">
        <v>8656</v>
      </c>
      <c r="H39" s="20">
        <v>8690</v>
      </c>
      <c r="I39" s="20">
        <v>9002</v>
      </c>
      <c r="J39" s="20">
        <v>9190.8927000000003</v>
      </c>
      <c r="K39" s="20">
        <v>10884</v>
      </c>
      <c r="L39" s="20">
        <v>11689</v>
      </c>
      <c r="M39" s="20">
        <v>11703</v>
      </c>
      <c r="N39" s="20">
        <v>11748.668900000001</v>
      </c>
      <c r="O39" s="20">
        <v>13203</v>
      </c>
      <c r="P39" s="20">
        <v>13274</v>
      </c>
      <c r="Q39" s="20">
        <v>13464</v>
      </c>
      <c r="R39" s="20">
        <v>13200</v>
      </c>
      <c r="S39" s="20">
        <v>14161</v>
      </c>
      <c r="T39" s="20">
        <v>14103</v>
      </c>
      <c r="U39" s="20">
        <v>14298</v>
      </c>
      <c r="V39" s="20">
        <v>14438</v>
      </c>
      <c r="W39" s="20">
        <v>15496</v>
      </c>
      <c r="X39" s="20">
        <v>14357</v>
      </c>
      <c r="Y39" s="20">
        <v>12638</v>
      </c>
      <c r="Z39" s="20">
        <v>17350</v>
      </c>
      <c r="AA39" s="20">
        <v>15673</v>
      </c>
    </row>
    <row r="40" spans="1:27" x14ac:dyDescent="0.25">
      <c r="A40" s="11" t="s">
        <v>318</v>
      </c>
      <c r="B40" s="11" t="s">
        <v>319</v>
      </c>
      <c r="C40" s="14">
        <v>113</v>
      </c>
      <c r="D40" s="14">
        <v>76</v>
      </c>
      <c r="E40" s="14">
        <v>124.1726</v>
      </c>
      <c r="F40" s="14">
        <v>76.320599999999999</v>
      </c>
      <c r="G40" s="14">
        <v>112</v>
      </c>
      <c r="H40" s="14">
        <v>122</v>
      </c>
      <c r="I40" s="14">
        <v>128</v>
      </c>
      <c r="J40" s="14">
        <v>129.56700000000001</v>
      </c>
      <c r="K40" s="14">
        <v>136</v>
      </c>
      <c r="L40" s="14">
        <v>166</v>
      </c>
      <c r="M40" s="14">
        <v>159</v>
      </c>
      <c r="N40" s="14">
        <v>156.76949999999999</v>
      </c>
      <c r="O40" s="14">
        <v>185</v>
      </c>
      <c r="P40" s="14">
        <v>186</v>
      </c>
      <c r="Q40" s="14">
        <v>196</v>
      </c>
      <c r="R40" s="14">
        <v>157</v>
      </c>
      <c r="S40" s="14">
        <v>-47</v>
      </c>
      <c r="T40" s="14">
        <v>85</v>
      </c>
      <c r="U40" s="14">
        <v>60</v>
      </c>
      <c r="V40" s="14">
        <v>714</v>
      </c>
      <c r="W40" s="14">
        <v>208</v>
      </c>
      <c r="X40" s="14">
        <v>-261</v>
      </c>
      <c r="Y40" s="14">
        <v>-370</v>
      </c>
      <c r="Z40" s="14">
        <v>1294</v>
      </c>
      <c r="AA40" s="14">
        <v>215</v>
      </c>
    </row>
    <row r="41" spans="1:27" x14ac:dyDescent="0.25">
      <c r="A41" s="7" t="s">
        <v>320</v>
      </c>
      <c r="B41" s="7" t="s">
        <v>321</v>
      </c>
      <c r="C41" s="20">
        <v>9118</v>
      </c>
      <c r="D41" s="20">
        <v>6518</v>
      </c>
      <c r="E41" s="20">
        <v>8905.8492000000006</v>
      </c>
      <c r="F41" s="20">
        <v>5966.0325999999995</v>
      </c>
      <c r="G41" s="20">
        <v>8544</v>
      </c>
      <c r="H41" s="20">
        <v>8568</v>
      </c>
      <c r="I41" s="20">
        <v>8874</v>
      </c>
      <c r="J41" s="20">
        <v>9061.3258000000005</v>
      </c>
      <c r="K41" s="20">
        <v>10748</v>
      </c>
      <c r="L41" s="20">
        <v>11523</v>
      </c>
      <c r="M41" s="20">
        <v>11544</v>
      </c>
      <c r="N41" s="20">
        <v>11591.899299999999</v>
      </c>
      <c r="O41" s="20">
        <v>13018</v>
      </c>
      <c r="P41" s="20">
        <v>13088</v>
      </c>
      <c r="Q41" s="20">
        <v>13268</v>
      </c>
      <c r="R41" s="20">
        <v>13043</v>
      </c>
      <c r="S41" s="20">
        <v>14208</v>
      </c>
      <c r="T41" s="20">
        <v>14018</v>
      </c>
      <c r="U41" s="20">
        <v>14238</v>
      </c>
      <c r="V41" s="20">
        <v>13724</v>
      </c>
      <c r="W41" s="20">
        <v>15288</v>
      </c>
      <c r="X41" s="20">
        <v>14618</v>
      </c>
      <c r="Y41" s="20">
        <v>13008</v>
      </c>
      <c r="Z41" s="20">
        <v>15874</v>
      </c>
      <c r="AA41" s="20">
        <v>15458</v>
      </c>
    </row>
    <row r="42" spans="1:27" x14ac:dyDescent="0.25">
      <c r="A42" s="11" t="s">
        <v>322</v>
      </c>
      <c r="B42" s="11" t="s">
        <v>323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</row>
    <row r="43" spans="1:27" x14ac:dyDescent="0.25">
      <c r="A43" s="11" t="s">
        <v>324</v>
      </c>
      <c r="B43" s="11" t="s">
        <v>325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</row>
    <row r="44" spans="1:27" x14ac:dyDescent="0.25">
      <c r="A44" s="7" t="s">
        <v>326</v>
      </c>
      <c r="B44" s="7" t="s">
        <v>76</v>
      </c>
      <c r="C44" s="20">
        <v>9118</v>
      </c>
      <c r="D44" s="20">
        <v>6518</v>
      </c>
      <c r="E44" s="20">
        <v>8905.8492000000006</v>
      </c>
      <c r="F44" s="20">
        <v>5966.0325999999995</v>
      </c>
      <c r="G44" s="20">
        <v>8544</v>
      </c>
      <c r="H44" s="20">
        <v>8568</v>
      </c>
      <c r="I44" s="20">
        <v>8874</v>
      </c>
      <c r="J44" s="20">
        <v>9061.3258000000005</v>
      </c>
      <c r="K44" s="20">
        <v>10748</v>
      </c>
      <c r="L44" s="20">
        <v>11523</v>
      </c>
      <c r="M44" s="20">
        <v>11544</v>
      </c>
      <c r="N44" s="20">
        <v>11591.899299999999</v>
      </c>
      <c r="O44" s="20">
        <v>13018</v>
      </c>
      <c r="P44" s="20">
        <v>13088</v>
      </c>
      <c r="Q44" s="20">
        <v>13268</v>
      </c>
      <c r="R44" s="20">
        <v>13043</v>
      </c>
      <c r="S44" s="20">
        <v>14208</v>
      </c>
      <c r="T44" s="20">
        <v>14018</v>
      </c>
      <c r="U44" s="20">
        <v>14238</v>
      </c>
      <c r="V44" s="20">
        <v>13724</v>
      </c>
      <c r="W44" s="20">
        <v>15288</v>
      </c>
      <c r="X44" s="20">
        <v>14618</v>
      </c>
      <c r="Y44" s="20">
        <v>13008</v>
      </c>
      <c r="Z44" s="20">
        <v>15874</v>
      </c>
      <c r="AA44" s="20">
        <v>15458</v>
      </c>
    </row>
    <row r="45" spans="1:27" x14ac:dyDescent="0.25">
      <c r="A45" s="7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x14ac:dyDescent="0.25">
      <c r="A46" s="7" t="s">
        <v>327</v>
      </c>
      <c r="B46" s="7" t="s">
        <v>76</v>
      </c>
      <c r="C46" s="20">
        <v>9056.4</v>
      </c>
      <c r="D46" s="20">
        <v>6425.6</v>
      </c>
      <c r="E46" s="20">
        <v>8828.8492000000006</v>
      </c>
      <c r="F46" s="20">
        <v>6235.5325999999995</v>
      </c>
      <c r="G46" s="20">
        <v>8483.1</v>
      </c>
      <c r="H46" s="20">
        <v>8475.6</v>
      </c>
      <c r="I46" s="20">
        <v>9050.4</v>
      </c>
      <c r="J46" s="20">
        <v>9476.4258000000009</v>
      </c>
      <c r="K46" s="20">
        <v>10650</v>
      </c>
      <c r="L46" s="20">
        <v>11385.8</v>
      </c>
      <c r="M46" s="20">
        <v>11469.1</v>
      </c>
      <c r="N46" s="20">
        <v>11461.6993</v>
      </c>
      <c r="O46" s="20">
        <v>12920</v>
      </c>
      <c r="P46" s="20">
        <v>12979.5</v>
      </c>
      <c r="Q46" s="20">
        <v>13095.1</v>
      </c>
      <c r="R46" s="20">
        <v>12769.3</v>
      </c>
      <c r="S46" s="20">
        <v>14308.8</v>
      </c>
      <c r="T46" s="20">
        <v>13868.9</v>
      </c>
      <c r="U46" s="20">
        <v>14314.5</v>
      </c>
      <c r="V46" s="20">
        <v>14082.3</v>
      </c>
      <c r="W46" s="20">
        <v>15710.9</v>
      </c>
      <c r="X46" s="20">
        <v>14551.5</v>
      </c>
      <c r="Y46" s="20">
        <v>14452.5</v>
      </c>
      <c r="Z46" s="20">
        <v>16052.1</v>
      </c>
      <c r="AA46" s="20">
        <v>15707</v>
      </c>
    </row>
    <row r="47" spans="1:27" x14ac:dyDescent="0.25">
      <c r="A47" s="11" t="s">
        <v>328</v>
      </c>
      <c r="B47" s="11" t="s">
        <v>329</v>
      </c>
      <c r="C47" s="14">
        <v>-61.6</v>
      </c>
      <c r="D47" s="14">
        <v>-92.4</v>
      </c>
      <c r="E47" s="14">
        <v>-77</v>
      </c>
      <c r="F47" s="14">
        <v>269.5</v>
      </c>
      <c r="G47" s="14">
        <v>-60.9</v>
      </c>
      <c r="H47" s="14">
        <v>-92.4</v>
      </c>
      <c r="I47" s="14">
        <v>176.4</v>
      </c>
      <c r="J47" s="14">
        <v>415.1</v>
      </c>
      <c r="K47" s="14">
        <v>-98</v>
      </c>
      <c r="L47" s="14">
        <v>-137.19999999999999</v>
      </c>
      <c r="M47" s="14">
        <v>-74.900000000000006</v>
      </c>
      <c r="N47" s="14">
        <v>-130.19999999999999</v>
      </c>
      <c r="O47" s="14">
        <v>-98</v>
      </c>
      <c r="P47" s="14">
        <v>-108.5</v>
      </c>
      <c r="Q47" s="14">
        <v>-172.9</v>
      </c>
      <c r="R47" s="14">
        <v>-273.7</v>
      </c>
      <c r="S47" s="14">
        <v>100.8</v>
      </c>
      <c r="T47" s="14">
        <v>-149.1</v>
      </c>
      <c r="U47" s="14">
        <v>-171.5</v>
      </c>
      <c r="V47" s="14">
        <v>-7.7</v>
      </c>
      <c r="W47" s="14">
        <v>123.9</v>
      </c>
      <c r="X47" s="14">
        <v>-66.5</v>
      </c>
      <c r="Y47" s="14">
        <v>-73.5</v>
      </c>
      <c r="Z47" s="14">
        <v>23.1</v>
      </c>
      <c r="AA47" s="14">
        <v>70</v>
      </c>
    </row>
    <row r="48" spans="1:27" x14ac:dyDescent="0.25">
      <c r="A48" s="11" t="s">
        <v>330</v>
      </c>
      <c r="B48" s="11" t="s">
        <v>311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248</v>
      </c>
      <c r="V48" s="14">
        <v>366</v>
      </c>
      <c r="W48" s="14">
        <v>299</v>
      </c>
      <c r="X48" s="14">
        <v>0</v>
      </c>
      <c r="Y48" s="14">
        <v>1518</v>
      </c>
      <c r="Z48" s="14">
        <v>155</v>
      </c>
      <c r="AA48" s="14">
        <v>179</v>
      </c>
    </row>
    <row r="49" spans="1:27" x14ac:dyDescent="0.25">
      <c r="A49" s="7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x14ac:dyDescent="0.25">
      <c r="A50" s="11" t="s">
        <v>331</v>
      </c>
      <c r="B50" s="11" t="s">
        <v>106</v>
      </c>
      <c r="C50" s="14">
        <v>2883.5</v>
      </c>
      <c r="D50" s="14">
        <v>2883.5</v>
      </c>
      <c r="E50" s="14">
        <v>2883.4566</v>
      </c>
      <c r="F50" s="14">
        <v>2737.0072</v>
      </c>
      <c r="G50" s="14">
        <v>2883.5</v>
      </c>
      <c r="H50" s="14">
        <v>2883.5</v>
      </c>
      <c r="I50" s="14">
        <v>2883.4566</v>
      </c>
      <c r="J50" s="14">
        <v>2779.3843000000002</v>
      </c>
      <c r="K50" s="14">
        <v>2883.5</v>
      </c>
      <c r="L50" s="14">
        <v>2883.4566</v>
      </c>
      <c r="M50" s="14">
        <v>2883.4566</v>
      </c>
      <c r="N50" s="14">
        <v>2776.3548000000001</v>
      </c>
      <c r="O50" s="14">
        <v>2883.4566</v>
      </c>
      <c r="P50" s="14">
        <v>2883.4566</v>
      </c>
      <c r="Q50" s="14">
        <v>2883.4566</v>
      </c>
      <c r="R50" s="14">
        <v>2883.4566</v>
      </c>
      <c r="S50" s="14">
        <v>2883.4566</v>
      </c>
      <c r="T50" s="14">
        <v>2883.4566</v>
      </c>
      <c r="U50" s="14">
        <v>2883.4566</v>
      </c>
      <c r="V50" s="14">
        <v>2747.0021000000002</v>
      </c>
      <c r="W50" s="14">
        <v>2813.1565999999998</v>
      </c>
      <c r="X50" s="14">
        <v>2840.8155999999999</v>
      </c>
      <c r="Y50" s="14">
        <v>2813.1565999999998</v>
      </c>
      <c r="Z50" s="14">
        <v>2845.9038</v>
      </c>
      <c r="AA50" s="14">
        <v>2813.1565999999998</v>
      </c>
    </row>
    <row r="51" spans="1:27" x14ac:dyDescent="0.25">
      <c r="A51" s="7" t="s">
        <v>101</v>
      </c>
      <c r="B51" s="7" t="s">
        <v>102</v>
      </c>
      <c r="C51" s="21">
        <v>3.1621000000000001</v>
      </c>
      <c r="D51" s="21">
        <v>2.2604000000000002</v>
      </c>
      <c r="E51" s="21">
        <v>3.0886</v>
      </c>
      <c r="F51" s="21">
        <v>2.1798000000000002</v>
      </c>
      <c r="G51" s="21">
        <v>2.9630999999999998</v>
      </c>
      <c r="H51" s="21">
        <v>2.9714</v>
      </c>
      <c r="I51" s="21">
        <v>3.0775999999999999</v>
      </c>
      <c r="J51" s="21">
        <v>3.2602000000000002</v>
      </c>
      <c r="K51" s="21">
        <v>3.7273999999999998</v>
      </c>
      <c r="L51" s="21">
        <v>3.9962</v>
      </c>
      <c r="M51" s="21">
        <v>4.0034999999999998</v>
      </c>
      <c r="N51" s="21">
        <v>4.1752000000000002</v>
      </c>
      <c r="O51" s="21">
        <v>4.5147000000000004</v>
      </c>
      <c r="P51" s="21">
        <v>4.5389999999999997</v>
      </c>
      <c r="Q51" s="21">
        <v>4.6013999999999999</v>
      </c>
      <c r="R51" s="21">
        <v>4.5233999999999996</v>
      </c>
      <c r="S51" s="21">
        <v>4.9273999999999996</v>
      </c>
      <c r="T51" s="21">
        <v>4.8615000000000004</v>
      </c>
      <c r="U51" s="21">
        <v>4.9378000000000002</v>
      </c>
      <c r="V51" s="21">
        <v>4.9960000000000004</v>
      </c>
      <c r="W51" s="21">
        <v>5.4344999999999999</v>
      </c>
      <c r="X51" s="21">
        <v>5.1456999999999997</v>
      </c>
      <c r="Y51" s="21">
        <v>4.6239999999999997</v>
      </c>
      <c r="Z51" s="21">
        <v>5.5777999999999999</v>
      </c>
      <c r="AA51" s="21">
        <v>5.4949000000000003</v>
      </c>
    </row>
    <row r="52" spans="1:27" x14ac:dyDescent="0.25">
      <c r="A52" s="7" t="s">
        <v>332</v>
      </c>
      <c r="B52" s="7" t="s">
        <v>333</v>
      </c>
      <c r="C52" s="21">
        <v>3.1621000000000001</v>
      </c>
      <c r="D52" s="21">
        <v>2.2604000000000002</v>
      </c>
      <c r="E52" s="21">
        <v>3.0886</v>
      </c>
      <c r="F52" s="21">
        <v>2.1798000000000002</v>
      </c>
      <c r="G52" s="21">
        <v>2.9630999999999998</v>
      </c>
      <c r="H52" s="21">
        <v>2.9714</v>
      </c>
      <c r="I52" s="21">
        <v>3.0775999999999999</v>
      </c>
      <c r="J52" s="21">
        <v>3.2602000000000002</v>
      </c>
      <c r="K52" s="21">
        <v>3.7273999999999998</v>
      </c>
      <c r="L52" s="21">
        <v>3.9962</v>
      </c>
      <c r="M52" s="21">
        <v>4.0034999999999998</v>
      </c>
      <c r="N52" s="21">
        <v>4.1752000000000002</v>
      </c>
      <c r="O52" s="21">
        <v>4.5147000000000004</v>
      </c>
      <c r="P52" s="21">
        <v>4.5389999999999997</v>
      </c>
      <c r="Q52" s="21">
        <v>4.6013999999999999</v>
      </c>
      <c r="R52" s="21">
        <v>4.5233999999999996</v>
      </c>
      <c r="S52" s="21">
        <v>4.9273999999999996</v>
      </c>
      <c r="T52" s="21">
        <v>4.8615000000000004</v>
      </c>
      <c r="U52" s="21">
        <v>5.0237999999999996</v>
      </c>
      <c r="V52" s="21">
        <v>5.1292</v>
      </c>
      <c r="W52" s="21">
        <v>5.5407999999999999</v>
      </c>
      <c r="X52" s="21">
        <v>5.1456999999999997</v>
      </c>
      <c r="Y52" s="21">
        <v>5.1635999999999997</v>
      </c>
      <c r="Z52" s="21">
        <v>5.6322999999999999</v>
      </c>
      <c r="AA52" s="21">
        <v>5.5585000000000004</v>
      </c>
    </row>
    <row r="53" spans="1:27" x14ac:dyDescent="0.25">
      <c r="A53" s="7" t="s">
        <v>334</v>
      </c>
      <c r="B53" s="7" t="s">
        <v>335</v>
      </c>
      <c r="C53" s="21">
        <v>3.1408</v>
      </c>
      <c r="D53" s="21">
        <v>2.2284000000000002</v>
      </c>
      <c r="E53" s="21">
        <v>3.0619000000000001</v>
      </c>
      <c r="F53" s="21">
        <v>2.2782</v>
      </c>
      <c r="G53" s="21">
        <v>2.9419</v>
      </c>
      <c r="H53" s="21">
        <v>2.9392999999999998</v>
      </c>
      <c r="I53" s="21">
        <v>3.1387</v>
      </c>
      <c r="J53" s="21">
        <v>3.4095</v>
      </c>
      <c r="K53" s="21">
        <v>3.6934</v>
      </c>
      <c r="L53" s="21">
        <v>3.9487000000000001</v>
      </c>
      <c r="M53" s="21">
        <v>3.9775999999999998</v>
      </c>
      <c r="N53" s="21">
        <v>4.1283000000000003</v>
      </c>
      <c r="O53" s="21">
        <v>4.4806999999999997</v>
      </c>
      <c r="P53" s="21">
        <v>4.5014000000000003</v>
      </c>
      <c r="Q53" s="21">
        <v>4.5415000000000001</v>
      </c>
      <c r="R53" s="21">
        <v>4.4284999999999997</v>
      </c>
      <c r="S53" s="21">
        <v>4.9623999999999997</v>
      </c>
      <c r="T53" s="21">
        <v>4.8098000000000001</v>
      </c>
      <c r="U53" s="21">
        <v>4.9644000000000004</v>
      </c>
      <c r="V53" s="21">
        <v>5.1264000000000003</v>
      </c>
      <c r="W53" s="21">
        <v>5.5848000000000004</v>
      </c>
      <c r="X53" s="21">
        <v>5.1223000000000001</v>
      </c>
      <c r="Y53" s="21">
        <v>5.1375000000000002</v>
      </c>
      <c r="Z53" s="21">
        <v>5.6403999999999996</v>
      </c>
      <c r="AA53" s="21">
        <v>5.5834000000000001</v>
      </c>
    </row>
    <row r="54" spans="1:27" x14ac:dyDescent="0.25">
      <c r="A54" s="7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x14ac:dyDescent="0.25">
      <c r="A55" s="11" t="s">
        <v>336</v>
      </c>
      <c r="B55" s="11" t="s">
        <v>108</v>
      </c>
      <c r="C55" s="14">
        <v>2883.5</v>
      </c>
      <c r="D55" s="14">
        <v>2883.5</v>
      </c>
      <c r="E55" s="14">
        <v>2883.4566</v>
      </c>
      <c r="F55" s="14">
        <v>2737.0072</v>
      </c>
      <c r="G55" s="14">
        <v>2883.5</v>
      </c>
      <c r="H55" s="14">
        <v>2883.5</v>
      </c>
      <c r="I55" s="14">
        <v>2883.4566</v>
      </c>
      <c r="J55" s="14">
        <v>2779.3843000000002</v>
      </c>
      <c r="K55" s="14">
        <v>2883.5</v>
      </c>
      <c r="L55" s="14">
        <v>2883.4566</v>
      </c>
      <c r="M55" s="14">
        <v>2883.4566</v>
      </c>
      <c r="N55" s="14">
        <v>2883.4566</v>
      </c>
      <c r="O55" s="14">
        <v>2883.4566</v>
      </c>
      <c r="P55" s="14">
        <v>2883.4566</v>
      </c>
      <c r="Q55" s="14">
        <v>2883.4566</v>
      </c>
      <c r="R55" s="14">
        <v>2883.4566</v>
      </c>
      <c r="S55" s="14">
        <v>2883.4566</v>
      </c>
      <c r="T55" s="14">
        <v>2883.4566</v>
      </c>
      <c r="U55" s="14">
        <v>2883.4566</v>
      </c>
      <c r="V55" s="14">
        <v>2747.0021000000002</v>
      </c>
      <c r="W55" s="14">
        <v>2813.1565999999998</v>
      </c>
      <c r="X55" s="14">
        <v>2840.8155999999999</v>
      </c>
      <c r="Y55" s="14">
        <v>2813.1565999999998</v>
      </c>
      <c r="Z55" s="14">
        <v>2845.9038</v>
      </c>
      <c r="AA55" s="14">
        <v>2813.1565999999998</v>
      </c>
    </row>
    <row r="56" spans="1:27" x14ac:dyDescent="0.25">
      <c r="A56" s="7" t="s">
        <v>103</v>
      </c>
      <c r="B56" s="7" t="s">
        <v>104</v>
      </c>
      <c r="C56" s="21">
        <v>3.1621000000000001</v>
      </c>
      <c r="D56" s="21">
        <v>2.2604000000000002</v>
      </c>
      <c r="E56" s="21">
        <v>3.0886</v>
      </c>
      <c r="F56" s="21">
        <v>2.1798000000000002</v>
      </c>
      <c r="G56" s="21">
        <v>2.9630999999999998</v>
      </c>
      <c r="H56" s="21">
        <v>2.9714</v>
      </c>
      <c r="I56" s="21">
        <v>3.0775999999999999</v>
      </c>
      <c r="J56" s="21">
        <v>3.2602000000000002</v>
      </c>
      <c r="K56" s="21">
        <v>3.7273999999999998</v>
      </c>
      <c r="L56" s="21">
        <v>3.9962</v>
      </c>
      <c r="M56" s="21">
        <v>4.0034999999999998</v>
      </c>
      <c r="N56" s="21">
        <v>4.0201000000000002</v>
      </c>
      <c r="O56" s="21">
        <v>4.5147000000000004</v>
      </c>
      <c r="P56" s="21">
        <v>4.5389999999999997</v>
      </c>
      <c r="Q56" s="21">
        <v>4.6013999999999999</v>
      </c>
      <c r="R56" s="21">
        <v>4.5233999999999996</v>
      </c>
      <c r="S56" s="21">
        <v>4.9273999999999996</v>
      </c>
      <c r="T56" s="21">
        <v>4.8615000000000004</v>
      </c>
      <c r="U56" s="21">
        <v>4.9378000000000002</v>
      </c>
      <c r="V56" s="21">
        <v>4.9960000000000004</v>
      </c>
      <c r="W56" s="21">
        <v>5.4344999999999999</v>
      </c>
      <c r="X56" s="21">
        <v>5.1456999999999997</v>
      </c>
      <c r="Y56" s="21">
        <v>4.6239999999999997</v>
      </c>
      <c r="Z56" s="21">
        <v>5.5777999999999999</v>
      </c>
      <c r="AA56" s="21">
        <v>5.4949000000000003</v>
      </c>
    </row>
    <row r="57" spans="1:27" x14ac:dyDescent="0.25">
      <c r="A57" s="7" t="s">
        <v>337</v>
      </c>
      <c r="B57" s="7" t="s">
        <v>338</v>
      </c>
      <c r="C57" s="21">
        <v>3.1621000000000001</v>
      </c>
      <c r="D57" s="21">
        <v>2.2604000000000002</v>
      </c>
      <c r="E57" s="21">
        <v>3.0886</v>
      </c>
      <c r="F57" s="21">
        <v>2.1798000000000002</v>
      </c>
      <c r="G57" s="21">
        <v>2.9630999999999998</v>
      </c>
      <c r="H57" s="21">
        <v>2.9714</v>
      </c>
      <c r="I57" s="21">
        <v>3.0775999999999999</v>
      </c>
      <c r="J57" s="21">
        <v>3.2602000000000002</v>
      </c>
      <c r="K57" s="21">
        <v>3.7273999999999998</v>
      </c>
      <c r="L57" s="21">
        <v>3.9962</v>
      </c>
      <c r="M57" s="21">
        <v>4.0034999999999998</v>
      </c>
      <c r="N57" s="21">
        <v>4.0201000000000002</v>
      </c>
      <c r="O57" s="21">
        <v>4.5147000000000004</v>
      </c>
      <c r="P57" s="21">
        <v>4.5389999999999997</v>
      </c>
      <c r="Q57" s="21">
        <v>4.6013999999999999</v>
      </c>
      <c r="R57" s="21">
        <v>4.5233999999999996</v>
      </c>
      <c r="S57" s="21">
        <v>4.9273999999999996</v>
      </c>
      <c r="T57" s="21">
        <v>4.8615000000000004</v>
      </c>
      <c r="U57" s="21">
        <v>5.0237999999999996</v>
      </c>
      <c r="V57" s="21">
        <v>5.1292</v>
      </c>
      <c r="W57" s="21">
        <v>5.5407999999999999</v>
      </c>
      <c r="X57" s="21">
        <v>5.1456999999999997</v>
      </c>
      <c r="Y57" s="21">
        <v>5.1635999999999997</v>
      </c>
      <c r="Z57" s="21">
        <v>5.6322999999999999</v>
      </c>
      <c r="AA57" s="21">
        <v>5.5585000000000004</v>
      </c>
    </row>
    <row r="58" spans="1:27" x14ac:dyDescent="0.25">
      <c r="A58" s="7" t="s">
        <v>339</v>
      </c>
      <c r="B58" s="7" t="s">
        <v>78</v>
      </c>
      <c r="C58" s="21">
        <v>3.1408</v>
      </c>
      <c r="D58" s="21">
        <v>2.2284000000000002</v>
      </c>
      <c r="E58" s="21">
        <v>3.0619000000000001</v>
      </c>
      <c r="F58" s="21">
        <v>2.2782</v>
      </c>
      <c r="G58" s="21">
        <v>2.9419</v>
      </c>
      <c r="H58" s="21">
        <v>2.9392999999999998</v>
      </c>
      <c r="I58" s="21">
        <v>3.1387</v>
      </c>
      <c r="J58" s="21">
        <v>3.4095</v>
      </c>
      <c r="K58" s="21">
        <v>3.6934</v>
      </c>
      <c r="L58" s="21">
        <v>3.9487000000000001</v>
      </c>
      <c r="M58" s="21">
        <v>3.9775999999999998</v>
      </c>
      <c r="N58" s="21">
        <v>3.9750000000000001</v>
      </c>
      <c r="O58" s="21">
        <v>4.4806999999999997</v>
      </c>
      <c r="P58" s="21">
        <v>4.5014000000000003</v>
      </c>
      <c r="Q58" s="21">
        <v>4.5415000000000001</v>
      </c>
      <c r="R58" s="21">
        <v>4.4284999999999997</v>
      </c>
      <c r="S58" s="21">
        <v>4.9623999999999997</v>
      </c>
      <c r="T58" s="21">
        <v>4.8098000000000001</v>
      </c>
      <c r="U58" s="21">
        <v>4.9644000000000004</v>
      </c>
      <c r="V58" s="21">
        <v>5.1264000000000003</v>
      </c>
      <c r="W58" s="21">
        <v>5.5848000000000004</v>
      </c>
      <c r="X58" s="21">
        <v>5.1223000000000001</v>
      </c>
      <c r="Y58" s="21">
        <v>5.1375000000000002</v>
      </c>
      <c r="Z58" s="21">
        <v>5.6403999999999996</v>
      </c>
      <c r="AA58" s="21">
        <v>5.5834000000000001</v>
      </c>
    </row>
    <row r="59" spans="1:27" x14ac:dyDescent="0.25">
      <c r="A59" s="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x14ac:dyDescent="0.25">
      <c r="A60" s="7" t="s">
        <v>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x14ac:dyDescent="0.25">
      <c r="A61" s="11" t="s">
        <v>340</v>
      </c>
      <c r="B61" s="11" t="s">
        <v>341</v>
      </c>
      <c r="C61" s="13" t="s">
        <v>342</v>
      </c>
      <c r="D61" s="13" t="s">
        <v>342</v>
      </c>
      <c r="E61" s="13" t="s">
        <v>342</v>
      </c>
      <c r="F61" s="13" t="s">
        <v>342</v>
      </c>
      <c r="G61" s="13" t="s">
        <v>342</v>
      </c>
      <c r="H61" s="13" t="s">
        <v>342</v>
      </c>
      <c r="I61" s="13" t="s">
        <v>342</v>
      </c>
      <c r="J61" s="13" t="s">
        <v>342</v>
      </c>
      <c r="K61" s="13" t="s">
        <v>342</v>
      </c>
      <c r="L61" s="13" t="s">
        <v>342</v>
      </c>
      <c r="M61" s="13" t="s">
        <v>342</v>
      </c>
      <c r="N61" s="13" t="s">
        <v>342</v>
      </c>
      <c r="O61" s="13" t="s">
        <v>342</v>
      </c>
      <c r="P61" s="13" t="s">
        <v>342</v>
      </c>
      <c r="Q61" s="13" t="s">
        <v>342</v>
      </c>
      <c r="R61" s="13" t="s">
        <v>342</v>
      </c>
      <c r="S61" s="13" t="s">
        <v>342</v>
      </c>
      <c r="T61" s="13" t="s">
        <v>342</v>
      </c>
      <c r="U61" s="13" t="s">
        <v>342</v>
      </c>
      <c r="V61" s="13" t="s">
        <v>342</v>
      </c>
      <c r="W61" s="13" t="s">
        <v>342</v>
      </c>
      <c r="X61" s="13" t="s">
        <v>342</v>
      </c>
      <c r="Y61" s="13" t="s">
        <v>342</v>
      </c>
      <c r="Z61" s="13" t="s">
        <v>342</v>
      </c>
      <c r="AA61" s="13" t="s">
        <v>342</v>
      </c>
    </row>
    <row r="62" spans="1:27" x14ac:dyDescent="0.25">
      <c r="A62" s="11" t="s">
        <v>0</v>
      </c>
      <c r="B62" s="11" t="s">
        <v>343</v>
      </c>
      <c r="C62" s="14">
        <v>44127</v>
      </c>
      <c r="D62" s="14">
        <v>48717</v>
      </c>
      <c r="E62" s="14">
        <v>48125.476199999997</v>
      </c>
      <c r="F62" s="14">
        <v>48333.576800000003</v>
      </c>
      <c r="G62" s="14">
        <v>69966</v>
      </c>
      <c r="H62" s="14">
        <v>39150</v>
      </c>
      <c r="I62" s="14">
        <v>38749</v>
      </c>
      <c r="J62" s="14">
        <v>58934.726199999997</v>
      </c>
      <c r="K62" s="14">
        <v>79033</v>
      </c>
      <c r="L62" s="14">
        <v>78059</v>
      </c>
      <c r="M62" s="14">
        <v>89091</v>
      </c>
      <c r="N62" s="14">
        <v>98936.920499999993</v>
      </c>
      <c r="O62" s="14">
        <v>109106</v>
      </c>
      <c r="P62" s="14">
        <v>112755</v>
      </c>
      <c r="Q62" s="14">
        <v>119037</v>
      </c>
      <c r="R62" s="14">
        <v>121888</v>
      </c>
      <c r="S62" s="14">
        <v>123315</v>
      </c>
      <c r="T62" s="14">
        <v>119641</v>
      </c>
      <c r="U62" s="14">
        <v>126480</v>
      </c>
      <c r="V62" s="14">
        <v>136136</v>
      </c>
      <c r="W62" s="14">
        <v>141444</v>
      </c>
      <c r="X62" s="14">
        <v>132622</v>
      </c>
      <c r="Y62" s="14">
        <v>123282</v>
      </c>
      <c r="Z62" s="14">
        <v>125979</v>
      </c>
      <c r="AA62" s="14">
        <v>122555</v>
      </c>
    </row>
    <row r="63" spans="1:27" x14ac:dyDescent="0.25">
      <c r="A63" s="12" t="s">
        <v>344</v>
      </c>
      <c r="B63" s="12" t="s">
        <v>343</v>
      </c>
      <c r="C63" s="26">
        <v>-25.396794</v>
      </c>
      <c r="D63" s="26">
        <v>-5.4680710000000001</v>
      </c>
      <c r="E63" s="26">
        <v>-8.0891249999999992</v>
      </c>
      <c r="F63" s="26">
        <v>-9.8625380000000007</v>
      </c>
      <c r="G63" s="26">
        <v>58.555985999999997</v>
      </c>
      <c r="H63" s="26">
        <v>-19.637909000000001</v>
      </c>
      <c r="I63" s="26">
        <v>-19.483394000000001</v>
      </c>
      <c r="J63" s="26">
        <v>21.933302000000001</v>
      </c>
      <c r="K63" s="26">
        <v>12.959152</v>
      </c>
      <c r="L63" s="26">
        <v>99.384418999999994</v>
      </c>
      <c r="M63" s="26">
        <v>129.91819100000001</v>
      </c>
      <c r="N63" s="26">
        <v>67.875422</v>
      </c>
      <c r="O63" s="26">
        <v>38.051194000000002</v>
      </c>
      <c r="P63" s="26">
        <v>44.448430000000002</v>
      </c>
      <c r="Q63" s="26">
        <v>33.612822999999999</v>
      </c>
      <c r="R63" s="26">
        <v>23.197689</v>
      </c>
      <c r="S63" s="26">
        <v>13.023115000000001</v>
      </c>
      <c r="T63" s="26">
        <v>6.1070460000000004</v>
      </c>
      <c r="U63" s="26">
        <v>6.2526780000000004</v>
      </c>
      <c r="V63" s="26">
        <v>11.68942</v>
      </c>
      <c r="W63" s="26">
        <v>14.701375000000001</v>
      </c>
      <c r="X63" s="26">
        <v>10.849959</v>
      </c>
      <c r="Y63" s="26">
        <v>-2.5284629999999999</v>
      </c>
      <c r="Z63" s="26">
        <v>-7.4609209999999999</v>
      </c>
      <c r="AA63" s="26">
        <v>-13.354402</v>
      </c>
    </row>
    <row r="64" spans="1:27" x14ac:dyDescent="0.25">
      <c r="A64" s="11" t="s">
        <v>345</v>
      </c>
      <c r="B64" s="11" t="s">
        <v>71</v>
      </c>
      <c r="C64" s="14">
        <v>16362</v>
      </c>
      <c r="D64" s="14">
        <v>17452</v>
      </c>
      <c r="E64" s="14">
        <v>14744.5911</v>
      </c>
      <c r="F64" s="14">
        <v>13665.977500000001</v>
      </c>
      <c r="G64" s="14">
        <v>14032</v>
      </c>
      <c r="H64" s="14">
        <v>13404</v>
      </c>
      <c r="I64" s="14">
        <v>14350</v>
      </c>
      <c r="J64" s="14">
        <v>14012.6083</v>
      </c>
      <c r="K64" s="14">
        <v>17546</v>
      </c>
      <c r="L64" s="14">
        <v>17502</v>
      </c>
      <c r="M64" s="14">
        <v>18698</v>
      </c>
      <c r="N64" s="14">
        <v>18528.788499999999</v>
      </c>
      <c r="O64" s="14">
        <v>21043</v>
      </c>
      <c r="P64" s="14">
        <v>21627</v>
      </c>
      <c r="Q64" s="14">
        <v>22017</v>
      </c>
      <c r="R64" s="14">
        <v>19882</v>
      </c>
      <c r="S64" s="14">
        <v>24591</v>
      </c>
      <c r="T64" s="14">
        <v>22930</v>
      </c>
      <c r="U64" s="14">
        <v>23753</v>
      </c>
      <c r="V64" s="14">
        <v>21781</v>
      </c>
      <c r="W64" s="14">
        <v>26829</v>
      </c>
      <c r="X64" s="14">
        <v>24397</v>
      </c>
      <c r="Y64" s="14">
        <v>26315</v>
      </c>
      <c r="Z64" s="14">
        <v>25554</v>
      </c>
      <c r="AA64" s="14">
        <v>28718</v>
      </c>
    </row>
    <row r="65" spans="1:27" x14ac:dyDescent="0.25">
      <c r="A65" s="11" t="s">
        <v>346</v>
      </c>
      <c r="B65" s="11" t="s">
        <v>140</v>
      </c>
      <c r="C65" s="15">
        <v>6.1121999999999996</v>
      </c>
      <c r="D65" s="15">
        <v>5.6185</v>
      </c>
      <c r="E65" s="15">
        <v>5.7827999999999999</v>
      </c>
      <c r="F65" s="15">
        <v>5.6111000000000004</v>
      </c>
      <c r="G65" s="15">
        <v>5.1791</v>
      </c>
      <c r="H65" s="15">
        <v>5.8346</v>
      </c>
      <c r="I65" s="15">
        <v>5.6904000000000003</v>
      </c>
      <c r="J65" s="15">
        <v>5.9782000000000002</v>
      </c>
      <c r="K65" s="15">
        <v>5.7779999999999996</v>
      </c>
      <c r="L65" s="15">
        <v>6.3033000000000001</v>
      </c>
      <c r="M65" s="15">
        <v>6.6390000000000002</v>
      </c>
      <c r="N65" s="15">
        <v>6.8578999999999999</v>
      </c>
      <c r="O65" s="15">
        <v>7.1547999999999998</v>
      </c>
      <c r="P65" s="15">
        <v>6.8879000000000001</v>
      </c>
      <c r="Q65" s="15">
        <v>6.7750000000000004</v>
      </c>
      <c r="R65" s="15">
        <v>6.6795999999999998</v>
      </c>
      <c r="S65" s="15">
        <v>6.7145000000000001</v>
      </c>
      <c r="T65" s="15">
        <v>6.8129</v>
      </c>
      <c r="U65" s="15">
        <v>6.8220999999999998</v>
      </c>
      <c r="V65" s="15">
        <v>6.5815999999999999</v>
      </c>
      <c r="W65" s="15">
        <v>6.4603000000000002</v>
      </c>
      <c r="X65" s="15">
        <v>6.6044999999999998</v>
      </c>
      <c r="Y65" s="15">
        <v>6.6306000000000003</v>
      </c>
      <c r="Z65" s="15">
        <v>6.5091999999999999</v>
      </c>
      <c r="AA65" s="15">
        <v>6.6134000000000004</v>
      </c>
    </row>
    <row r="66" spans="1:27" x14ac:dyDescent="0.25">
      <c r="A66" s="11" t="s">
        <v>347</v>
      </c>
      <c r="B66" s="11" t="s">
        <v>348</v>
      </c>
      <c r="C66" s="15">
        <v>67.024699999999996</v>
      </c>
      <c r="D66" s="15">
        <v>62.048200000000001</v>
      </c>
      <c r="E66" s="15">
        <v>78.519599999999997</v>
      </c>
      <c r="F66" s="15">
        <v>80.109300000000005</v>
      </c>
      <c r="G66" s="15">
        <v>64.820099999999996</v>
      </c>
      <c r="H66" s="15">
        <v>70.965500000000006</v>
      </c>
      <c r="I66" s="15">
        <v>74.1387</v>
      </c>
      <c r="J66" s="15">
        <v>81.065700000000007</v>
      </c>
      <c r="K66" s="15">
        <v>64.178299999999993</v>
      </c>
      <c r="L66" s="15">
        <v>57.419400000000003</v>
      </c>
      <c r="M66" s="15">
        <v>53.454300000000003</v>
      </c>
      <c r="N66" s="15">
        <v>49.953299999999999</v>
      </c>
      <c r="O66" s="15">
        <v>49.138500000000001</v>
      </c>
      <c r="P66" s="15">
        <v>44.1098</v>
      </c>
      <c r="Q66" s="15">
        <v>44.232500000000002</v>
      </c>
      <c r="R66" s="15">
        <v>48.178699999999999</v>
      </c>
      <c r="S66" s="15">
        <v>50.771599999999999</v>
      </c>
      <c r="T66" s="15">
        <v>47.163600000000002</v>
      </c>
      <c r="U66" s="15">
        <v>46.275300000000001</v>
      </c>
      <c r="V66" s="15">
        <v>45.296599999999998</v>
      </c>
      <c r="W66" s="15">
        <v>48.356200000000001</v>
      </c>
      <c r="X66" s="15">
        <v>47.220700000000001</v>
      </c>
      <c r="Y66" s="15">
        <v>50.601100000000002</v>
      </c>
      <c r="Z66" s="15">
        <v>56.741199999999999</v>
      </c>
      <c r="AA66" s="15">
        <v>59.939599999999999</v>
      </c>
    </row>
    <row r="67" spans="1:27" x14ac:dyDescent="0.25">
      <c r="A67" s="11" t="s">
        <v>349</v>
      </c>
      <c r="B67" s="11" t="s">
        <v>350</v>
      </c>
      <c r="C67" s="15">
        <v>41.827800000000003</v>
      </c>
      <c r="D67" s="15">
        <v>27.616800000000001</v>
      </c>
      <c r="E67" s="15">
        <v>32.0167</v>
      </c>
      <c r="F67" s="15">
        <v>21.135999999999999</v>
      </c>
      <c r="G67" s="15">
        <v>24.799299999999999</v>
      </c>
      <c r="H67" s="15">
        <v>40.722700000000003</v>
      </c>
      <c r="I67" s="15">
        <v>42.568199999999997</v>
      </c>
      <c r="J67" s="15">
        <v>24.972799999999999</v>
      </c>
      <c r="K67" s="15">
        <v>29.720800000000001</v>
      </c>
      <c r="L67" s="15">
        <v>33.903799999999997</v>
      </c>
      <c r="M67" s="15">
        <v>33.141500000000001</v>
      </c>
      <c r="N67" s="15">
        <v>30.9678</v>
      </c>
      <c r="O67" s="15">
        <v>32.837200000000003</v>
      </c>
      <c r="P67" s="15">
        <v>36.084499999999998</v>
      </c>
      <c r="Q67" s="15">
        <v>33.6828</v>
      </c>
      <c r="R67" s="15">
        <v>28.528400000000001</v>
      </c>
      <c r="S67" s="15">
        <v>32.375500000000002</v>
      </c>
      <c r="T67" s="15">
        <v>32.667000000000002</v>
      </c>
      <c r="U67" s="15">
        <v>33.468899999999998</v>
      </c>
      <c r="V67" s="15">
        <v>29.7624</v>
      </c>
      <c r="W67" s="15">
        <v>32.385899999999999</v>
      </c>
      <c r="X67" s="15">
        <v>31.2639</v>
      </c>
      <c r="Y67" s="15">
        <v>29.808299999999999</v>
      </c>
      <c r="Z67" s="15">
        <v>32.532699999999998</v>
      </c>
      <c r="AA67" s="15">
        <v>30.1692</v>
      </c>
    </row>
    <row r="68" spans="1:27" x14ac:dyDescent="0.25">
      <c r="A68" s="11" t="s">
        <v>351</v>
      </c>
      <c r="B68" s="11" t="s">
        <v>352</v>
      </c>
      <c r="C68" s="15" t="s">
        <v>1033</v>
      </c>
      <c r="D68" s="15" t="s">
        <v>1033</v>
      </c>
      <c r="E68" s="15" t="s">
        <v>1033</v>
      </c>
      <c r="F68" s="15" t="s">
        <v>1033</v>
      </c>
      <c r="G68" s="15">
        <v>2361641.8010999998</v>
      </c>
      <c r="H68" s="15" t="s">
        <v>1033</v>
      </c>
      <c r="I68" s="15" t="s">
        <v>1033</v>
      </c>
      <c r="J68" s="15" t="s">
        <v>1033</v>
      </c>
      <c r="K68" s="15" t="s">
        <v>1033</v>
      </c>
      <c r="L68" s="15" t="s">
        <v>1033</v>
      </c>
      <c r="M68" s="15" t="s">
        <v>1033</v>
      </c>
      <c r="N68" s="15" t="s">
        <v>1033</v>
      </c>
      <c r="O68" s="15" t="s">
        <v>1033</v>
      </c>
      <c r="P68" s="15" t="s">
        <v>1033</v>
      </c>
      <c r="Q68" s="15" t="s">
        <v>1033</v>
      </c>
      <c r="R68" s="15" t="s">
        <v>1033</v>
      </c>
      <c r="S68" s="15" t="s">
        <v>1033</v>
      </c>
      <c r="T68" s="15" t="s">
        <v>1033</v>
      </c>
      <c r="U68" s="15" t="s">
        <v>1033</v>
      </c>
      <c r="V68" s="15" t="s">
        <v>1033</v>
      </c>
      <c r="W68" s="15" t="s">
        <v>1033</v>
      </c>
      <c r="X68" s="15" t="s">
        <v>1033</v>
      </c>
      <c r="Y68" s="15" t="s">
        <v>1033</v>
      </c>
      <c r="Z68" s="15" t="s">
        <v>1033</v>
      </c>
      <c r="AA68" s="15" t="s">
        <v>1033</v>
      </c>
    </row>
    <row r="69" spans="1:27" x14ac:dyDescent="0.25">
      <c r="A69" s="11" t="s">
        <v>353</v>
      </c>
      <c r="B69" s="11" t="s">
        <v>354</v>
      </c>
      <c r="C69" s="15" t="s">
        <v>1033</v>
      </c>
      <c r="D69" s="15" t="s">
        <v>1033</v>
      </c>
      <c r="E69" s="15" t="s">
        <v>1033</v>
      </c>
      <c r="F69" s="15">
        <v>0</v>
      </c>
      <c r="G69" s="15" t="s">
        <v>1033</v>
      </c>
      <c r="H69" s="15" t="s">
        <v>1033</v>
      </c>
      <c r="I69" s="15" t="s">
        <v>1033</v>
      </c>
      <c r="J69" s="15" t="s">
        <v>1033</v>
      </c>
      <c r="K69" s="15" t="s">
        <v>1033</v>
      </c>
      <c r="L69" s="15" t="s">
        <v>1033</v>
      </c>
      <c r="M69" s="15" t="s">
        <v>1033</v>
      </c>
      <c r="N69" s="15" t="s">
        <v>1033</v>
      </c>
      <c r="O69" s="15" t="s">
        <v>1033</v>
      </c>
      <c r="P69" s="15" t="s">
        <v>1033</v>
      </c>
      <c r="Q69" s="15" t="s">
        <v>1033</v>
      </c>
      <c r="R69" s="15" t="s">
        <v>1033</v>
      </c>
      <c r="S69" s="15" t="s">
        <v>1033</v>
      </c>
      <c r="T69" s="15" t="s">
        <v>1033</v>
      </c>
      <c r="U69" s="15" t="s">
        <v>1033</v>
      </c>
      <c r="V69" s="15" t="s">
        <v>1033</v>
      </c>
      <c r="W69" s="15" t="s">
        <v>1033</v>
      </c>
      <c r="X69" s="15" t="s">
        <v>1033</v>
      </c>
      <c r="Y69" s="15" t="s">
        <v>1033</v>
      </c>
      <c r="Z69" s="15" t="s">
        <v>1033</v>
      </c>
      <c r="AA69" s="15" t="s">
        <v>1033</v>
      </c>
    </row>
    <row r="70" spans="1:27" x14ac:dyDescent="0.25">
      <c r="A70" s="11" t="s">
        <v>355</v>
      </c>
      <c r="B70" s="11" t="s">
        <v>356</v>
      </c>
      <c r="C70" s="14" t="s">
        <v>1033</v>
      </c>
      <c r="D70" s="14" t="s">
        <v>1033</v>
      </c>
      <c r="E70" s="14" t="s">
        <v>1033</v>
      </c>
      <c r="F70" s="14">
        <v>0</v>
      </c>
      <c r="G70" s="14" t="s">
        <v>1033</v>
      </c>
      <c r="H70" s="14" t="s">
        <v>1033</v>
      </c>
      <c r="I70" s="14" t="s">
        <v>1033</v>
      </c>
      <c r="J70" s="14" t="s">
        <v>1033</v>
      </c>
      <c r="K70" s="14" t="s">
        <v>1033</v>
      </c>
      <c r="L70" s="14" t="s">
        <v>1033</v>
      </c>
      <c r="M70" s="14" t="s">
        <v>1033</v>
      </c>
      <c r="N70" s="14" t="s">
        <v>1033</v>
      </c>
      <c r="O70" s="14" t="s">
        <v>1033</v>
      </c>
      <c r="P70" s="14">
        <v>15000</v>
      </c>
      <c r="Q70" s="14" t="s">
        <v>1033</v>
      </c>
      <c r="R70" s="14" t="s">
        <v>1033</v>
      </c>
      <c r="S70" s="14" t="s">
        <v>1033</v>
      </c>
      <c r="T70" s="14" t="s">
        <v>1033</v>
      </c>
      <c r="U70" s="14" t="s">
        <v>1033</v>
      </c>
      <c r="V70" s="14">
        <v>27744.972399999999</v>
      </c>
      <c r="W70" s="14" t="s">
        <v>1033</v>
      </c>
      <c r="X70" s="14" t="s">
        <v>1033</v>
      </c>
      <c r="Y70" s="14" t="s">
        <v>1033</v>
      </c>
      <c r="Z70" s="14" t="s">
        <v>1033</v>
      </c>
      <c r="AA70" s="14" t="s">
        <v>1033</v>
      </c>
    </row>
    <row r="71" spans="1:27" x14ac:dyDescent="0.25">
      <c r="A71" s="11" t="s">
        <v>357</v>
      </c>
      <c r="B71" s="11" t="s">
        <v>144</v>
      </c>
      <c r="C71" s="15">
        <v>39.210900000000002</v>
      </c>
      <c r="D71" s="15">
        <v>37.427799999999998</v>
      </c>
      <c r="E71" s="15">
        <v>58.084200000000003</v>
      </c>
      <c r="F71" s="15">
        <v>61.5518</v>
      </c>
      <c r="G71" s="15">
        <v>67.144300000000001</v>
      </c>
      <c r="H71" s="15">
        <v>45.036299999999997</v>
      </c>
      <c r="I71" s="15">
        <v>42.860599999999998</v>
      </c>
      <c r="J71" s="15">
        <v>68.146199999999993</v>
      </c>
      <c r="K71" s="15">
        <v>62.961199999999998</v>
      </c>
      <c r="L71" s="15">
        <v>57.366300000000003</v>
      </c>
      <c r="M71" s="15">
        <v>57.219700000000003</v>
      </c>
      <c r="N71" s="15">
        <v>58.962899999999998</v>
      </c>
      <c r="O71" s="15">
        <v>57.445</v>
      </c>
      <c r="P71" s="15">
        <v>52.255099999999999</v>
      </c>
      <c r="Q71" s="15">
        <v>54.335799999999999</v>
      </c>
      <c r="R71" s="15">
        <v>62.938499999999998</v>
      </c>
      <c r="S71" s="15">
        <v>57.604599999999998</v>
      </c>
      <c r="T71" s="15">
        <v>55.2821</v>
      </c>
      <c r="U71" s="15">
        <v>55.348999999999997</v>
      </c>
      <c r="V71" s="15">
        <v>61.033700000000003</v>
      </c>
      <c r="W71" s="15">
        <v>57.409599999999998</v>
      </c>
      <c r="X71" s="15">
        <v>57.192999999999998</v>
      </c>
      <c r="Y71" s="15">
        <v>54.201300000000003</v>
      </c>
      <c r="Z71" s="15">
        <v>61.860300000000002</v>
      </c>
      <c r="AA71" s="15">
        <v>58.351300000000002</v>
      </c>
    </row>
    <row r="72" spans="1:27" x14ac:dyDescent="0.25">
      <c r="A72" s="11" t="s">
        <v>358</v>
      </c>
      <c r="B72" s="11" t="s">
        <v>136</v>
      </c>
      <c r="C72" s="14">
        <v>0</v>
      </c>
      <c r="D72" s="14">
        <v>4420</v>
      </c>
      <c r="E72" s="14">
        <v>-4234</v>
      </c>
      <c r="F72" s="14">
        <v>-246</v>
      </c>
      <c r="G72" s="14">
        <v>0</v>
      </c>
      <c r="H72" s="14">
        <v>4929</v>
      </c>
      <c r="I72" s="14" t="s">
        <v>1033</v>
      </c>
      <c r="J72" s="14">
        <v>273</v>
      </c>
      <c r="K72" s="14" t="s">
        <v>1033</v>
      </c>
      <c r="L72" s="14" t="s">
        <v>1033</v>
      </c>
      <c r="M72" s="14" t="s">
        <v>1033</v>
      </c>
      <c r="N72" s="14">
        <v>-794</v>
      </c>
      <c r="O72" s="14">
        <v>391</v>
      </c>
      <c r="P72" s="14">
        <v>267</v>
      </c>
      <c r="Q72" s="14" t="s">
        <v>1033</v>
      </c>
      <c r="R72" s="14">
        <v>617</v>
      </c>
      <c r="S72" s="14" t="s">
        <v>1033</v>
      </c>
      <c r="T72" s="14" t="s">
        <v>1033</v>
      </c>
      <c r="U72" s="14" t="s">
        <v>1033</v>
      </c>
      <c r="V72" s="14">
        <v>0</v>
      </c>
      <c r="W72" s="14" t="s">
        <v>1033</v>
      </c>
      <c r="X72" s="14" t="s">
        <v>1033</v>
      </c>
      <c r="Y72" s="14" t="s">
        <v>1033</v>
      </c>
      <c r="Z72" s="14">
        <v>0</v>
      </c>
      <c r="AA72" s="14" t="s">
        <v>1033</v>
      </c>
    </row>
    <row r="73" spans="1:27" x14ac:dyDescent="0.25">
      <c r="A73" s="8" t="s">
        <v>84</v>
      </c>
      <c r="B73" s="8"/>
      <c r="C73" s="8" t="s">
        <v>3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7"/>
  <sheetViews>
    <sheetView workbookViewId="0">
      <selection activeCell="E9" sqref="E9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359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7" t="s">
        <v>91</v>
      </c>
      <c r="B6" s="7" t="s">
        <v>68</v>
      </c>
      <c r="C6" s="20">
        <v>29576</v>
      </c>
      <c r="D6" s="20">
        <v>30228</v>
      </c>
      <c r="E6" s="20">
        <v>37787.950599999996</v>
      </c>
      <c r="F6" s="20">
        <v>38719.681700000001</v>
      </c>
      <c r="G6" s="20">
        <v>45352</v>
      </c>
      <c r="H6" s="20">
        <v>27783</v>
      </c>
      <c r="I6" s="20">
        <v>28728</v>
      </c>
      <c r="J6" s="20">
        <v>47775.823400000001</v>
      </c>
      <c r="K6" s="20">
        <v>50722</v>
      </c>
      <c r="L6" s="20">
        <v>44821</v>
      </c>
      <c r="M6" s="20">
        <v>47623</v>
      </c>
      <c r="N6" s="20">
        <v>49422.258199999997</v>
      </c>
      <c r="O6" s="20">
        <v>53613</v>
      </c>
      <c r="P6" s="20">
        <v>49736</v>
      </c>
      <c r="Q6" s="20">
        <v>52653</v>
      </c>
      <c r="R6" s="20">
        <v>58724</v>
      </c>
      <c r="S6" s="20">
        <v>62609</v>
      </c>
      <c r="T6" s="20">
        <v>56427</v>
      </c>
      <c r="U6" s="20">
        <v>58529</v>
      </c>
      <c r="V6" s="20">
        <v>61665</v>
      </c>
      <c r="W6" s="20">
        <v>68397</v>
      </c>
      <c r="X6" s="20">
        <v>62625</v>
      </c>
      <c r="Y6" s="20">
        <v>62382</v>
      </c>
      <c r="Z6" s="20">
        <v>71482</v>
      </c>
      <c r="AA6" s="20">
        <v>73459</v>
      </c>
    </row>
    <row r="7" spans="1:27" x14ac:dyDescent="0.25">
      <c r="A7" s="7" t="s">
        <v>257</v>
      </c>
      <c r="B7" s="7" t="s">
        <v>88</v>
      </c>
      <c r="C7" s="20">
        <v>21968</v>
      </c>
      <c r="D7" s="20">
        <v>13861</v>
      </c>
      <c r="E7" s="20">
        <v>22911.357800000002</v>
      </c>
      <c r="F7" s="20">
        <v>21037.933499999999</v>
      </c>
      <c r="G7" s="20">
        <v>22777</v>
      </c>
      <c r="H7" s="20">
        <v>19649</v>
      </c>
      <c r="I7" s="20">
        <v>22873</v>
      </c>
      <c r="J7" s="20">
        <v>26456.718400000002</v>
      </c>
      <c r="K7" s="20">
        <v>26922</v>
      </c>
      <c r="L7" s="20">
        <v>27051</v>
      </c>
      <c r="M7" s="20">
        <v>30694</v>
      </c>
      <c r="N7" s="20">
        <v>31224.689399999999</v>
      </c>
      <c r="O7" s="20">
        <v>31730</v>
      </c>
      <c r="P7" s="20">
        <v>28523</v>
      </c>
      <c r="Q7" s="20">
        <v>33189</v>
      </c>
      <c r="R7" s="20">
        <v>34039</v>
      </c>
      <c r="S7" s="20">
        <v>34777</v>
      </c>
      <c r="T7" s="20">
        <v>31938</v>
      </c>
      <c r="U7" s="20">
        <v>35964</v>
      </c>
      <c r="V7" s="20">
        <v>35701</v>
      </c>
      <c r="W7" s="20">
        <v>35746</v>
      </c>
      <c r="X7" s="20">
        <v>35834</v>
      </c>
      <c r="Y7" s="20">
        <v>36614</v>
      </c>
      <c r="Z7" s="20">
        <v>38117</v>
      </c>
      <c r="AA7" s="20">
        <v>39477</v>
      </c>
    </row>
    <row r="8" spans="1:27" x14ac:dyDescent="0.25">
      <c r="A8" s="11" t="s">
        <v>258</v>
      </c>
      <c r="B8" s="11" t="s">
        <v>259</v>
      </c>
      <c r="C8" s="14">
        <v>36519</v>
      </c>
      <c r="D8" s="14">
        <v>32350</v>
      </c>
      <c r="E8" s="14">
        <v>33248.883399999999</v>
      </c>
      <c r="F8" s="14">
        <v>30651.828600000001</v>
      </c>
      <c r="G8" s="14">
        <v>47391</v>
      </c>
      <c r="H8" s="14">
        <v>31016</v>
      </c>
      <c r="I8" s="14">
        <v>32894</v>
      </c>
      <c r="J8" s="14">
        <v>37615.621200000001</v>
      </c>
      <c r="K8" s="14">
        <v>55233</v>
      </c>
      <c r="L8" s="14">
        <v>60289</v>
      </c>
      <c r="M8" s="14">
        <v>72162</v>
      </c>
      <c r="N8" s="14">
        <v>80739.351699999999</v>
      </c>
      <c r="O8" s="14">
        <v>87223</v>
      </c>
      <c r="P8" s="14">
        <v>91542</v>
      </c>
      <c r="Q8" s="14">
        <v>99573</v>
      </c>
      <c r="R8" s="14">
        <v>97203</v>
      </c>
      <c r="S8" s="14">
        <v>95483</v>
      </c>
      <c r="T8" s="14">
        <v>95152</v>
      </c>
      <c r="U8" s="14">
        <v>103915</v>
      </c>
      <c r="V8" s="14">
        <v>110172</v>
      </c>
      <c r="W8" s="14">
        <v>108793</v>
      </c>
      <c r="X8" s="14">
        <v>105831</v>
      </c>
      <c r="Y8" s="14">
        <v>97514</v>
      </c>
      <c r="Z8" s="14">
        <v>92614</v>
      </c>
      <c r="AA8" s="14">
        <v>88573</v>
      </c>
    </row>
    <row r="9" spans="1:27" x14ac:dyDescent="0.25">
      <c r="A9" s="12" t="s">
        <v>260</v>
      </c>
      <c r="B9" s="12" t="s">
        <v>261</v>
      </c>
      <c r="C9" s="26">
        <v>36519</v>
      </c>
      <c r="D9" s="26">
        <v>32350</v>
      </c>
      <c r="E9" s="26">
        <v>33248.883399999999</v>
      </c>
      <c r="F9" s="26">
        <v>30651.828600000001</v>
      </c>
      <c r="G9" s="26">
        <v>47391</v>
      </c>
      <c r="H9" s="26">
        <v>31016</v>
      </c>
      <c r="I9" s="26">
        <v>32894</v>
      </c>
      <c r="J9" s="26">
        <v>37615.621200000001</v>
      </c>
      <c r="K9" s="26">
        <v>55233</v>
      </c>
      <c r="L9" s="26">
        <v>60289</v>
      </c>
      <c r="M9" s="26">
        <v>72162</v>
      </c>
      <c r="N9" s="26">
        <v>80739.351699999999</v>
      </c>
      <c r="O9" s="26">
        <v>87223</v>
      </c>
      <c r="P9" s="26">
        <v>91542</v>
      </c>
      <c r="Q9" s="26">
        <v>99573</v>
      </c>
      <c r="R9" s="26">
        <v>97203</v>
      </c>
      <c r="S9" s="26">
        <v>95483</v>
      </c>
      <c r="T9" s="26">
        <v>95152</v>
      </c>
      <c r="U9" s="26">
        <v>103915</v>
      </c>
      <c r="V9" s="26">
        <v>110172</v>
      </c>
      <c r="W9" s="26">
        <v>108793</v>
      </c>
      <c r="X9" s="26">
        <v>105831</v>
      </c>
      <c r="Y9" s="26">
        <v>97514</v>
      </c>
      <c r="Z9" s="26">
        <v>92614</v>
      </c>
      <c r="AA9" s="26">
        <v>88573</v>
      </c>
    </row>
    <row r="10" spans="1:27" x14ac:dyDescent="0.25">
      <c r="A10" s="11" t="s">
        <v>262</v>
      </c>
      <c r="B10" s="11" t="s">
        <v>263</v>
      </c>
      <c r="C10" s="14">
        <v>14551</v>
      </c>
      <c r="D10" s="14">
        <v>18489</v>
      </c>
      <c r="E10" s="14">
        <v>10337.525600000001</v>
      </c>
      <c r="F10" s="14">
        <v>9613.8950999999997</v>
      </c>
      <c r="G10" s="14">
        <v>24614</v>
      </c>
      <c r="H10" s="14">
        <v>11367</v>
      </c>
      <c r="I10" s="14">
        <v>10021</v>
      </c>
      <c r="J10" s="14">
        <v>11158.9028</v>
      </c>
      <c r="K10" s="14">
        <v>28311</v>
      </c>
      <c r="L10" s="14">
        <v>33238</v>
      </c>
      <c r="M10" s="14">
        <v>41468</v>
      </c>
      <c r="N10" s="14">
        <v>49514.662300000004</v>
      </c>
      <c r="O10" s="14">
        <v>55493</v>
      </c>
      <c r="P10" s="14">
        <v>63019</v>
      </c>
      <c r="Q10" s="14">
        <v>66384</v>
      </c>
      <c r="R10" s="14">
        <v>63164</v>
      </c>
      <c r="S10" s="14">
        <v>60706</v>
      </c>
      <c r="T10" s="14">
        <v>63214</v>
      </c>
      <c r="U10" s="14">
        <v>67951</v>
      </c>
      <c r="V10" s="14">
        <v>74471</v>
      </c>
      <c r="W10" s="14">
        <v>73047</v>
      </c>
      <c r="X10" s="14">
        <v>69997</v>
      </c>
      <c r="Y10" s="14">
        <v>60900</v>
      </c>
      <c r="Z10" s="14">
        <v>54497</v>
      </c>
      <c r="AA10" s="14">
        <v>49096</v>
      </c>
    </row>
    <row r="11" spans="1:27" x14ac:dyDescent="0.25">
      <c r="A11" s="7" t="s">
        <v>360</v>
      </c>
      <c r="B11" s="7" t="s">
        <v>90</v>
      </c>
      <c r="C11" s="20">
        <v>7608</v>
      </c>
      <c r="D11" s="20">
        <v>16367</v>
      </c>
      <c r="E11" s="20">
        <v>14876.5928</v>
      </c>
      <c r="F11" s="20">
        <v>17681.748200000002</v>
      </c>
      <c r="G11" s="20">
        <v>22575</v>
      </c>
      <c r="H11" s="20">
        <v>8134</v>
      </c>
      <c r="I11" s="20">
        <v>5855</v>
      </c>
      <c r="J11" s="20">
        <v>21319.105</v>
      </c>
      <c r="K11" s="20">
        <v>23800</v>
      </c>
      <c r="L11" s="20">
        <v>17770</v>
      </c>
      <c r="M11" s="20">
        <v>16929</v>
      </c>
      <c r="N11" s="20">
        <v>18197.568800000001</v>
      </c>
      <c r="O11" s="20">
        <v>21883</v>
      </c>
      <c r="P11" s="20">
        <v>21213</v>
      </c>
      <c r="Q11" s="20">
        <v>19464</v>
      </c>
      <c r="R11" s="20">
        <v>24685</v>
      </c>
      <c r="S11" s="20">
        <v>27832</v>
      </c>
      <c r="T11" s="20">
        <v>24489</v>
      </c>
      <c r="U11" s="20">
        <v>22565</v>
      </c>
      <c r="V11" s="20">
        <v>25964</v>
      </c>
      <c r="W11" s="20">
        <v>32651</v>
      </c>
      <c r="X11" s="20">
        <v>26791</v>
      </c>
      <c r="Y11" s="20">
        <v>25768</v>
      </c>
      <c r="Z11" s="20">
        <v>33365</v>
      </c>
      <c r="AA11" s="20">
        <v>33982</v>
      </c>
    </row>
    <row r="12" spans="1:27" x14ac:dyDescent="0.25">
      <c r="A12" s="11" t="s">
        <v>266</v>
      </c>
      <c r="B12" s="11" t="s">
        <v>267</v>
      </c>
      <c r="C12" s="14">
        <v>1166</v>
      </c>
      <c r="D12" s="14">
        <v>1703</v>
      </c>
      <c r="E12" s="14">
        <v>1127.6635000000001</v>
      </c>
      <c r="F12" s="14">
        <v>857.56650000000002</v>
      </c>
      <c r="G12" s="14">
        <v>860</v>
      </c>
      <c r="H12" s="14">
        <v>840</v>
      </c>
      <c r="I12" s="14">
        <v>1116</v>
      </c>
      <c r="J12" s="14">
        <v>1475.7619999999999</v>
      </c>
      <c r="K12" s="14">
        <v>1466</v>
      </c>
      <c r="L12" s="14">
        <v>1032</v>
      </c>
      <c r="M12" s="14">
        <v>777</v>
      </c>
      <c r="N12" s="14">
        <v>651.30079999999998</v>
      </c>
      <c r="O12" s="14">
        <v>412</v>
      </c>
      <c r="P12" s="14">
        <v>1172</v>
      </c>
      <c r="Q12" s="14">
        <v>1061</v>
      </c>
      <c r="R12" s="14">
        <v>1268</v>
      </c>
      <c r="S12" s="14">
        <v>1034</v>
      </c>
      <c r="T12" s="14">
        <v>1038</v>
      </c>
      <c r="U12" s="14">
        <v>1499</v>
      </c>
      <c r="V12" s="14">
        <v>1410</v>
      </c>
      <c r="W12" s="14">
        <v>2115</v>
      </c>
      <c r="X12" s="14">
        <v>2451</v>
      </c>
      <c r="Y12" s="14">
        <v>2438</v>
      </c>
      <c r="Z12" s="14">
        <v>1890</v>
      </c>
      <c r="AA12" s="14">
        <v>1756</v>
      </c>
    </row>
    <row r="13" spans="1:27" x14ac:dyDescent="0.25">
      <c r="A13" s="12" t="s">
        <v>268</v>
      </c>
      <c r="B13" s="12" t="s">
        <v>269</v>
      </c>
      <c r="C13" s="26">
        <v>1166</v>
      </c>
      <c r="D13" s="26">
        <v>1703</v>
      </c>
      <c r="E13" s="26">
        <v>-1528.77</v>
      </c>
      <c r="F13" s="26">
        <v>272</v>
      </c>
      <c r="G13" s="26">
        <v>-492</v>
      </c>
      <c r="H13" s="26">
        <v>840</v>
      </c>
      <c r="I13" s="26">
        <v>358</v>
      </c>
      <c r="J13" s="26">
        <v>529.76199999999994</v>
      </c>
      <c r="K13" s="26">
        <v>53</v>
      </c>
      <c r="L13" s="26">
        <v>-172</v>
      </c>
      <c r="M13" s="26">
        <v>-18</v>
      </c>
      <c r="N13" s="26">
        <v>445</v>
      </c>
      <c r="O13" s="26">
        <v>150</v>
      </c>
      <c r="P13" s="26">
        <v>539</v>
      </c>
      <c r="Q13" s="26">
        <v>351</v>
      </c>
      <c r="R13" s="26">
        <v>1392</v>
      </c>
      <c r="S13" s="26">
        <v>536</v>
      </c>
      <c r="T13" s="26">
        <v>500</v>
      </c>
      <c r="U13" s="26">
        <v>2065</v>
      </c>
      <c r="V13" s="26">
        <v>179</v>
      </c>
      <c r="W13" s="26">
        <v>1854</v>
      </c>
      <c r="X13" s="26">
        <v>1385</v>
      </c>
      <c r="Y13" s="26">
        <v>1750</v>
      </c>
      <c r="Z13" s="26">
        <v>591</v>
      </c>
      <c r="AA13" s="26">
        <v>979</v>
      </c>
    </row>
    <row r="14" spans="1:27" x14ac:dyDescent="0.25">
      <c r="A14" s="11" t="s">
        <v>361</v>
      </c>
      <c r="B14" s="11" t="s">
        <v>271</v>
      </c>
      <c r="C14" s="14">
        <v>0</v>
      </c>
      <c r="D14" s="14">
        <v>0</v>
      </c>
      <c r="E14" s="14">
        <v>2656.4335000000001</v>
      </c>
      <c r="F14" s="14">
        <v>585.56650000000002</v>
      </c>
      <c r="G14" s="14">
        <v>1352</v>
      </c>
      <c r="H14" s="14">
        <v>0</v>
      </c>
      <c r="I14" s="14">
        <v>758</v>
      </c>
      <c r="J14" s="14">
        <v>946</v>
      </c>
      <c r="K14" s="14">
        <v>1413</v>
      </c>
      <c r="L14" s="14">
        <v>1204</v>
      </c>
      <c r="M14" s="14">
        <v>795</v>
      </c>
      <c r="N14" s="14">
        <v>206.30080000000001</v>
      </c>
      <c r="O14" s="14">
        <v>262</v>
      </c>
      <c r="P14" s="14">
        <v>633</v>
      </c>
      <c r="Q14" s="14">
        <v>710</v>
      </c>
      <c r="R14" s="14">
        <v>-124</v>
      </c>
      <c r="S14" s="14">
        <v>498</v>
      </c>
      <c r="T14" s="14">
        <v>538</v>
      </c>
      <c r="U14" s="14">
        <v>-566</v>
      </c>
      <c r="V14" s="14">
        <v>1231</v>
      </c>
      <c r="W14" s="14">
        <v>261</v>
      </c>
      <c r="X14" s="14">
        <v>1066</v>
      </c>
      <c r="Y14" s="14">
        <v>688</v>
      </c>
      <c r="Z14" s="14">
        <v>1299</v>
      </c>
      <c r="AA14" s="14">
        <v>777</v>
      </c>
    </row>
    <row r="15" spans="1:27" x14ac:dyDescent="0.25">
      <c r="A15" s="11" t="s">
        <v>272</v>
      </c>
      <c r="B15" s="11" t="s">
        <v>273</v>
      </c>
      <c r="C15" s="14">
        <v>6115</v>
      </c>
      <c r="D15" s="14">
        <v>5406</v>
      </c>
      <c r="E15" s="14">
        <v>5707.5526</v>
      </c>
      <c r="F15" s="14">
        <v>6774.4233999999997</v>
      </c>
      <c r="G15" s="14">
        <v>6374</v>
      </c>
      <c r="H15" s="14">
        <v>6685</v>
      </c>
      <c r="I15" s="14">
        <v>7113</v>
      </c>
      <c r="J15" s="14">
        <v>7788.0502999999999</v>
      </c>
      <c r="K15" s="14">
        <v>7359</v>
      </c>
      <c r="L15" s="14">
        <v>8082</v>
      </c>
      <c r="M15" s="14">
        <v>8132</v>
      </c>
      <c r="N15" s="14">
        <v>8775.2139000000006</v>
      </c>
      <c r="O15" s="14">
        <v>8372</v>
      </c>
      <c r="P15" s="14">
        <v>8625</v>
      </c>
      <c r="Q15" s="14">
        <v>8533</v>
      </c>
      <c r="R15" s="14">
        <v>9543</v>
      </c>
      <c r="S15" s="14">
        <v>9397</v>
      </c>
      <c r="T15" s="14">
        <v>10087</v>
      </c>
      <c r="U15" s="14">
        <v>10636</v>
      </c>
      <c r="V15" s="14">
        <v>10518</v>
      </c>
      <c r="W15" s="14">
        <v>10198</v>
      </c>
      <c r="X15" s="14">
        <v>10704</v>
      </c>
      <c r="Y15" s="14">
        <v>10035</v>
      </c>
      <c r="Z15" s="14">
        <v>10102</v>
      </c>
      <c r="AA15" s="14">
        <v>10035</v>
      </c>
    </row>
    <row r="16" spans="1:27" x14ac:dyDescent="0.25">
      <c r="A16" s="11" t="s">
        <v>274</v>
      </c>
      <c r="B16" s="11" t="s">
        <v>275</v>
      </c>
      <c r="C16" s="14">
        <v>327</v>
      </c>
      <c r="D16" s="14">
        <v>9258</v>
      </c>
      <c r="E16" s="14">
        <v>8041.3766999999998</v>
      </c>
      <c r="F16" s="14">
        <v>10049.7583</v>
      </c>
      <c r="G16" s="14">
        <v>15341</v>
      </c>
      <c r="H16" s="14">
        <v>609</v>
      </c>
      <c r="I16" s="14">
        <v>-2374</v>
      </c>
      <c r="J16" s="14">
        <v>12055.2927</v>
      </c>
      <c r="K16" s="14">
        <v>14975</v>
      </c>
      <c r="L16" s="14">
        <v>8656</v>
      </c>
      <c r="M16" s="14">
        <v>8020</v>
      </c>
      <c r="N16" s="14">
        <v>8771.0540999999994</v>
      </c>
      <c r="O16" s="14">
        <v>13099</v>
      </c>
      <c r="P16" s="14">
        <v>11416</v>
      </c>
      <c r="Q16" s="14">
        <v>9870</v>
      </c>
      <c r="R16" s="14">
        <v>13874</v>
      </c>
      <c r="S16" s="14">
        <v>17401</v>
      </c>
      <c r="T16" s="14">
        <v>13364</v>
      </c>
      <c r="U16" s="14">
        <v>10430</v>
      </c>
      <c r="V16" s="14">
        <v>14036</v>
      </c>
      <c r="W16" s="14">
        <v>20338</v>
      </c>
      <c r="X16" s="14">
        <v>13636</v>
      </c>
      <c r="Y16" s="14">
        <v>13295</v>
      </c>
      <c r="Z16" s="14">
        <v>21373</v>
      </c>
      <c r="AA16" s="14">
        <v>22191</v>
      </c>
    </row>
    <row r="17" spans="1:27" x14ac:dyDescent="0.25">
      <c r="A17" s="7" t="s">
        <v>276</v>
      </c>
      <c r="B17" s="7" t="s">
        <v>95</v>
      </c>
      <c r="C17" s="20">
        <v>4344</v>
      </c>
      <c r="D17" s="20">
        <v>8456</v>
      </c>
      <c r="E17" s="20">
        <v>3137.9470999999999</v>
      </c>
      <c r="F17" s="20">
        <v>5992.1468999999997</v>
      </c>
      <c r="G17" s="20">
        <v>3214</v>
      </c>
      <c r="H17" s="20">
        <v>2765</v>
      </c>
      <c r="I17" s="20">
        <v>2653</v>
      </c>
      <c r="J17" s="20">
        <v>2718.6257000000001</v>
      </c>
      <c r="K17" s="20">
        <v>2668</v>
      </c>
      <c r="L17" s="20">
        <v>2434</v>
      </c>
      <c r="M17" s="20">
        <v>3148</v>
      </c>
      <c r="N17" s="20">
        <v>3631.6623</v>
      </c>
      <c r="O17" s="20">
        <v>3771</v>
      </c>
      <c r="P17" s="20">
        <v>4038</v>
      </c>
      <c r="Q17" s="20">
        <v>4541</v>
      </c>
      <c r="R17" s="20">
        <v>3591</v>
      </c>
      <c r="S17" s="20">
        <v>4868</v>
      </c>
      <c r="T17" s="20">
        <v>4854</v>
      </c>
      <c r="U17" s="20">
        <v>4615</v>
      </c>
      <c r="V17" s="20">
        <v>3786</v>
      </c>
      <c r="W17" s="20">
        <v>5086</v>
      </c>
      <c r="X17" s="20">
        <v>5208</v>
      </c>
      <c r="Y17" s="20">
        <v>8176</v>
      </c>
      <c r="Z17" s="20">
        <v>2769</v>
      </c>
      <c r="AA17" s="20">
        <v>6916</v>
      </c>
    </row>
    <row r="18" spans="1:27" x14ac:dyDescent="0.25">
      <c r="A18" s="7" t="s">
        <v>277</v>
      </c>
      <c r="B18" s="7" t="s">
        <v>278</v>
      </c>
      <c r="C18" s="20">
        <v>25232</v>
      </c>
      <c r="D18" s="20">
        <v>21772</v>
      </c>
      <c r="E18" s="20">
        <v>34650.003499999999</v>
      </c>
      <c r="F18" s="20">
        <v>32727.534800000001</v>
      </c>
      <c r="G18" s="20">
        <v>42138</v>
      </c>
      <c r="H18" s="20">
        <v>25018</v>
      </c>
      <c r="I18" s="20">
        <v>26075</v>
      </c>
      <c r="J18" s="20">
        <v>45057.1976</v>
      </c>
      <c r="K18" s="20">
        <v>48054</v>
      </c>
      <c r="L18" s="20">
        <v>42387</v>
      </c>
      <c r="M18" s="20">
        <v>44475</v>
      </c>
      <c r="N18" s="20">
        <v>45790.5959</v>
      </c>
      <c r="O18" s="20">
        <v>49842</v>
      </c>
      <c r="P18" s="20">
        <v>45698</v>
      </c>
      <c r="Q18" s="20">
        <v>48112</v>
      </c>
      <c r="R18" s="20">
        <v>55133</v>
      </c>
      <c r="S18" s="20">
        <v>57741</v>
      </c>
      <c r="T18" s="20">
        <v>51573</v>
      </c>
      <c r="U18" s="20">
        <v>53914</v>
      </c>
      <c r="V18" s="20">
        <v>57879</v>
      </c>
      <c r="W18" s="20">
        <v>63311</v>
      </c>
      <c r="X18" s="20">
        <v>57417</v>
      </c>
      <c r="Y18" s="20">
        <v>54206</v>
      </c>
      <c r="Z18" s="20">
        <v>68713</v>
      </c>
      <c r="AA18" s="20">
        <v>66543</v>
      </c>
    </row>
    <row r="19" spans="1:27" x14ac:dyDescent="0.25">
      <c r="A19" s="7" t="s">
        <v>279</v>
      </c>
      <c r="B19" s="7" t="s">
        <v>99</v>
      </c>
      <c r="C19" s="20">
        <v>13126</v>
      </c>
      <c r="D19" s="20">
        <v>12644</v>
      </c>
      <c r="E19" s="20">
        <v>22933.359499999999</v>
      </c>
      <c r="F19" s="20">
        <v>25438.7042</v>
      </c>
      <c r="G19" s="20">
        <v>31233</v>
      </c>
      <c r="H19" s="20">
        <v>14247</v>
      </c>
      <c r="I19" s="20">
        <v>14630</v>
      </c>
      <c r="J19" s="20">
        <v>34356.214999999997</v>
      </c>
      <c r="K19" s="20">
        <v>33036</v>
      </c>
      <c r="L19" s="20">
        <v>27123</v>
      </c>
      <c r="M19" s="20">
        <v>28818</v>
      </c>
      <c r="N19" s="20">
        <v>30707.469700000001</v>
      </c>
      <c r="O19" s="20">
        <v>32430</v>
      </c>
      <c r="P19" s="20">
        <v>27954</v>
      </c>
      <c r="Q19" s="20">
        <v>30389</v>
      </c>
      <c r="R19" s="20">
        <v>38451</v>
      </c>
      <c r="S19" s="20">
        <v>38162</v>
      </c>
      <c r="T19" s="20">
        <v>33284</v>
      </c>
      <c r="U19" s="20">
        <v>34531</v>
      </c>
      <c r="V19" s="20">
        <v>39873</v>
      </c>
      <c r="W19" s="20">
        <v>41745</v>
      </c>
      <c r="X19" s="20">
        <v>38133</v>
      </c>
      <c r="Y19" s="20">
        <v>35962</v>
      </c>
      <c r="Z19" s="20">
        <v>45961</v>
      </c>
      <c r="AA19" s="20">
        <v>44841</v>
      </c>
    </row>
    <row r="20" spans="1:27" x14ac:dyDescent="0.25">
      <c r="A20" s="11" t="s">
        <v>280</v>
      </c>
      <c r="B20" s="11" t="s">
        <v>281</v>
      </c>
      <c r="C20" s="14">
        <v>2660</v>
      </c>
      <c r="D20" s="14">
        <v>2337</v>
      </c>
      <c r="E20" s="14">
        <v>2611.2381999999998</v>
      </c>
      <c r="F20" s="14">
        <v>3175.8049999999998</v>
      </c>
      <c r="G20" s="14">
        <v>2644</v>
      </c>
      <c r="H20" s="14">
        <v>3396</v>
      </c>
      <c r="I20" s="14">
        <v>3614</v>
      </c>
      <c r="J20" s="14">
        <v>3785.3953999999999</v>
      </c>
      <c r="K20" s="14">
        <v>3350</v>
      </c>
      <c r="L20" s="14">
        <v>3769</v>
      </c>
      <c r="M20" s="14">
        <v>3916</v>
      </c>
      <c r="N20" s="14">
        <v>4270.9345999999996</v>
      </c>
      <c r="O20" s="14">
        <v>4164</v>
      </c>
      <c r="P20" s="14">
        <v>4439</v>
      </c>
      <c r="Q20" s="14">
        <v>4438</v>
      </c>
      <c r="R20" s="14">
        <v>5078</v>
      </c>
      <c r="S20" s="14">
        <v>4605</v>
      </c>
      <c r="T20" s="14">
        <v>5150</v>
      </c>
      <c r="U20" s="14">
        <v>5332</v>
      </c>
      <c r="V20" s="14">
        <v>5768</v>
      </c>
      <c r="W20" s="14">
        <v>5404</v>
      </c>
      <c r="X20" s="14">
        <v>5632</v>
      </c>
      <c r="Y20" s="14">
        <v>4924</v>
      </c>
      <c r="Z20" s="14">
        <v>4481</v>
      </c>
      <c r="AA20" s="14">
        <v>4506</v>
      </c>
    </row>
    <row r="21" spans="1:27" x14ac:dyDescent="0.25">
      <c r="A21" s="11" t="s">
        <v>282</v>
      </c>
      <c r="B21" s="11" t="s">
        <v>283</v>
      </c>
      <c r="C21" s="14">
        <v>10466</v>
      </c>
      <c r="D21" s="14">
        <v>10307</v>
      </c>
      <c r="E21" s="14">
        <v>20322.1214</v>
      </c>
      <c r="F21" s="14">
        <v>22262.8992</v>
      </c>
      <c r="G21" s="14">
        <v>28589</v>
      </c>
      <c r="H21" s="14">
        <v>10851</v>
      </c>
      <c r="I21" s="14">
        <v>11016</v>
      </c>
      <c r="J21" s="14">
        <v>30570.819599999999</v>
      </c>
      <c r="K21" s="14">
        <v>29686</v>
      </c>
      <c r="L21" s="14">
        <v>23354</v>
      </c>
      <c r="M21" s="14">
        <v>24902</v>
      </c>
      <c r="N21" s="14">
        <v>26436.535100000001</v>
      </c>
      <c r="O21" s="14">
        <v>28266</v>
      </c>
      <c r="P21" s="14">
        <v>23515</v>
      </c>
      <c r="Q21" s="14">
        <v>25951</v>
      </c>
      <c r="R21" s="14">
        <v>33373</v>
      </c>
      <c r="S21" s="14">
        <v>33557</v>
      </c>
      <c r="T21" s="14">
        <v>28134</v>
      </c>
      <c r="U21" s="14">
        <v>29199</v>
      </c>
      <c r="V21" s="14">
        <v>34105</v>
      </c>
      <c r="W21" s="14">
        <v>36341</v>
      </c>
      <c r="X21" s="14">
        <v>32501</v>
      </c>
      <c r="Y21" s="14">
        <v>31038</v>
      </c>
      <c r="Z21" s="14">
        <v>41480</v>
      </c>
      <c r="AA21" s="14">
        <v>40335</v>
      </c>
    </row>
    <row r="22" spans="1:27" x14ac:dyDescent="0.25">
      <c r="A22" s="7" t="s">
        <v>284</v>
      </c>
      <c r="B22" s="7" t="s">
        <v>74</v>
      </c>
      <c r="C22" s="20">
        <v>12106</v>
      </c>
      <c r="D22" s="20">
        <v>9128</v>
      </c>
      <c r="E22" s="20">
        <v>11716.644</v>
      </c>
      <c r="F22" s="20">
        <v>7288.8306000000002</v>
      </c>
      <c r="G22" s="20">
        <v>10905</v>
      </c>
      <c r="H22" s="20">
        <v>10771</v>
      </c>
      <c r="I22" s="20">
        <v>11445</v>
      </c>
      <c r="J22" s="20">
        <v>10700.982599999999</v>
      </c>
      <c r="K22" s="20">
        <v>15018</v>
      </c>
      <c r="L22" s="20">
        <v>15264</v>
      </c>
      <c r="M22" s="20">
        <v>15657</v>
      </c>
      <c r="N22" s="20">
        <v>15083.126200000001</v>
      </c>
      <c r="O22" s="20">
        <v>17412</v>
      </c>
      <c r="P22" s="20">
        <v>17744</v>
      </c>
      <c r="Q22" s="20">
        <v>17723</v>
      </c>
      <c r="R22" s="20">
        <v>16682</v>
      </c>
      <c r="S22" s="20">
        <v>19579</v>
      </c>
      <c r="T22" s="20">
        <v>18289</v>
      </c>
      <c r="U22" s="20">
        <v>19383</v>
      </c>
      <c r="V22" s="20">
        <v>18006</v>
      </c>
      <c r="W22" s="20">
        <v>21566</v>
      </c>
      <c r="X22" s="20">
        <v>19284</v>
      </c>
      <c r="Y22" s="20">
        <v>18244</v>
      </c>
      <c r="Z22" s="20">
        <v>22752</v>
      </c>
      <c r="AA22" s="20">
        <v>21702</v>
      </c>
    </row>
    <row r="23" spans="1:27" x14ac:dyDescent="0.25">
      <c r="A23" s="7" t="s">
        <v>285</v>
      </c>
      <c r="B23" s="7" t="s">
        <v>286</v>
      </c>
      <c r="C23" s="20">
        <v>-353</v>
      </c>
      <c r="D23" s="20">
        <v>648</v>
      </c>
      <c r="E23" s="20">
        <v>-491.80099999999999</v>
      </c>
      <c r="F23" s="20">
        <v>-509.9683</v>
      </c>
      <c r="G23" s="20">
        <v>-429</v>
      </c>
      <c r="H23" s="20">
        <v>-675</v>
      </c>
      <c r="I23" s="20">
        <v>-532</v>
      </c>
      <c r="J23" s="20">
        <v>-636.99239999999998</v>
      </c>
      <c r="K23" s="20">
        <v>-197</v>
      </c>
      <c r="L23" s="20">
        <v>-128</v>
      </c>
      <c r="M23" s="20">
        <v>-233</v>
      </c>
      <c r="N23" s="20">
        <v>-407.87169999999998</v>
      </c>
      <c r="O23" s="20">
        <v>-333</v>
      </c>
      <c r="P23" s="20">
        <v>-358</v>
      </c>
      <c r="Q23" s="20">
        <v>-259</v>
      </c>
      <c r="R23" s="20">
        <v>-462</v>
      </c>
      <c r="S23" s="20">
        <v>-547</v>
      </c>
      <c r="T23" s="20">
        <v>-357</v>
      </c>
      <c r="U23" s="20">
        <v>-451</v>
      </c>
      <c r="V23" s="20">
        <v>-358</v>
      </c>
      <c r="W23" s="20">
        <v>-408</v>
      </c>
      <c r="X23" s="20">
        <v>-390</v>
      </c>
      <c r="Y23" s="20">
        <v>-456</v>
      </c>
      <c r="Z23" s="20">
        <v>-470</v>
      </c>
      <c r="AA23" s="20">
        <v>-360</v>
      </c>
    </row>
    <row r="24" spans="1:27" x14ac:dyDescent="0.25">
      <c r="A24" s="11" t="s">
        <v>287</v>
      </c>
      <c r="B24" s="11" t="s">
        <v>288</v>
      </c>
      <c r="C24" s="14">
        <v>-353</v>
      </c>
      <c r="D24" s="14">
        <v>648</v>
      </c>
      <c r="E24" s="14">
        <v>-491.80099999999999</v>
      </c>
      <c r="F24" s="14">
        <v>-509.9683</v>
      </c>
      <c r="G24" s="14">
        <v>-429</v>
      </c>
      <c r="H24" s="14">
        <v>-675</v>
      </c>
      <c r="I24" s="14">
        <v>-532</v>
      </c>
      <c r="J24" s="14">
        <v>-636.99239999999998</v>
      </c>
      <c r="K24" s="14">
        <v>-197</v>
      </c>
      <c r="L24" s="14">
        <v>-128</v>
      </c>
      <c r="M24" s="14">
        <v>-233</v>
      </c>
      <c r="N24" s="14">
        <v>-407.87169999999998</v>
      </c>
      <c r="O24" s="14">
        <v>-333</v>
      </c>
      <c r="P24" s="14">
        <v>-358</v>
      </c>
      <c r="Q24" s="14">
        <v>-259</v>
      </c>
      <c r="R24" s="14">
        <v>-462</v>
      </c>
      <c r="S24" s="14">
        <v>-547</v>
      </c>
      <c r="T24" s="14">
        <v>-357</v>
      </c>
      <c r="U24" s="14">
        <v>-451</v>
      </c>
      <c r="V24" s="14">
        <v>-358</v>
      </c>
      <c r="W24" s="14">
        <v>-408</v>
      </c>
      <c r="X24" s="14">
        <v>-390</v>
      </c>
      <c r="Y24" s="14">
        <v>-456</v>
      </c>
      <c r="Z24" s="14">
        <v>-470</v>
      </c>
      <c r="AA24" s="14">
        <v>-360</v>
      </c>
    </row>
    <row r="25" spans="1:27" x14ac:dyDescent="0.25">
      <c r="A25" s="11" t="s">
        <v>362</v>
      </c>
      <c r="B25" s="11" t="s">
        <v>290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</row>
    <row r="26" spans="1:27" x14ac:dyDescent="0.25">
      <c r="A26" s="7" t="s">
        <v>301</v>
      </c>
      <c r="B26" s="7" t="s">
        <v>292</v>
      </c>
      <c r="C26" s="20">
        <v>12459</v>
      </c>
      <c r="D26" s="20">
        <v>8480</v>
      </c>
      <c r="E26" s="20">
        <v>12208.445</v>
      </c>
      <c r="F26" s="20">
        <v>7798.7988999999998</v>
      </c>
      <c r="G26" s="20">
        <v>11334</v>
      </c>
      <c r="H26" s="20">
        <v>11446</v>
      </c>
      <c r="I26" s="20">
        <v>11977</v>
      </c>
      <c r="J26" s="20">
        <v>11337.975</v>
      </c>
      <c r="K26" s="20">
        <v>15215</v>
      </c>
      <c r="L26" s="20">
        <v>15392</v>
      </c>
      <c r="M26" s="20">
        <v>15890</v>
      </c>
      <c r="N26" s="20">
        <v>15490.9979</v>
      </c>
      <c r="O26" s="20">
        <v>17745</v>
      </c>
      <c r="P26" s="20">
        <v>18102</v>
      </c>
      <c r="Q26" s="20">
        <v>17982</v>
      </c>
      <c r="R26" s="20">
        <v>17144</v>
      </c>
      <c r="S26" s="20">
        <v>20126</v>
      </c>
      <c r="T26" s="20">
        <v>18646</v>
      </c>
      <c r="U26" s="20">
        <v>19834</v>
      </c>
      <c r="V26" s="20">
        <v>18364</v>
      </c>
      <c r="W26" s="20">
        <v>21974</v>
      </c>
      <c r="X26" s="20">
        <v>19674</v>
      </c>
      <c r="Y26" s="20">
        <v>18700</v>
      </c>
      <c r="Z26" s="20">
        <v>23222</v>
      </c>
      <c r="AA26" s="20">
        <v>22062</v>
      </c>
    </row>
    <row r="27" spans="1:27" x14ac:dyDescent="0.25">
      <c r="A27" s="7" t="s">
        <v>302</v>
      </c>
      <c r="B27" s="7" t="s">
        <v>303</v>
      </c>
      <c r="C27" s="20">
        <v>3228</v>
      </c>
      <c r="D27" s="20">
        <v>1886</v>
      </c>
      <c r="E27" s="20">
        <v>3178.4232000000002</v>
      </c>
      <c r="F27" s="20">
        <v>1756.4457</v>
      </c>
      <c r="G27" s="20">
        <v>2678</v>
      </c>
      <c r="H27" s="20">
        <v>2756</v>
      </c>
      <c r="I27" s="20">
        <v>2975</v>
      </c>
      <c r="J27" s="20">
        <v>2147.0821999999998</v>
      </c>
      <c r="K27" s="20">
        <v>4331</v>
      </c>
      <c r="L27" s="20">
        <v>3703</v>
      </c>
      <c r="M27" s="20">
        <v>4187</v>
      </c>
      <c r="N27" s="20">
        <v>3742.3290999999999</v>
      </c>
      <c r="O27" s="20">
        <v>4542</v>
      </c>
      <c r="P27" s="20">
        <v>4828</v>
      </c>
      <c r="Q27" s="20">
        <v>4518</v>
      </c>
      <c r="R27" s="20">
        <v>3944</v>
      </c>
      <c r="S27" s="20">
        <v>5965</v>
      </c>
      <c r="T27" s="20">
        <v>4543</v>
      </c>
      <c r="U27" s="20">
        <v>5288</v>
      </c>
      <c r="V27" s="20">
        <v>3560</v>
      </c>
      <c r="W27" s="20">
        <v>6179</v>
      </c>
      <c r="X27" s="20">
        <v>5317</v>
      </c>
      <c r="Y27" s="20">
        <v>4544</v>
      </c>
      <c r="Z27" s="20">
        <v>5717</v>
      </c>
      <c r="AA27" s="20">
        <v>6210</v>
      </c>
    </row>
    <row r="28" spans="1:27" x14ac:dyDescent="0.25">
      <c r="A28" s="11" t="s">
        <v>304</v>
      </c>
      <c r="B28" s="11" t="s">
        <v>305</v>
      </c>
      <c r="C28" s="14" t="s">
        <v>1033</v>
      </c>
      <c r="D28" s="14" t="s">
        <v>1033</v>
      </c>
      <c r="E28" s="14">
        <v>2476.5675000000001</v>
      </c>
      <c r="F28" s="14">
        <v>2267.6242000000002</v>
      </c>
      <c r="G28" s="14" t="s">
        <v>1033</v>
      </c>
      <c r="H28" s="14" t="s">
        <v>1033</v>
      </c>
      <c r="I28" s="14">
        <v>2295</v>
      </c>
      <c r="J28" s="14">
        <v>1231.3963000000001</v>
      </c>
      <c r="K28" s="14" t="s">
        <v>1033</v>
      </c>
      <c r="L28" s="14" t="s">
        <v>1033</v>
      </c>
      <c r="M28" s="14" t="s">
        <v>1033</v>
      </c>
      <c r="N28" s="14" t="s">
        <v>1033</v>
      </c>
      <c r="O28" s="14" t="s">
        <v>1033</v>
      </c>
      <c r="P28" s="14" t="s">
        <v>1033</v>
      </c>
      <c r="Q28" s="14" t="s">
        <v>1033</v>
      </c>
      <c r="R28" s="14" t="s">
        <v>1033</v>
      </c>
      <c r="S28" s="14" t="s">
        <v>1033</v>
      </c>
      <c r="T28" s="14" t="s">
        <v>1033</v>
      </c>
      <c r="U28" s="14" t="s">
        <v>1033</v>
      </c>
      <c r="V28" s="14" t="s">
        <v>1033</v>
      </c>
      <c r="W28" s="14" t="s">
        <v>1033</v>
      </c>
      <c r="X28" s="14" t="s">
        <v>1033</v>
      </c>
      <c r="Y28" s="14" t="s">
        <v>1033</v>
      </c>
      <c r="Z28" s="14" t="s">
        <v>1033</v>
      </c>
      <c r="AA28" s="14" t="s">
        <v>1033</v>
      </c>
    </row>
    <row r="29" spans="1:27" x14ac:dyDescent="0.25">
      <c r="A29" s="11" t="s">
        <v>306</v>
      </c>
      <c r="B29" s="11" t="s">
        <v>307</v>
      </c>
      <c r="C29" s="14" t="s">
        <v>1033</v>
      </c>
      <c r="D29" s="14" t="s">
        <v>1033</v>
      </c>
      <c r="E29" s="14">
        <v>701.85569999999996</v>
      </c>
      <c r="F29" s="14">
        <v>-511.17849999999999</v>
      </c>
      <c r="G29" s="14" t="s">
        <v>1033</v>
      </c>
      <c r="H29" s="14" t="s">
        <v>1033</v>
      </c>
      <c r="I29" s="14">
        <v>680</v>
      </c>
      <c r="J29" s="14">
        <v>915.68589999999995</v>
      </c>
      <c r="K29" s="14" t="s">
        <v>1033</v>
      </c>
      <c r="L29" s="14" t="s">
        <v>1033</v>
      </c>
      <c r="M29" s="14" t="s">
        <v>1033</v>
      </c>
      <c r="N29" s="14" t="s">
        <v>1033</v>
      </c>
      <c r="O29" s="14" t="s">
        <v>1033</v>
      </c>
      <c r="P29" s="14" t="s">
        <v>1033</v>
      </c>
      <c r="Q29" s="14" t="s">
        <v>1033</v>
      </c>
      <c r="R29" s="14" t="s">
        <v>1033</v>
      </c>
      <c r="S29" s="14" t="s">
        <v>1033</v>
      </c>
      <c r="T29" s="14" t="s">
        <v>1033</v>
      </c>
      <c r="U29" s="14" t="s">
        <v>1033</v>
      </c>
      <c r="V29" s="14" t="s">
        <v>1033</v>
      </c>
      <c r="W29" s="14" t="s">
        <v>1033</v>
      </c>
      <c r="X29" s="14" t="s">
        <v>1033</v>
      </c>
      <c r="Y29" s="14" t="s">
        <v>1033</v>
      </c>
      <c r="Z29" s="14" t="s">
        <v>1033</v>
      </c>
      <c r="AA29" s="14" t="s">
        <v>1033</v>
      </c>
    </row>
    <row r="30" spans="1:27" x14ac:dyDescent="0.25">
      <c r="A30" s="7" t="s">
        <v>308</v>
      </c>
      <c r="B30" s="7" t="s">
        <v>309</v>
      </c>
      <c r="C30" s="20">
        <v>9231</v>
      </c>
      <c r="D30" s="20">
        <v>6594</v>
      </c>
      <c r="E30" s="20">
        <v>9030.0218000000004</v>
      </c>
      <c r="F30" s="20">
        <v>6042.3531999999996</v>
      </c>
      <c r="G30" s="20">
        <v>8656</v>
      </c>
      <c r="H30" s="20">
        <v>8690</v>
      </c>
      <c r="I30" s="20">
        <v>9002</v>
      </c>
      <c r="J30" s="20">
        <v>9190.8927000000003</v>
      </c>
      <c r="K30" s="20">
        <v>10884</v>
      </c>
      <c r="L30" s="20">
        <v>11689</v>
      </c>
      <c r="M30" s="20">
        <v>11703</v>
      </c>
      <c r="N30" s="20">
        <v>11748.668900000001</v>
      </c>
      <c r="O30" s="20">
        <v>13203</v>
      </c>
      <c r="P30" s="20">
        <v>13274</v>
      </c>
      <c r="Q30" s="20">
        <v>13464</v>
      </c>
      <c r="R30" s="20">
        <v>13200</v>
      </c>
      <c r="S30" s="20">
        <v>14161</v>
      </c>
      <c r="T30" s="20">
        <v>14103</v>
      </c>
      <c r="U30" s="20">
        <v>14546</v>
      </c>
      <c r="V30" s="20">
        <v>14804</v>
      </c>
      <c r="W30" s="20">
        <v>15795</v>
      </c>
      <c r="X30" s="20">
        <v>14357</v>
      </c>
      <c r="Y30" s="20">
        <v>14156</v>
      </c>
      <c r="Z30" s="20">
        <v>17505</v>
      </c>
      <c r="AA30" s="20">
        <v>15852</v>
      </c>
    </row>
    <row r="31" spans="1:27" x14ac:dyDescent="0.25">
      <c r="A31" s="7" t="s">
        <v>310</v>
      </c>
      <c r="B31" s="7" t="s">
        <v>311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248</v>
      </c>
      <c r="V31" s="20">
        <v>366</v>
      </c>
      <c r="W31" s="20">
        <v>299</v>
      </c>
      <c r="X31" s="20">
        <v>0</v>
      </c>
      <c r="Y31" s="20">
        <v>1518</v>
      </c>
      <c r="Z31" s="20">
        <v>155</v>
      </c>
      <c r="AA31" s="20">
        <v>179</v>
      </c>
    </row>
    <row r="32" spans="1:27" x14ac:dyDescent="0.25">
      <c r="A32" s="11" t="s">
        <v>312</v>
      </c>
      <c r="B32" s="11" t="s">
        <v>313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248</v>
      </c>
      <c r="V32" s="14">
        <v>366</v>
      </c>
      <c r="W32" s="14">
        <v>299</v>
      </c>
      <c r="X32" s="14">
        <v>0</v>
      </c>
      <c r="Y32" s="14">
        <v>1518</v>
      </c>
      <c r="Z32" s="14">
        <v>155</v>
      </c>
      <c r="AA32" s="14">
        <v>179</v>
      </c>
    </row>
    <row r="33" spans="1:27" x14ac:dyDescent="0.25">
      <c r="A33" s="11" t="s">
        <v>314</v>
      </c>
      <c r="B33" s="11" t="s">
        <v>315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</row>
    <row r="34" spans="1:27" x14ac:dyDescent="0.25">
      <c r="A34" s="7" t="s">
        <v>363</v>
      </c>
      <c r="B34" s="7" t="s">
        <v>317</v>
      </c>
      <c r="C34" s="20">
        <v>9231</v>
      </c>
      <c r="D34" s="20">
        <v>6594</v>
      </c>
      <c r="E34" s="20">
        <v>9030.0218000000004</v>
      </c>
      <c r="F34" s="20">
        <v>6042.3531999999996</v>
      </c>
      <c r="G34" s="20">
        <v>8656</v>
      </c>
      <c r="H34" s="20">
        <v>8690</v>
      </c>
      <c r="I34" s="20">
        <v>9002</v>
      </c>
      <c r="J34" s="20">
        <v>9190.8927000000003</v>
      </c>
      <c r="K34" s="20">
        <v>10884</v>
      </c>
      <c r="L34" s="20">
        <v>11689</v>
      </c>
      <c r="M34" s="20">
        <v>11703</v>
      </c>
      <c r="N34" s="20">
        <v>11748.668900000001</v>
      </c>
      <c r="O34" s="20">
        <v>13203</v>
      </c>
      <c r="P34" s="20">
        <v>13274</v>
      </c>
      <c r="Q34" s="20">
        <v>13464</v>
      </c>
      <c r="R34" s="20">
        <v>13200</v>
      </c>
      <c r="S34" s="20">
        <v>14161</v>
      </c>
      <c r="T34" s="20">
        <v>14103</v>
      </c>
      <c r="U34" s="20">
        <v>14298</v>
      </c>
      <c r="V34" s="20">
        <v>14438</v>
      </c>
      <c r="W34" s="20">
        <v>15496</v>
      </c>
      <c r="X34" s="20">
        <v>14357</v>
      </c>
      <c r="Y34" s="20">
        <v>12638</v>
      </c>
      <c r="Z34" s="20">
        <v>17350</v>
      </c>
      <c r="AA34" s="20">
        <v>15673</v>
      </c>
    </row>
    <row r="35" spans="1:27" x14ac:dyDescent="0.25">
      <c r="A35" s="11" t="s">
        <v>318</v>
      </c>
      <c r="B35" s="11" t="s">
        <v>319</v>
      </c>
      <c r="C35" s="14">
        <v>113</v>
      </c>
      <c r="D35" s="14">
        <v>76</v>
      </c>
      <c r="E35" s="14">
        <v>124.1726</v>
      </c>
      <c r="F35" s="14">
        <v>76.320599999999999</v>
      </c>
      <c r="G35" s="14">
        <v>112</v>
      </c>
      <c r="H35" s="14">
        <v>122</v>
      </c>
      <c r="I35" s="14">
        <v>128</v>
      </c>
      <c r="J35" s="14">
        <v>129.56700000000001</v>
      </c>
      <c r="K35" s="14">
        <v>136</v>
      </c>
      <c r="L35" s="14">
        <v>166</v>
      </c>
      <c r="M35" s="14">
        <v>159</v>
      </c>
      <c r="N35" s="14">
        <v>156.76949999999999</v>
      </c>
      <c r="O35" s="14">
        <v>185</v>
      </c>
      <c r="P35" s="14">
        <v>186</v>
      </c>
      <c r="Q35" s="14">
        <v>196</v>
      </c>
      <c r="R35" s="14">
        <v>157</v>
      </c>
      <c r="S35" s="14">
        <v>-47</v>
      </c>
      <c r="T35" s="14">
        <v>85</v>
      </c>
      <c r="U35" s="14">
        <v>60</v>
      </c>
      <c r="V35" s="14">
        <v>714</v>
      </c>
      <c r="W35" s="14">
        <v>208</v>
      </c>
      <c r="X35" s="14">
        <v>-261</v>
      </c>
      <c r="Y35" s="14">
        <v>-370</v>
      </c>
      <c r="Z35" s="14">
        <v>1294</v>
      </c>
      <c r="AA35" s="14">
        <v>215</v>
      </c>
    </row>
    <row r="36" spans="1:27" x14ac:dyDescent="0.25">
      <c r="A36" s="7" t="s">
        <v>320</v>
      </c>
      <c r="B36" s="7" t="s">
        <v>321</v>
      </c>
      <c r="C36" s="20">
        <v>9118</v>
      </c>
      <c r="D36" s="20">
        <v>6518</v>
      </c>
      <c r="E36" s="20">
        <v>8905.8492000000006</v>
      </c>
      <c r="F36" s="20">
        <v>5966.0325999999995</v>
      </c>
      <c r="G36" s="20">
        <v>8544</v>
      </c>
      <c r="H36" s="20">
        <v>8568</v>
      </c>
      <c r="I36" s="20">
        <v>8874</v>
      </c>
      <c r="J36" s="20">
        <v>9061.3258000000005</v>
      </c>
      <c r="K36" s="20">
        <v>10748</v>
      </c>
      <c r="L36" s="20">
        <v>11523</v>
      </c>
      <c r="M36" s="20">
        <v>11544</v>
      </c>
      <c r="N36" s="20">
        <v>11591.899299999999</v>
      </c>
      <c r="O36" s="20">
        <v>13018</v>
      </c>
      <c r="P36" s="20">
        <v>13088</v>
      </c>
      <c r="Q36" s="20">
        <v>13268</v>
      </c>
      <c r="R36" s="20">
        <v>13043</v>
      </c>
      <c r="S36" s="20">
        <v>14208</v>
      </c>
      <c r="T36" s="20">
        <v>14018</v>
      </c>
      <c r="U36" s="20">
        <v>14238</v>
      </c>
      <c r="V36" s="20">
        <v>13724</v>
      </c>
      <c r="W36" s="20">
        <v>15288</v>
      </c>
      <c r="X36" s="20">
        <v>14618</v>
      </c>
      <c r="Y36" s="20">
        <v>13008</v>
      </c>
      <c r="Z36" s="20">
        <v>15874</v>
      </c>
      <c r="AA36" s="20">
        <v>15458</v>
      </c>
    </row>
    <row r="37" spans="1:27" x14ac:dyDescent="0.25">
      <c r="A37" s="11" t="s">
        <v>322</v>
      </c>
      <c r="B37" s="11" t="s">
        <v>323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</row>
    <row r="38" spans="1:27" x14ac:dyDescent="0.25">
      <c r="A38" s="11" t="s">
        <v>324</v>
      </c>
      <c r="B38" s="11" t="s">
        <v>325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</row>
    <row r="39" spans="1:27" x14ac:dyDescent="0.25">
      <c r="A39" s="7" t="s">
        <v>326</v>
      </c>
      <c r="B39" s="7" t="s">
        <v>76</v>
      </c>
      <c r="C39" s="20">
        <v>9118</v>
      </c>
      <c r="D39" s="20">
        <v>6518</v>
      </c>
      <c r="E39" s="20">
        <v>8905.8492000000006</v>
      </c>
      <c r="F39" s="20">
        <v>5966.0325999999995</v>
      </c>
      <c r="G39" s="20">
        <v>8544</v>
      </c>
      <c r="H39" s="20">
        <v>8568</v>
      </c>
      <c r="I39" s="20">
        <v>8874</v>
      </c>
      <c r="J39" s="20">
        <v>9061.3258000000005</v>
      </c>
      <c r="K39" s="20">
        <v>10748</v>
      </c>
      <c r="L39" s="20">
        <v>11523</v>
      </c>
      <c r="M39" s="20">
        <v>11544</v>
      </c>
      <c r="N39" s="20">
        <v>11591.899299999999</v>
      </c>
      <c r="O39" s="20">
        <v>13018</v>
      </c>
      <c r="P39" s="20">
        <v>13088</v>
      </c>
      <c r="Q39" s="20">
        <v>13268</v>
      </c>
      <c r="R39" s="20">
        <v>13043</v>
      </c>
      <c r="S39" s="20">
        <v>14208</v>
      </c>
      <c r="T39" s="20">
        <v>14018</v>
      </c>
      <c r="U39" s="20">
        <v>14238</v>
      </c>
      <c r="V39" s="20">
        <v>13724</v>
      </c>
      <c r="W39" s="20">
        <v>15288</v>
      </c>
      <c r="X39" s="20">
        <v>14618</v>
      </c>
      <c r="Y39" s="20">
        <v>13008</v>
      </c>
      <c r="Z39" s="20">
        <v>15874</v>
      </c>
      <c r="AA39" s="20">
        <v>15458</v>
      </c>
    </row>
    <row r="40" spans="1:27" x14ac:dyDescent="0.25">
      <c r="A40" s="7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x14ac:dyDescent="0.25">
      <c r="A41" s="7" t="s">
        <v>327</v>
      </c>
      <c r="B41" s="7" t="s">
        <v>76</v>
      </c>
      <c r="C41" s="20">
        <v>9118</v>
      </c>
      <c r="D41" s="20">
        <v>6518</v>
      </c>
      <c r="E41" s="20">
        <v>8905.8492000000006</v>
      </c>
      <c r="F41" s="20">
        <v>5966.0325999999995</v>
      </c>
      <c r="G41" s="20">
        <v>8544</v>
      </c>
      <c r="H41" s="20">
        <v>8568</v>
      </c>
      <c r="I41" s="20">
        <v>8874</v>
      </c>
      <c r="J41" s="20">
        <v>9061.3258000000005</v>
      </c>
      <c r="K41" s="20">
        <v>10748</v>
      </c>
      <c r="L41" s="20">
        <v>11523</v>
      </c>
      <c r="M41" s="20">
        <v>11544</v>
      </c>
      <c r="N41" s="20">
        <v>11591.899299999999</v>
      </c>
      <c r="O41" s="20">
        <v>13018</v>
      </c>
      <c r="P41" s="20">
        <v>13088</v>
      </c>
      <c r="Q41" s="20">
        <v>13268</v>
      </c>
      <c r="R41" s="20">
        <v>13043</v>
      </c>
      <c r="S41" s="20">
        <v>14208</v>
      </c>
      <c r="T41" s="20">
        <v>14018</v>
      </c>
      <c r="U41" s="20">
        <v>14238</v>
      </c>
      <c r="V41" s="20">
        <v>13724</v>
      </c>
      <c r="W41" s="20">
        <v>15288</v>
      </c>
      <c r="X41" s="20">
        <v>14618</v>
      </c>
      <c r="Y41" s="20">
        <v>13008</v>
      </c>
      <c r="Z41" s="20">
        <v>15874</v>
      </c>
      <c r="AA41" s="20">
        <v>15458</v>
      </c>
    </row>
    <row r="42" spans="1:27" x14ac:dyDescent="0.25">
      <c r="A42" s="11" t="s">
        <v>328</v>
      </c>
      <c r="B42" s="11" t="s">
        <v>329</v>
      </c>
      <c r="C42" s="14">
        <v>-61.6</v>
      </c>
      <c r="D42" s="14">
        <v>-92.4</v>
      </c>
      <c r="E42" s="14">
        <v>-77</v>
      </c>
      <c r="F42" s="14">
        <v>269.5</v>
      </c>
      <c r="G42" s="14">
        <v>-60.9</v>
      </c>
      <c r="H42" s="14">
        <v>-92.4</v>
      </c>
      <c r="I42" s="14">
        <v>176.4</v>
      </c>
      <c r="J42" s="14">
        <v>415.1</v>
      </c>
      <c r="K42" s="14">
        <v>-98</v>
      </c>
      <c r="L42" s="14">
        <v>-137.19999999999999</v>
      </c>
      <c r="M42" s="14">
        <v>-74.900000000000006</v>
      </c>
      <c r="N42" s="14">
        <v>-130.19999999999999</v>
      </c>
      <c r="O42" s="14">
        <v>-98</v>
      </c>
      <c r="P42" s="14">
        <v>-108.5</v>
      </c>
      <c r="Q42" s="14">
        <v>-172.9</v>
      </c>
      <c r="R42" s="14">
        <v>-273.7</v>
      </c>
      <c r="S42" s="14">
        <v>100.8</v>
      </c>
      <c r="T42" s="14">
        <v>-149.1</v>
      </c>
      <c r="U42" s="14">
        <v>-171.5</v>
      </c>
      <c r="V42" s="14">
        <v>-7.7</v>
      </c>
      <c r="W42" s="14">
        <v>123.9</v>
      </c>
      <c r="X42" s="14">
        <v>-66.5</v>
      </c>
      <c r="Y42" s="14">
        <v>-73.5</v>
      </c>
      <c r="Z42" s="14">
        <v>23.1</v>
      </c>
      <c r="AA42" s="14">
        <v>70</v>
      </c>
    </row>
    <row r="43" spans="1:27" x14ac:dyDescent="0.25">
      <c r="A43" s="11" t="s">
        <v>330</v>
      </c>
      <c r="B43" s="11" t="s">
        <v>311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248</v>
      </c>
      <c r="V43" s="14">
        <v>366</v>
      </c>
      <c r="W43" s="14">
        <v>299</v>
      </c>
      <c r="X43" s="14">
        <v>0</v>
      </c>
      <c r="Y43" s="14">
        <v>1518</v>
      </c>
      <c r="Z43" s="14">
        <v>155</v>
      </c>
      <c r="AA43" s="14">
        <v>179</v>
      </c>
    </row>
    <row r="44" spans="1:27" x14ac:dyDescent="0.25">
      <c r="A44" s="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x14ac:dyDescent="0.25">
      <c r="A45" s="11" t="s">
        <v>331</v>
      </c>
      <c r="B45" s="11" t="s">
        <v>106</v>
      </c>
      <c r="C45" s="14">
        <v>2883.5</v>
      </c>
      <c r="D45" s="14">
        <v>2883.5</v>
      </c>
      <c r="E45" s="14">
        <v>2883.4566</v>
      </c>
      <c r="F45" s="14">
        <v>2737.0072</v>
      </c>
      <c r="G45" s="14">
        <v>2883.5</v>
      </c>
      <c r="H45" s="14">
        <v>2883.5</v>
      </c>
      <c r="I45" s="14">
        <v>2883.4566</v>
      </c>
      <c r="J45" s="14">
        <v>2779.3843000000002</v>
      </c>
      <c r="K45" s="14">
        <v>2883.5</v>
      </c>
      <c r="L45" s="14">
        <v>2883.4566</v>
      </c>
      <c r="M45" s="14">
        <v>2883.4566</v>
      </c>
      <c r="N45" s="14">
        <v>2776.3548000000001</v>
      </c>
      <c r="O45" s="14">
        <v>2883.4566</v>
      </c>
      <c r="P45" s="14">
        <v>2883.4566</v>
      </c>
      <c r="Q45" s="14">
        <v>2883.4566</v>
      </c>
      <c r="R45" s="14">
        <v>2883.4566</v>
      </c>
      <c r="S45" s="14">
        <v>2883.4566</v>
      </c>
      <c r="T45" s="14">
        <v>2883.4566</v>
      </c>
      <c r="U45" s="14">
        <v>2883.4566</v>
      </c>
      <c r="V45" s="14">
        <v>2747.0021000000002</v>
      </c>
      <c r="W45" s="14">
        <v>2813.1565999999998</v>
      </c>
      <c r="X45" s="14">
        <v>2840.8155999999999</v>
      </c>
      <c r="Y45" s="14">
        <v>2813.1565999999998</v>
      </c>
      <c r="Z45" s="14">
        <v>2845.9038</v>
      </c>
      <c r="AA45" s="14">
        <v>2813.1565999999998</v>
      </c>
    </row>
    <row r="46" spans="1:27" x14ac:dyDescent="0.25">
      <c r="A46" s="7" t="s">
        <v>101</v>
      </c>
      <c r="B46" s="7" t="s">
        <v>102</v>
      </c>
      <c r="C46" s="21">
        <v>3.1621000000000001</v>
      </c>
      <c r="D46" s="21">
        <v>2.2604000000000002</v>
      </c>
      <c r="E46" s="21">
        <v>3.0886</v>
      </c>
      <c r="F46" s="21">
        <v>2.1798000000000002</v>
      </c>
      <c r="G46" s="21">
        <v>2.9630999999999998</v>
      </c>
      <c r="H46" s="21">
        <v>2.9714</v>
      </c>
      <c r="I46" s="21">
        <v>3.0775999999999999</v>
      </c>
      <c r="J46" s="21">
        <v>3.2602000000000002</v>
      </c>
      <c r="K46" s="21">
        <v>3.7273999999999998</v>
      </c>
      <c r="L46" s="21">
        <v>3.9962</v>
      </c>
      <c r="M46" s="21">
        <v>4.0034999999999998</v>
      </c>
      <c r="N46" s="21">
        <v>4.1752000000000002</v>
      </c>
      <c r="O46" s="21">
        <v>4.5147000000000004</v>
      </c>
      <c r="P46" s="21">
        <v>4.5389999999999997</v>
      </c>
      <c r="Q46" s="21">
        <v>4.6013999999999999</v>
      </c>
      <c r="R46" s="21">
        <v>4.5233999999999996</v>
      </c>
      <c r="S46" s="21">
        <v>4.9273999999999996</v>
      </c>
      <c r="T46" s="21">
        <v>4.8615000000000004</v>
      </c>
      <c r="U46" s="21">
        <v>4.9378000000000002</v>
      </c>
      <c r="V46" s="21">
        <v>4.9960000000000004</v>
      </c>
      <c r="W46" s="21">
        <v>5.4344999999999999</v>
      </c>
      <c r="X46" s="21">
        <v>5.1456999999999997</v>
      </c>
      <c r="Y46" s="21">
        <v>4.6239999999999997</v>
      </c>
      <c r="Z46" s="21">
        <v>5.5777999999999999</v>
      </c>
      <c r="AA46" s="21">
        <v>5.4949000000000003</v>
      </c>
    </row>
    <row r="47" spans="1:27" x14ac:dyDescent="0.25">
      <c r="A47" s="7" t="s">
        <v>332</v>
      </c>
      <c r="B47" s="7" t="s">
        <v>333</v>
      </c>
      <c r="C47" s="21">
        <v>3.1621000000000001</v>
      </c>
      <c r="D47" s="21">
        <v>2.2604000000000002</v>
      </c>
      <c r="E47" s="21">
        <v>3.0886</v>
      </c>
      <c r="F47" s="21">
        <v>2.1798000000000002</v>
      </c>
      <c r="G47" s="21">
        <v>2.9630999999999998</v>
      </c>
      <c r="H47" s="21">
        <v>2.9714</v>
      </c>
      <c r="I47" s="21">
        <v>3.0775999999999999</v>
      </c>
      <c r="J47" s="21">
        <v>3.2602000000000002</v>
      </c>
      <c r="K47" s="21">
        <v>3.7273999999999998</v>
      </c>
      <c r="L47" s="21">
        <v>3.9962</v>
      </c>
      <c r="M47" s="21">
        <v>4.0034999999999998</v>
      </c>
      <c r="N47" s="21">
        <v>4.1752000000000002</v>
      </c>
      <c r="O47" s="21">
        <v>4.5147000000000004</v>
      </c>
      <c r="P47" s="21">
        <v>4.5389999999999997</v>
      </c>
      <c r="Q47" s="21">
        <v>4.6013999999999999</v>
      </c>
      <c r="R47" s="21">
        <v>4.5233999999999996</v>
      </c>
      <c r="S47" s="21">
        <v>4.9273999999999996</v>
      </c>
      <c r="T47" s="21">
        <v>4.8615000000000004</v>
      </c>
      <c r="U47" s="21">
        <v>5.0237999999999996</v>
      </c>
      <c r="V47" s="21">
        <v>5.1292</v>
      </c>
      <c r="W47" s="21">
        <v>5.5407999999999999</v>
      </c>
      <c r="X47" s="21">
        <v>5.1456999999999997</v>
      </c>
      <c r="Y47" s="21">
        <v>5.1635999999999997</v>
      </c>
      <c r="Z47" s="21">
        <v>5.6322999999999999</v>
      </c>
      <c r="AA47" s="21">
        <v>5.5585000000000004</v>
      </c>
    </row>
    <row r="48" spans="1:27" x14ac:dyDescent="0.25">
      <c r="A48" s="7" t="s">
        <v>334</v>
      </c>
      <c r="B48" s="7" t="s">
        <v>335</v>
      </c>
      <c r="C48" s="21">
        <v>3.1408</v>
      </c>
      <c r="D48" s="21">
        <v>2.2284000000000002</v>
      </c>
      <c r="E48" s="21">
        <v>3.0619000000000001</v>
      </c>
      <c r="F48" s="21">
        <v>2.2782</v>
      </c>
      <c r="G48" s="21">
        <v>2.9419</v>
      </c>
      <c r="H48" s="21">
        <v>2.9392999999999998</v>
      </c>
      <c r="I48" s="21">
        <v>3.1387</v>
      </c>
      <c r="J48" s="21">
        <v>3.4095</v>
      </c>
      <c r="K48" s="21">
        <v>3.6934</v>
      </c>
      <c r="L48" s="21">
        <v>3.9487000000000001</v>
      </c>
      <c r="M48" s="21">
        <v>3.9775999999999998</v>
      </c>
      <c r="N48" s="21">
        <v>4.1283000000000003</v>
      </c>
      <c r="O48" s="21">
        <v>4.4806999999999997</v>
      </c>
      <c r="P48" s="21">
        <v>4.5014000000000003</v>
      </c>
      <c r="Q48" s="21">
        <v>4.5415000000000001</v>
      </c>
      <c r="R48" s="21">
        <v>4.4284999999999997</v>
      </c>
      <c r="S48" s="21">
        <v>4.9623999999999997</v>
      </c>
      <c r="T48" s="21">
        <v>4.8098000000000001</v>
      </c>
      <c r="U48" s="21">
        <v>4.9644000000000004</v>
      </c>
      <c r="V48" s="21">
        <v>5.1264000000000003</v>
      </c>
      <c r="W48" s="21">
        <v>5.5848000000000004</v>
      </c>
      <c r="X48" s="21">
        <v>5.1223000000000001</v>
      </c>
      <c r="Y48" s="21">
        <v>5.1375000000000002</v>
      </c>
      <c r="Z48" s="21">
        <v>5.6403999999999996</v>
      </c>
      <c r="AA48" s="21">
        <v>5.5834000000000001</v>
      </c>
    </row>
    <row r="49" spans="1:27" x14ac:dyDescent="0.25">
      <c r="A49" s="7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x14ac:dyDescent="0.25">
      <c r="A50" s="11" t="s">
        <v>336</v>
      </c>
      <c r="B50" s="11" t="s">
        <v>108</v>
      </c>
      <c r="C50" s="14">
        <v>2883.5</v>
      </c>
      <c r="D50" s="14">
        <v>2883.5</v>
      </c>
      <c r="E50" s="14">
        <v>2883.4566</v>
      </c>
      <c r="F50" s="14">
        <v>2737.0072</v>
      </c>
      <c r="G50" s="14">
        <v>2883.5</v>
      </c>
      <c r="H50" s="14">
        <v>2883.5</v>
      </c>
      <c r="I50" s="14">
        <v>2883.4566</v>
      </c>
      <c r="J50" s="14">
        <v>2779.3843000000002</v>
      </c>
      <c r="K50" s="14">
        <v>2883.5</v>
      </c>
      <c r="L50" s="14">
        <v>2883.4566</v>
      </c>
      <c r="M50" s="14">
        <v>2883.4566</v>
      </c>
      <c r="N50" s="14">
        <v>2883.4566</v>
      </c>
      <c r="O50" s="14">
        <v>2883.4566</v>
      </c>
      <c r="P50" s="14">
        <v>2883.4566</v>
      </c>
      <c r="Q50" s="14">
        <v>2883.4566</v>
      </c>
      <c r="R50" s="14">
        <v>2883.4566</v>
      </c>
      <c r="S50" s="14">
        <v>2883.4566</v>
      </c>
      <c r="T50" s="14">
        <v>2883.4566</v>
      </c>
      <c r="U50" s="14">
        <v>2883.4566</v>
      </c>
      <c r="V50" s="14">
        <v>2747.0021000000002</v>
      </c>
      <c r="W50" s="14">
        <v>2813.1565999999998</v>
      </c>
      <c r="X50" s="14">
        <v>2840.8155999999999</v>
      </c>
      <c r="Y50" s="14">
        <v>2813.1565999999998</v>
      </c>
      <c r="Z50" s="14">
        <v>2845.9038</v>
      </c>
      <c r="AA50" s="14">
        <v>2813.1565999999998</v>
      </c>
    </row>
    <row r="51" spans="1:27" x14ac:dyDescent="0.25">
      <c r="A51" s="7" t="s">
        <v>103</v>
      </c>
      <c r="B51" s="7" t="s">
        <v>104</v>
      </c>
      <c r="C51" s="21">
        <v>3.1621000000000001</v>
      </c>
      <c r="D51" s="21">
        <v>2.2604000000000002</v>
      </c>
      <c r="E51" s="21">
        <v>3.0886</v>
      </c>
      <c r="F51" s="21">
        <v>2.1798000000000002</v>
      </c>
      <c r="G51" s="21">
        <v>2.9630999999999998</v>
      </c>
      <c r="H51" s="21">
        <v>2.9714</v>
      </c>
      <c r="I51" s="21">
        <v>3.0775999999999999</v>
      </c>
      <c r="J51" s="21">
        <v>3.2602000000000002</v>
      </c>
      <c r="K51" s="21">
        <v>3.7273999999999998</v>
      </c>
      <c r="L51" s="21">
        <v>3.9962</v>
      </c>
      <c r="M51" s="21">
        <v>4.0034999999999998</v>
      </c>
      <c r="N51" s="21">
        <v>4.0201000000000002</v>
      </c>
      <c r="O51" s="21">
        <v>4.5147000000000004</v>
      </c>
      <c r="P51" s="21">
        <v>4.5389999999999997</v>
      </c>
      <c r="Q51" s="21">
        <v>4.6013999999999999</v>
      </c>
      <c r="R51" s="21">
        <v>4.5233999999999996</v>
      </c>
      <c r="S51" s="21">
        <v>4.9273999999999996</v>
      </c>
      <c r="T51" s="21">
        <v>4.8615000000000004</v>
      </c>
      <c r="U51" s="21">
        <v>4.9378000000000002</v>
      </c>
      <c r="V51" s="21">
        <v>4.9960000000000004</v>
      </c>
      <c r="W51" s="21">
        <v>5.4344999999999999</v>
      </c>
      <c r="X51" s="21">
        <v>5.1456999999999997</v>
      </c>
      <c r="Y51" s="21">
        <v>4.6239999999999997</v>
      </c>
      <c r="Z51" s="21">
        <v>5.5777999999999999</v>
      </c>
      <c r="AA51" s="21">
        <v>5.4949000000000003</v>
      </c>
    </row>
    <row r="52" spans="1:27" x14ac:dyDescent="0.25">
      <c r="A52" s="7" t="s">
        <v>337</v>
      </c>
      <c r="B52" s="7" t="s">
        <v>338</v>
      </c>
      <c r="C52" s="21">
        <v>3.1621000000000001</v>
      </c>
      <c r="D52" s="21">
        <v>2.2604000000000002</v>
      </c>
      <c r="E52" s="21">
        <v>3.0886</v>
      </c>
      <c r="F52" s="21">
        <v>2.1798000000000002</v>
      </c>
      <c r="G52" s="21">
        <v>2.9630999999999998</v>
      </c>
      <c r="H52" s="21">
        <v>2.9714</v>
      </c>
      <c r="I52" s="21">
        <v>3.0775999999999999</v>
      </c>
      <c r="J52" s="21">
        <v>3.2602000000000002</v>
      </c>
      <c r="K52" s="21">
        <v>3.7273999999999998</v>
      </c>
      <c r="L52" s="21">
        <v>3.9962</v>
      </c>
      <c r="M52" s="21">
        <v>4.0034999999999998</v>
      </c>
      <c r="N52" s="21">
        <v>4.0201000000000002</v>
      </c>
      <c r="O52" s="21">
        <v>4.5147000000000004</v>
      </c>
      <c r="P52" s="21">
        <v>4.5389999999999997</v>
      </c>
      <c r="Q52" s="21">
        <v>4.6013999999999999</v>
      </c>
      <c r="R52" s="21">
        <v>4.5233999999999996</v>
      </c>
      <c r="S52" s="21">
        <v>4.9273999999999996</v>
      </c>
      <c r="T52" s="21">
        <v>4.8615000000000004</v>
      </c>
      <c r="U52" s="21">
        <v>5.0237999999999996</v>
      </c>
      <c r="V52" s="21">
        <v>5.1292</v>
      </c>
      <c r="W52" s="21">
        <v>5.5407999999999999</v>
      </c>
      <c r="X52" s="21">
        <v>5.1456999999999997</v>
      </c>
      <c r="Y52" s="21">
        <v>5.1635999999999997</v>
      </c>
      <c r="Z52" s="21">
        <v>5.6322999999999999</v>
      </c>
      <c r="AA52" s="21">
        <v>5.5585000000000004</v>
      </c>
    </row>
    <row r="53" spans="1:27" x14ac:dyDescent="0.25">
      <c r="A53" s="7" t="s">
        <v>339</v>
      </c>
      <c r="B53" s="7" t="s">
        <v>78</v>
      </c>
      <c r="C53" s="21">
        <v>3.1408</v>
      </c>
      <c r="D53" s="21">
        <v>2.2284000000000002</v>
      </c>
      <c r="E53" s="21">
        <v>3.0619000000000001</v>
      </c>
      <c r="F53" s="21">
        <v>2.2782</v>
      </c>
      <c r="G53" s="21">
        <v>2.9419</v>
      </c>
      <c r="H53" s="21">
        <v>2.9392999999999998</v>
      </c>
      <c r="I53" s="21">
        <v>3.1387</v>
      </c>
      <c r="J53" s="21">
        <v>3.4095</v>
      </c>
      <c r="K53" s="21">
        <v>3.6934</v>
      </c>
      <c r="L53" s="21">
        <v>3.9487000000000001</v>
      </c>
      <c r="M53" s="21">
        <v>3.9775999999999998</v>
      </c>
      <c r="N53" s="21">
        <v>3.9750000000000001</v>
      </c>
      <c r="O53" s="21">
        <v>4.4806999999999997</v>
      </c>
      <c r="P53" s="21">
        <v>4.5014000000000003</v>
      </c>
      <c r="Q53" s="21">
        <v>4.5415000000000001</v>
      </c>
      <c r="R53" s="21">
        <v>4.4284999999999997</v>
      </c>
      <c r="S53" s="21">
        <v>4.9623999999999997</v>
      </c>
      <c r="T53" s="21">
        <v>4.8098000000000001</v>
      </c>
      <c r="U53" s="21">
        <v>4.9644000000000004</v>
      </c>
      <c r="V53" s="21">
        <v>5.1264000000000003</v>
      </c>
      <c r="W53" s="21">
        <v>5.5848000000000004</v>
      </c>
      <c r="X53" s="21">
        <v>5.1223000000000001</v>
      </c>
      <c r="Y53" s="21">
        <v>5.1375000000000002</v>
      </c>
      <c r="Z53" s="21">
        <v>5.6403999999999996</v>
      </c>
      <c r="AA53" s="21">
        <v>5.5834000000000001</v>
      </c>
    </row>
    <row r="54" spans="1:27" x14ac:dyDescent="0.25">
      <c r="A54" s="7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x14ac:dyDescent="0.25">
      <c r="A55" s="7" t="s">
        <v>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x14ac:dyDescent="0.25">
      <c r="A56" s="11" t="s">
        <v>340</v>
      </c>
      <c r="B56" s="11" t="s">
        <v>341</v>
      </c>
      <c r="C56" s="13" t="s">
        <v>342</v>
      </c>
      <c r="D56" s="13" t="s">
        <v>342</v>
      </c>
      <c r="E56" s="13" t="s">
        <v>342</v>
      </c>
      <c r="F56" s="13" t="s">
        <v>342</v>
      </c>
      <c r="G56" s="13" t="s">
        <v>342</v>
      </c>
      <c r="H56" s="13" t="s">
        <v>342</v>
      </c>
      <c r="I56" s="13" t="s">
        <v>342</v>
      </c>
      <c r="J56" s="13" t="s">
        <v>342</v>
      </c>
      <c r="K56" s="13" t="s">
        <v>342</v>
      </c>
      <c r="L56" s="13" t="s">
        <v>342</v>
      </c>
      <c r="M56" s="13" t="s">
        <v>342</v>
      </c>
      <c r="N56" s="13" t="s">
        <v>342</v>
      </c>
      <c r="O56" s="13" t="s">
        <v>342</v>
      </c>
      <c r="P56" s="13" t="s">
        <v>342</v>
      </c>
      <c r="Q56" s="13" t="s">
        <v>342</v>
      </c>
      <c r="R56" s="13" t="s">
        <v>342</v>
      </c>
      <c r="S56" s="13" t="s">
        <v>342</v>
      </c>
      <c r="T56" s="13" t="s">
        <v>342</v>
      </c>
      <c r="U56" s="13" t="s">
        <v>342</v>
      </c>
      <c r="V56" s="13" t="s">
        <v>342</v>
      </c>
      <c r="W56" s="13" t="s">
        <v>342</v>
      </c>
      <c r="X56" s="13" t="s">
        <v>342</v>
      </c>
      <c r="Y56" s="13" t="s">
        <v>342</v>
      </c>
      <c r="Z56" s="13" t="s">
        <v>342</v>
      </c>
      <c r="AA56" s="13" t="s">
        <v>342</v>
      </c>
    </row>
    <row r="57" spans="1:27" x14ac:dyDescent="0.25">
      <c r="A57" s="11" t="s">
        <v>0</v>
      </c>
      <c r="B57" s="11" t="s">
        <v>343</v>
      </c>
      <c r="C57" s="14">
        <v>44127</v>
      </c>
      <c r="D57" s="14">
        <v>48717</v>
      </c>
      <c r="E57" s="14">
        <v>48125.476199999997</v>
      </c>
      <c r="F57" s="14">
        <v>48333.576800000003</v>
      </c>
      <c r="G57" s="14">
        <v>69966</v>
      </c>
      <c r="H57" s="14">
        <v>39150</v>
      </c>
      <c r="I57" s="14">
        <v>38749</v>
      </c>
      <c r="J57" s="14">
        <v>58934.726199999997</v>
      </c>
      <c r="K57" s="14">
        <v>79033</v>
      </c>
      <c r="L57" s="14">
        <v>78059</v>
      </c>
      <c r="M57" s="14">
        <v>89091</v>
      </c>
      <c r="N57" s="14">
        <v>98936.920499999993</v>
      </c>
      <c r="O57" s="14">
        <v>109106</v>
      </c>
      <c r="P57" s="14">
        <v>112755</v>
      </c>
      <c r="Q57" s="14">
        <v>119037</v>
      </c>
      <c r="R57" s="14">
        <v>121888</v>
      </c>
      <c r="S57" s="14">
        <v>123315</v>
      </c>
      <c r="T57" s="14">
        <v>119641</v>
      </c>
      <c r="U57" s="14">
        <v>126480</v>
      </c>
      <c r="V57" s="14">
        <v>136136</v>
      </c>
      <c r="W57" s="14">
        <v>141444</v>
      </c>
      <c r="X57" s="14">
        <v>132622</v>
      </c>
      <c r="Y57" s="14">
        <v>123282</v>
      </c>
      <c r="Z57" s="14">
        <v>125979</v>
      </c>
      <c r="AA57" s="14">
        <v>122555</v>
      </c>
    </row>
    <row r="58" spans="1:27" x14ac:dyDescent="0.25">
      <c r="A58" s="11" t="s">
        <v>345</v>
      </c>
      <c r="B58" s="11" t="s">
        <v>71</v>
      </c>
      <c r="C58" s="14">
        <v>16450</v>
      </c>
      <c r="D58" s="14">
        <v>17584</v>
      </c>
      <c r="E58" s="14">
        <v>14854.5911</v>
      </c>
      <c r="F58" s="14">
        <v>13280.977500000001</v>
      </c>
      <c r="G58" s="14">
        <v>14119</v>
      </c>
      <c r="H58" s="14">
        <v>13536</v>
      </c>
      <c r="I58" s="14">
        <v>14098</v>
      </c>
      <c r="J58" s="14">
        <v>13419.6083</v>
      </c>
      <c r="K58" s="14">
        <v>17686</v>
      </c>
      <c r="L58" s="14">
        <v>17698</v>
      </c>
      <c r="M58" s="14">
        <v>18805</v>
      </c>
      <c r="N58" s="14">
        <v>18714.788499999999</v>
      </c>
      <c r="O58" s="14">
        <v>21183</v>
      </c>
      <c r="P58" s="14">
        <v>21782</v>
      </c>
      <c r="Q58" s="14">
        <v>22264</v>
      </c>
      <c r="R58" s="14">
        <v>20273</v>
      </c>
      <c r="S58" s="14">
        <v>24447</v>
      </c>
      <c r="T58" s="14">
        <v>23143</v>
      </c>
      <c r="U58" s="14">
        <v>23998</v>
      </c>
      <c r="V58" s="14">
        <v>21792</v>
      </c>
      <c r="W58" s="14">
        <v>26652</v>
      </c>
      <c r="X58" s="14">
        <v>24492</v>
      </c>
      <c r="Y58" s="14">
        <v>26420</v>
      </c>
      <c r="Z58" s="14">
        <v>25521</v>
      </c>
      <c r="AA58" s="14">
        <v>28618</v>
      </c>
    </row>
    <row r="59" spans="1:27" x14ac:dyDescent="0.25">
      <c r="A59" s="11" t="s">
        <v>346</v>
      </c>
      <c r="B59" s="11" t="s">
        <v>140</v>
      </c>
      <c r="C59" s="15">
        <v>6.1121999999999996</v>
      </c>
      <c r="D59" s="15">
        <v>5.6185</v>
      </c>
      <c r="E59" s="15">
        <v>5.7827999999999999</v>
      </c>
      <c r="F59" s="15">
        <v>5.6111000000000004</v>
      </c>
      <c r="G59" s="15">
        <v>5.1791</v>
      </c>
      <c r="H59" s="15">
        <v>5.8346</v>
      </c>
      <c r="I59" s="15">
        <v>5.6904000000000003</v>
      </c>
      <c r="J59" s="15">
        <v>5.9782000000000002</v>
      </c>
      <c r="K59" s="15">
        <v>5.7779999999999996</v>
      </c>
      <c r="L59" s="15">
        <v>6.3033000000000001</v>
      </c>
      <c r="M59" s="15">
        <v>6.6390000000000002</v>
      </c>
      <c r="N59" s="15">
        <v>6.8578999999999999</v>
      </c>
      <c r="O59" s="15">
        <v>7.1547999999999998</v>
      </c>
      <c r="P59" s="15">
        <v>6.8879000000000001</v>
      </c>
      <c r="Q59" s="15">
        <v>6.7750000000000004</v>
      </c>
      <c r="R59" s="15">
        <v>6.6795999999999998</v>
      </c>
      <c r="S59" s="15">
        <v>6.7145000000000001</v>
      </c>
      <c r="T59" s="15">
        <v>6.8129</v>
      </c>
      <c r="U59" s="15">
        <v>6.8220999999999998</v>
      </c>
      <c r="V59" s="15">
        <v>6.5815999999999999</v>
      </c>
      <c r="W59" s="15">
        <v>6.4603000000000002</v>
      </c>
      <c r="X59" s="15">
        <v>6.6044999999999998</v>
      </c>
      <c r="Y59" s="15">
        <v>6.6306000000000003</v>
      </c>
      <c r="Z59" s="15">
        <v>6.5091999999999999</v>
      </c>
      <c r="AA59" s="15">
        <v>6.6134000000000004</v>
      </c>
    </row>
    <row r="60" spans="1:27" x14ac:dyDescent="0.25">
      <c r="A60" s="11" t="s">
        <v>347</v>
      </c>
      <c r="B60" s="11" t="s">
        <v>348</v>
      </c>
      <c r="C60" s="15">
        <v>67.024699999999996</v>
      </c>
      <c r="D60" s="15">
        <v>62.048200000000001</v>
      </c>
      <c r="E60" s="15">
        <v>78.519599999999997</v>
      </c>
      <c r="F60" s="15">
        <v>80.109300000000005</v>
      </c>
      <c r="G60" s="15">
        <v>64.820099999999996</v>
      </c>
      <c r="H60" s="15">
        <v>70.965500000000006</v>
      </c>
      <c r="I60" s="15">
        <v>74.1387</v>
      </c>
      <c r="J60" s="15">
        <v>81.065700000000007</v>
      </c>
      <c r="K60" s="15">
        <v>64.178299999999993</v>
      </c>
      <c r="L60" s="15">
        <v>57.419400000000003</v>
      </c>
      <c r="M60" s="15">
        <v>53.454300000000003</v>
      </c>
      <c r="N60" s="15">
        <v>49.953299999999999</v>
      </c>
      <c r="O60" s="15">
        <v>49.138500000000001</v>
      </c>
      <c r="P60" s="15">
        <v>44.1098</v>
      </c>
      <c r="Q60" s="15">
        <v>44.232500000000002</v>
      </c>
      <c r="R60" s="15">
        <v>48.178699999999999</v>
      </c>
      <c r="S60" s="15">
        <v>50.771599999999999</v>
      </c>
      <c r="T60" s="15">
        <v>47.163600000000002</v>
      </c>
      <c r="U60" s="15">
        <v>46.275300000000001</v>
      </c>
      <c r="V60" s="15">
        <v>45.296599999999998</v>
      </c>
      <c r="W60" s="15">
        <v>48.356200000000001</v>
      </c>
      <c r="X60" s="15">
        <v>47.220700000000001</v>
      </c>
      <c r="Y60" s="15">
        <v>50.601100000000002</v>
      </c>
      <c r="Z60" s="15">
        <v>56.741199999999999</v>
      </c>
      <c r="AA60" s="15">
        <v>59.939599999999999</v>
      </c>
    </row>
    <row r="61" spans="1:27" x14ac:dyDescent="0.25">
      <c r="A61" s="11" t="s">
        <v>349</v>
      </c>
      <c r="B61" s="11" t="s">
        <v>350</v>
      </c>
      <c r="C61" s="15">
        <v>42.125399999999999</v>
      </c>
      <c r="D61" s="15">
        <v>28.0535</v>
      </c>
      <c r="E61" s="15">
        <v>32.3078</v>
      </c>
      <c r="F61" s="15">
        <v>20.1417</v>
      </c>
      <c r="G61" s="15">
        <v>24.991199999999999</v>
      </c>
      <c r="H61" s="15">
        <v>41.197899999999997</v>
      </c>
      <c r="I61" s="15">
        <v>41.691000000000003</v>
      </c>
      <c r="J61" s="15">
        <v>23.7316</v>
      </c>
      <c r="K61" s="15">
        <v>29.9968</v>
      </c>
      <c r="L61" s="15">
        <v>34.341000000000001</v>
      </c>
      <c r="M61" s="15">
        <v>33.366199999999999</v>
      </c>
      <c r="N61" s="15">
        <v>31.344200000000001</v>
      </c>
      <c r="O61" s="15">
        <v>33.098300000000002</v>
      </c>
      <c r="P61" s="15">
        <v>36.3962</v>
      </c>
      <c r="Q61" s="15">
        <v>34.151899999999998</v>
      </c>
      <c r="R61" s="15">
        <v>29.194199999999999</v>
      </c>
      <c r="S61" s="15">
        <v>32.145499999999998</v>
      </c>
      <c r="T61" s="15">
        <v>33.044499999999999</v>
      </c>
      <c r="U61" s="15">
        <v>33.887500000000003</v>
      </c>
      <c r="V61" s="15">
        <v>29.7803</v>
      </c>
      <c r="W61" s="15">
        <v>32.127099999999999</v>
      </c>
      <c r="X61" s="15">
        <v>31.415600000000001</v>
      </c>
      <c r="Y61" s="15">
        <v>29.976600000000001</v>
      </c>
      <c r="Z61" s="15">
        <v>32.486499999999999</v>
      </c>
      <c r="AA61" s="15">
        <v>30.033100000000001</v>
      </c>
    </row>
    <row r="62" spans="1:27" x14ac:dyDescent="0.25">
      <c r="A62" s="11" t="s">
        <v>351</v>
      </c>
      <c r="B62" s="11" t="s">
        <v>352</v>
      </c>
      <c r="C62" s="15" t="s">
        <v>1033</v>
      </c>
      <c r="D62" s="15" t="s">
        <v>1033</v>
      </c>
      <c r="E62" s="15" t="s">
        <v>1033</v>
      </c>
      <c r="F62" s="15" t="s">
        <v>1033</v>
      </c>
      <c r="G62" s="15">
        <v>2361641.8010999998</v>
      </c>
      <c r="H62" s="15" t="s">
        <v>1033</v>
      </c>
      <c r="I62" s="15" t="s">
        <v>1033</v>
      </c>
      <c r="J62" s="15" t="s">
        <v>1033</v>
      </c>
      <c r="K62" s="15" t="s">
        <v>1033</v>
      </c>
      <c r="L62" s="15" t="s">
        <v>1033</v>
      </c>
      <c r="M62" s="15" t="s">
        <v>1033</v>
      </c>
      <c r="N62" s="15" t="s">
        <v>1033</v>
      </c>
      <c r="O62" s="15" t="s">
        <v>1033</v>
      </c>
      <c r="P62" s="15" t="s">
        <v>1033</v>
      </c>
      <c r="Q62" s="15" t="s">
        <v>1033</v>
      </c>
      <c r="R62" s="15" t="s">
        <v>1033</v>
      </c>
      <c r="S62" s="15" t="s">
        <v>1033</v>
      </c>
      <c r="T62" s="15" t="s">
        <v>1033</v>
      </c>
      <c r="U62" s="15" t="s">
        <v>1033</v>
      </c>
      <c r="V62" s="15" t="s">
        <v>1033</v>
      </c>
      <c r="W62" s="15" t="s">
        <v>1033</v>
      </c>
      <c r="X62" s="15" t="s">
        <v>1033</v>
      </c>
      <c r="Y62" s="15" t="s">
        <v>1033</v>
      </c>
      <c r="Z62" s="15" t="s">
        <v>1033</v>
      </c>
      <c r="AA62" s="15" t="s">
        <v>1033</v>
      </c>
    </row>
    <row r="63" spans="1:27" x14ac:dyDescent="0.25">
      <c r="A63" s="11" t="s">
        <v>353</v>
      </c>
      <c r="B63" s="11" t="s">
        <v>354</v>
      </c>
      <c r="C63" s="15" t="s">
        <v>1033</v>
      </c>
      <c r="D63" s="15" t="s">
        <v>1033</v>
      </c>
      <c r="E63" s="15" t="s">
        <v>1033</v>
      </c>
      <c r="F63" s="15">
        <v>0</v>
      </c>
      <c r="G63" s="15" t="s">
        <v>1033</v>
      </c>
      <c r="H63" s="15" t="s">
        <v>1033</v>
      </c>
      <c r="I63" s="15" t="s">
        <v>1033</v>
      </c>
      <c r="J63" s="15" t="s">
        <v>1033</v>
      </c>
      <c r="K63" s="15" t="s">
        <v>1033</v>
      </c>
      <c r="L63" s="15" t="s">
        <v>1033</v>
      </c>
      <c r="M63" s="15" t="s">
        <v>1033</v>
      </c>
      <c r="N63" s="15" t="s">
        <v>1033</v>
      </c>
      <c r="O63" s="15" t="s">
        <v>1033</v>
      </c>
      <c r="P63" s="15" t="s">
        <v>1033</v>
      </c>
      <c r="Q63" s="15" t="s">
        <v>1033</v>
      </c>
      <c r="R63" s="15" t="s">
        <v>1033</v>
      </c>
      <c r="S63" s="15" t="s">
        <v>1033</v>
      </c>
      <c r="T63" s="15" t="s">
        <v>1033</v>
      </c>
      <c r="U63" s="15" t="s">
        <v>1033</v>
      </c>
      <c r="V63" s="15" t="s">
        <v>1033</v>
      </c>
      <c r="W63" s="15" t="s">
        <v>1033</v>
      </c>
      <c r="X63" s="15" t="s">
        <v>1033</v>
      </c>
      <c r="Y63" s="15" t="s">
        <v>1033</v>
      </c>
      <c r="Z63" s="15" t="s">
        <v>1033</v>
      </c>
      <c r="AA63" s="15" t="s">
        <v>1033</v>
      </c>
    </row>
    <row r="64" spans="1:27" x14ac:dyDescent="0.25">
      <c r="A64" s="11" t="s">
        <v>355</v>
      </c>
      <c r="B64" s="11" t="s">
        <v>356</v>
      </c>
      <c r="C64" s="14" t="s">
        <v>1033</v>
      </c>
      <c r="D64" s="14" t="s">
        <v>1033</v>
      </c>
      <c r="E64" s="14" t="s">
        <v>1033</v>
      </c>
      <c r="F64" s="14">
        <v>0</v>
      </c>
      <c r="G64" s="14" t="s">
        <v>1033</v>
      </c>
      <c r="H64" s="14" t="s">
        <v>1033</v>
      </c>
      <c r="I64" s="14" t="s">
        <v>1033</v>
      </c>
      <c r="J64" s="14" t="s">
        <v>1033</v>
      </c>
      <c r="K64" s="14" t="s">
        <v>1033</v>
      </c>
      <c r="L64" s="14" t="s">
        <v>1033</v>
      </c>
      <c r="M64" s="14" t="s">
        <v>1033</v>
      </c>
      <c r="N64" s="14" t="s">
        <v>1033</v>
      </c>
      <c r="O64" s="14" t="s">
        <v>1033</v>
      </c>
      <c r="P64" s="14">
        <v>15000</v>
      </c>
      <c r="Q64" s="14" t="s">
        <v>1033</v>
      </c>
      <c r="R64" s="14" t="s">
        <v>1033</v>
      </c>
      <c r="S64" s="14" t="s">
        <v>1033</v>
      </c>
      <c r="T64" s="14" t="s">
        <v>1033</v>
      </c>
      <c r="U64" s="14" t="s">
        <v>1033</v>
      </c>
      <c r="V64" s="14">
        <v>27744.972399999999</v>
      </c>
      <c r="W64" s="14" t="s">
        <v>1033</v>
      </c>
      <c r="X64" s="14" t="s">
        <v>1033</v>
      </c>
      <c r="Y64" s="14" t="s">
        <v>1033</v>
      </c>
      <c r="Z64" s="14" t="s">
        <v>1033</v>
      </c>
      <c r="AA64" s="14" t="s">
        <v>1033</v>
      </c>
    </row>
    <row r="65" spans="1:27" x14ac:dyDescent="0.25">
      <c r="A65" s="11" t="s">
        <v>357</v>
      </c>
      <c r="B65" s="11" t="s">
        <v>144</v>
      </c>
      <c r="C65" s="15">
        <v>38.883899999999997</v>
      </c>
      <c r="D65" s="15">
        <v>36.954599999999999</v>
      </c>
      <c r="E65" s="15">
        <v>57.771500000000003</v>
      </c>
      <c r="F65" s="15">
        <v>62.634999999999998</v>
      </c>
      <c r="G65" s="15">
        <v>66.940600000000003</v>
      </c>
      <c r="H65" s="15">
        <v>44.494999999999997</v>
      </c>
      <c r="I65" s="15">
        <v>43.863999999999997</v>
      </c>
      <c r="J65" s="15">
        <v>69.494299999999996</v>
      </c>
      <c r="K65" s="15">
        <v>62.665700000000001</v>
      </c>
      <c r="L65" s="15">
        <v>56.888800000000003</v>
      </c>
      <c r="M65" s="15">
        <v>56.974899999999998</v>
      </c>
      <c r="N65" s="15">
        <v>58.551000000000002</v>
      </c>
      <c r="O65" s="15">
        <v>57.161900000000003</v>
      </c>
      <c r="P65" s="15">
        <v>51.9129</v>
      </c>
      <c r="Q65" s="15">
        <v>53.823500000000003</v>
      </c>
      <c r="R65" s="15">
        <v>62.209699999999998</v>
      </c>
      <c r="S65" s="15">
        <v>57.852899999999998</v>
      </c>
      <c r="T65" s="15">
        <v>54.866700000000002</v>
      </c>
      <c r="U65" s="15">
        <v>54.888399999999997</v>
      </c>
      <c r="V65" s="15">
        <v>61.014000000000003</v>
      </c>
      <c r="W65" s="15">
        <v>57.6905</v>
      </c>
      <c r="X65" s="15">
        <v>57.026299999999999</v>
      </c>
      <c r="Y65" s="15">
        <v>54.018599999999999</v>
      </c>
      <c r="Z65" s="15">
        <v>61.909500000000001</v>
      </c>
      <c r="AA65" s="15">
        <v>58.496400000000001</v>
      </c>
    </row>
    <row r="66" spans="1:27" x14ac:dyDescent="0.25">
      <c r="A66" s="11" t="s">
        <v>358</v>
      </c>
      <c r="B66" s="11" t="s">
        <v>136</v>
      </c>
      <c r="C66" s="14">
        <v>0</v>
      </c>
      <c r="D66" s="14">
        <v>4420</v>
      </c>
      <c r="E66" s="14">
        <v>-4234</v>
      </c>
      <c r="F66" s="14">
        <v>-246</v>
      </c>
      <c r="G66" s="14">
        <v>0</v>
      </c>
      <c r="H66" s="14">
        <v>4929</v>
      </c>
      <c r="I66" s="14" t="s">
        <v>1033</v>
      </c>
      <c r="J66" s="14">
        <v>273</v>
      </c>
      <c r="K66" s="14" t="s">
        <v>1033</v>
      </c>
      <c r="L66" s="14" t="s">
        <v>1033</v>
      </c>
      <c r="M66" s="14" t="s">
        <v>1033</v>
      </c>
      <c r="N66" s="14">
        <v>-794</v>
      </c>
      <c r="O66" s="14">
        <v>391</v>
      </c>
      <c r="P66" s="14">
        <v>267</v>
      </c>
      <c r="Q66" s="14" t="s">
        <v>1033</v>
      </c>
      <c r="R66" s="14">
        <v>617</v>
      </c>
      <c r="S66" s="14" t="s">
        <v>1033</v>
      </c>
      <c r="T66" s="14" t="s">
        <v>1033</v>
      </c>
      <c r="U66" s="14" t="s">
        <v>1033</v>
      </c>
      <c r="V66" s="14">
        <v>0</v>
      </c>
      <c r="W66" s="14" t="s">
        <v>1033</v>
      </c>
      <c r="X66" s="14" t="s">
        <v>1033</v>
      </c>
      <c r="Y66" s="14" t="s">
        <v>1033</v>
      </c>
      <c r="Z66" s="14">
        <v>0</v>
      </c>
      <c r="AA66" s="14" t="s">
        <v>1033</v>
      </c>
    </row>
    <row r="67" spans="1:27" x14ac:dyDescent="0.25">
      <c r="A67" s="8" t="s">
        <v>84</v>
      </c>
      <c r="B67" s="8"/>
      <c r="C67" s="8" t="s">
        <v>3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8"/>
  <sheetViews>
    <sheetView workbookViewId="0">
      <selection activeCell="J10" sqref="J10"/>
    </sheetView>
  </sheetViews>
  <sheetFormatPr baseColWidth="10"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0.25" x14ac:dyDescent="0.25">
      <c r="A2" s="9" t="s">
        <v>364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4" t="s">
        <v>86</v>
      </c>
      <c r="B4" s="4"/>
      <c r="C4" s="5" t="s">
        <v>365</v>
      </c>
      <c r="D4" s="5" t="s">
        <v>6</v>
      </c>
      <c r="E4" s="5" t="s">
        <v>7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</row>
    <row r="5" spans="1:25" x14ac:dyDescent="0.25">
      <c r="A5" s="10" t="s">
        <v>31</v>
      </c>
      <c r="B5" s="10"/>
      <c r="C5" s="6" t="s">
        <v>366</v>
      </c>
      <c r="D5" s="6" t="s">
        <v>32</v>
      </c>
      <c r="E5" s="6" t="s">
        <v>33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44</v>
      </c>
      <c r="N5" s="6" t="s">
        <v>45</v>
      </c>
      <c r="O5" s="6" t="s">
        <v>46</v>
      </c>
      <c r="P5" s="6" t="s">
        <v>47</v>
      </c>
      <c r="Q5" s="6" t="s">
        <v>48</v>
      </c>
      <c r="R5" s="6" t="s">
        <v>49</v>
      </c>
      <c r="S5" s="6" t="s">
        <v>50</v>
      </c>
      <c r="T5" s="6" t="s">
        <v>51</v>
      </c>
      <c r="U5" s="6" t="s">
        <v>52</v>
      </c>
      <c r="V5" s="6" t="s">
        <v>53</v>
      </c>
      <c r="W5" s="6" t="s">
        <v>54</v>
      </c>
      <c r="X5" s="6" t="s">
        <v>55</v>
      </c>
      <c r="Y5" s="6" t="s">
        <v>56</v>
      </c>
    </row>
    <row r="6" spans="1:25" x14ac:dyDescent="0.25">
      <c r="A6" s="7" t="s">
        <v>367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25">
      <c r="A7" s="11" t="s">
        <v>368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25">
      <c r="A8" s="11" t="s">
        <v>369</v>
      </c>
      <c r="B8" s="11" t="s">
        <v>370</v>
      </c>
      <c r="C8" s="14" t="s">
        <v>1033</v>
      </c>
      <c r="D8" s="14">
        <v>14551</v>
      </c>
      <c r="E8" s="14">
        <v>18489</v>
      </c>
      <c r="F8" s="14">
        <v>24614</v>
      </c>
      <c r="G8" s="14">
        <v>11367</v>
      </c>
      <c r="H8" s="14">
        <v>10021</v>
      </c>
      <c r="I8" s="14">
        <v>10813</v>
      </c>
      <c r="J8" s="14">
        <v>28311</v>
      </c>
      <c r="K8" s="14">
        <v>33238</v>
      </c>
      <c r="L8" s="14">
        <v>41468</v>
      </c>
      <c r="M8" s="14">
        <v>55493</v>
      </c>
      <c r="N8" s="14">
        <v>63019</v>
      </c>
      <c r="O8" s="14">
        <v>66384</v>
      </c>
      <c r="P8" s="14">
        <v>63218</v>
      </c>
      <c r="Q8" s="14">
        <v>60706</v>
      </c>
      <c r="R8" s="14">
        <v>63214</v>
      </c>
      <c r="S8" s="14">
        <v>67951</v>
      </c>
      <c r="T8" s="14">
        <v>74357</v>
      </c>
      <c r="U8" s="14">
        <v>73047</v>
      </c>
      <c r="V8" s="14">
        <v>69997</v>
      </c>
      <c r="W8" s="14">
        <v>60900</v>
      </c>
      <c r="X8" s="14">
        <v>54442</v>
      </c>
      <c r="Y8" s="14">
        <v>49096</v>
      </c>
    </row>
    <row r="9" spans="1:25" x14ac:dyDescent="0.25">
      <c r="A9" s="11" t="s">
        <v>87</v>
      </c>
      <c r="B9" s="11" t="s">
        <v>371</v>
      </c>
      <c r="C9" s="14" t="s">
        <v>1033</v>
      </c>
      <c r="D9" s="14">
        <v>21968</v>
      </c>
      <c r="E9" s="14">
        <v>19395</v>
      </c>
      <c r="F9" s="14">
        <v>22777</v>
      </c>
      <c r="G9" s="14">
        <v>21806</v>
      </c>
      <c r="H9" s="14">
        <v>20007</v>
      </c>
      <c r="I9" s="14">
        <v>20383</v>
      </c>
      <c r="J9" s="14">
        <v>26922</v>
      </c>
      <c r="K9" s="14">
        <v>23609</v>
      </c>
      <c r="L9" s="14">
        <v>27546</v>
      </c>
      <c r="M9" s="14">
        <v>31730</v>
      </c>
      <c r="N9" s="14">
        <v>28523</v>
      </c>
      <c r="O9" s="14">
        <v>33189</v>
      </c>
      <c r="P9" s="14">
        <v>30447</v>
      </c>
      <c r="Q9" s="14">
        <v>34777</v>
      </c>
      <c r="R9" s="14">
        <v>31938</v>
      </c>
      <c r="S9" s="14">
        <v>35964</v>
      </c>
      <c r="T9" s="14">
        <v>36637</v>
      </c>
      <c r="U9" s="14">
        <v>35746</v>
      </c>
      <c r="V9" s="14">
        <v>35834</v>
      </c>
      <c r="W9" s="14">
        <v>36615</v>
      </c>
      <c r="X9" s="14">
        <v>39135</v>
      </c>
      <c r="Y9" s="14">
        <v>39477</v>
      </c>
    </row>
    <row r="10" spans="1:25" x14ac:dyDescent="0.25">
      <c r="A10" s="7" t="s">
        <v>372</v>
      </c>
      <c r="B10" s="7" t="s">
        <v>373</v>
      </c>
      <c r="C10" s="20" t="s">
        <v>1033</v>
      </c>
      <c r="D10" s="20">
        <v>36519</v>
      </c>
      <c r="E10" s="20">
        <v>32350</v>
      </c>
      <c r="F10" s="20">
        <v>47391</v>
      </c>
      <c r="G10" s="20">
        <v>31016</v>
      </c>
      <c r="H10" s="20">
        <v>32894</v>
      </c>
      <c r="I10" s="20">
        <v>37237</v>
      </c>
      <c r="J10" s="20">
        <v>55233</v>
      </c>
      <c r="K10" s="20">
        <v>60289</v>
      </c>
      <c r="L10" s="20">
        <v>72162</v>
      </c>
      <c r="M10" s="20">
        <v>87223</v>
      </c>
      <c r="N10" s="20">
        <v>91542</v>
      </c>
      <c r="O10" s="20">
        <v>99573</v>
      </c>
      <c r="P10" s="20">
        <v>97257</v>
      </c>
      <c r="Q10" s="20">
        <v>95483</v>
      </c>
      <c r="R10" s="20">
        <v>95152</v>
      </c>
      <c r="S10" s="20">
        <v>103915</v>
      </c>
      <c r="T10" s="20">
        <v>110994</v>
      </c>
      <c r="U10" s="20">
        <v>108793</v>
      </c>
      <c r="V10" s="20">
        <v>105831</v>
      </c>
      <c r="W10" s="20">
        <v>97514</v>
      </c>
      <c r="X10" s="20">
        <v>93577</v>
      </c>
      <c r="Y10" s="20">
        <v>88573</v>
      </c>
    </row>
    <row r="11" spans="1:25" x14ac:dyDescent="0.25">
      <c r="A11" s="11" t="s">
        <v>374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25">
      <c r="A12" s="11" t="s">
        <v>375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25">
      <c r="A13" s="11" t="s">
        <v>376</v>
      </c>
      <c r="B13" s="11" t="s">
        <v>377</v>
      </c>
      <c r="C13" s="14" t="s">
        <v>1033</v>
      </c>
      <c r="D13" s="14">
        <v>327</v>
      </c>
      <c r="E13" s="14">
        <v>1140</v>
      </c>
      <c r="F13" s="14">
        <v>1</v>
      </c>
      <c r="G13" s="14">
        <v>609</v>
      </c>
      <c r="H13" s="14">
        <v>535</v>
      </c>
      <c r="I13" s="14">
        <v>746</v>
      </c>
      <c r="J13" s="14">
        <v>-781</v>
      </c>
      <c r="K13" s="14">
        <v>-311</v>
      </c>
      <c r="L13" s="14">
        <v>-1341</v>
      </c>
      <c r="M13" s="14">
        <v>-895</v>
      </c>
      <c r="N13" s="14">
        <v>-993</v>
      </c>
      <c r="O13" s="14">
        <v>-717</v>
      </c>
      <c r="P13" s="14" t="s">
        <v>1033</v>
      </c>
      <c r="Q13" s="14">
        <v>-830</v>
      </c>
      <c r="R13" s="14">
        <v>-597</v>
      </c>
      <c r="S13" s="14">
        <v>-951</v>
      </c>
      <c r="T13" s="14">
        <v>-990</v>
      </c>
      <c r="U13" s="14">
        <v>-987</v>
      </c>
      <c r="V13" s="14">
        <v>-812</v>
      </c>
      <c r="W13" s="14">
        <v>-724</v>
      </c>
      <c r="X13" s="14">
        <v>515</v>
      </c>
      <c r="Y13" s="14">
        <v>113</v>
      </c>
    </row>
    <row r="14" spans="1:25" x14ac:dyDescent="0.25">
      <c r="A14" s="11" t="s">
        <v>378</v>
      </c>
      <c r="B14" s="11" t="s">
        <v>379</v>
      </c>
      <c r="C14" s="14" t="s">
        <v>1033</v>
      </c>
      <c r="D14" s="14">
        <v>1166</v>
      </c>
      <c r="E14" s="14">
        <v>1703</v>
      </c>
      <c r="F14" s="14">
        <v>860</v>
      </c>
      <c r="G14" s="14">
        <v>840</v>
      </c>
      <c r="H14" s="14">
        <v>1116</v>
      </c>
      <c r="I14" s="14">
        <v>1476</v>
      </c>
      <c r="J14" s="14">
        <v>1466</v>
      </c>
      <c r="K14" s="14">
        <v>1032</v>
      </c>
      <c r="L14" s="14">
        <v>777</v>
      </c>
      <c r="M14" s="14">
        <v>412</v>
      </c>
      <c r="N14" s="14">
        <v>1172</v>
      </c>
      <c r="O14" s="14">
        <v>1061</v>
      </c>
      <c r="P14" s="14">
        <v>1269</v>
      </c>
      <c r="Q14" s="14">
        <v>1034</v>
      </c>
      <c r="R14" s="14">
        <v>1038</v>
      </c>
      <c r="S14" s="14">
        <v>1500</v>
      </c>
      <c r="T14" s="14">
        <v>1411</v>
      </c>
      <c r="U14" s="14">
        <v>2115</v>
      </c>
      <c r="V14" s="14">
        <v>2451</v>
      </c>
      <c r="W14" s="14">
        <v>2437</v>
      </c>
      <c r="X14" s="14">
        <v>1890</v>
      </c>
      <c r="Y14" s="14">
        <v>1755</v>
      </c>
    </row>
    <row r="15" spans="1:25" x14ac:dyDescent="0.25">
      <c r="A15" s="11" t="s">
        <v>380</v>
      </c>
      <c r="B15" s="11" t="s">
        <v>381</v>
      </c>
      <c r="C15" s="14" t="s">
        <v>1033</v>
      </c>
      <c r="D15" s="14">
        <v>6115</v>
      </c>
      <c r="E15" s="14">
        <v>5406</v>
      </c>
      <c r="F15" s="14">
        <v>6374</v>
      </c>
      <c r="G15" s="14">
        <v>6685</v>
      </c>
      <c r="H15" s="14">
        <v>7113</v>
      </c>
      <c r="I15" s="14">
        <v>8167</v>
      </c>
      <c r="J15" s="14">
        <v>7359</v>
      </c>
      <c r="K15" s="14">
        <v>8082</v>
      </c>
      <c r="L15" s="14">
        <v>8132</v>
      </c>
      <c r="M15" s="14">
        <v>8372</v>
      </c>
      <c r="N15" s="14">
        <v>8625</v>
      </c>
      <c r="O15" s="14">
        <v>8533</v>
      </c>
      <c r="P15" s="14">
        <v>9543</v>
      </c>
      <c r="Q15" s="14">
        <v>9397</v>
      </c>
      <c r="R15" s="14">
        <v>10087</v>
      </c>
      <c r="S15" s="14">
        <v>10636</v>
      </c>
      <c r="T15" s="14">
        <v>11140</v>
      </c>
      <c r="U15" s="14">
        <v>10198</v>
      </c>
      <c r="V15" s="14">
        <v>10704</v>
      </c>
      <c r="W15" s="14">
        <v>10035</v>
      </c>
      <c r="X15" s="14" t="s">
        <v>1033</v>
      </c>
      <c r="Y15" s="14">
        <v>10035</v>
      </c>
    </row>
    <row r="16" spans="1:25" x14ac:dyDescent="0.25">
      <c r="A16" s="11" t="s">
        <v>382</v>
      </c>
      <c r="B16" s="11" t="s">
        <v>383</v>
      </c>
      <c r="C16" s="14" t="s">
        <v>1033</v>
      </c>
      <c r="D16" s="14" t="s">
        <v>1033</v>
      </c>
      <c r="E16" s="14">
        <v>8118</v>
      </c>
      <c r="F16" s="14">
        <v>15340</v>
      </c>
      <c r="G16" s="14" t="s">
        <v>1033</v>
      </c>
      <c r="H16" s="14">
        <v>10319</v>
      </c>
      <c r="I16" s="14">
        <v>11309</v>
      </c>
      <c r="J16" s="14">
        <v>15756</v>
      </c>
      <c r="K16" s="14">
        <v>8967</v>
      </c>
      <c r="L16" s="14">
        <v>9361</v>
      </c>
      <c r="M16" s="14">
        <v>13994</v>
      </c>
      <c r="N16" s="14">
        <v>12409</v>
      </c>
      <c r="O16" s="14" t="s">
        <v>1033</v>
      </c>
      <c r="P16" s="14">
        <v>11269</v>
      </c>
      <c r="Q16" s="14">
        <v>18231</v>
      </c>
      <c r="R16" s="14">
        <v>13961</v>
      </c>
      <c r="S16" s="14" t="s">
        <v>1033</v>
      </c>
      <c r="T16" s="14" t="s">
        <v>1033</v>
      </c>
      <c r="U16" s="14">
        <v>21325</v>
      </c>
      <c r="V16" s="14">
        <v>14448</v>
      </c>
      <c r="W16" s="14" t="s">
        <v>1033</v>
      </c>
      <c r="X16" s="14" t="s">
        <v>1033</v>
      </c>
      <c r="Y16" s="14">
        <v>22078</v>
      </c>
    </row>
    <row r="17" spans="1:25" x14ac:dyDescent="0.25">
      <c r="A17" s="11" t="s">
        <v>384</v>
      </c>
      <c r="B17" s="11" t="s">
        <v>385</v>
      </c>
      <c r="C17" s="14" t="s">
        <v>1033</v>
      </c>
      <c r="D17" s="14" t="s">
        <v>1033</v>
      </c>
      <c r="E17" s="14">
        <v>5911</v>
      </c>
      <c r="F17" s="14" t="s">
        <v>1033</v>
      </c>
      <c r="G17" s="14" t="s">
        <v>1033</v>
      </c>
      <c r="H17" s="14" t="s">
        <v>1033</v>
      </c>
      <c r="I17" s="14" t="s">
        <v>1033</v>
      </c>
      <c r="J17" s="14" t="s">
        <v>1033</v>
      </c>
      <c r="K17" s="14" t="s">
        <v>1033</v>
      </c>
      <c r="L17" s="14" t="s">
        <v>1033</v>
      </c>
      <c r="M17" s="14" t="s">
        <v>1033</v>
      </c>
      <c r="N17" s="14" t="s">
        <v>1033</v>
      </c>
      <c r="O17" s="14" t="s">
        <v>1033</v>
      </c>
      <c r="P17" s="14" t="s">
        <v>1033</v>
      </c>
      <c r="Q17" s="14" t="s">
        <v>1033</v>
      </c>
      <c r="R17" s="14" t="s">
        <v>1033</v>
      </c>
      <c r="S17" s="14" t="s">
        <v>1033</v>
      </c>
      <c r="T17" s="14" t="s">
        <v>1033</v>
      </c>
      <c r="U17" s="14" t="s">
        <v>1033</v>
      </c>
      <c r="V17" s="14" t="s">
        <v>1033</v>
      </c>
      <c r="W17" s="14" t="s">
        <v>1033</v>
      </c>
      <c r="X17" s="14" t="s">
        <v>1033</v>
      </c>
      <c r="Y17" s="14" t="s">
        <v>1033</v>
      </c>
    </row>
    <row r="18" spans="1:25" x14ac:dyDescent="0.25">
      <c r="A18" s="11" t="s">
        <v>386</v>
      </c>
      <c r="B18" s="11" t="s">
        <v>387</v>
      </c>
      <c r="C18" s="14" t="s">
        <v>1033</v>
      </c>
      <c r="D18" s="14" t="s">
        <v>1033</v>
      </c>
      <c r="E18" s="14" t="s">
        <v>1033</v>
      </c>
      <c r="F18" s="14" t="s">
        <v>1033</v>
      </c>
      <c r="G18" s="14" t="s">
        <v>1033</v>
      </c>
      <c r="H18" s="14" t="s">
        <v>1033</v>
      </c>
      <c r="I18" s="14" t="s">
        <v>1033</v>
      </c>
      <c r="J18" s="14" t="s">
        <v>1033</v>
      </c>
      <c r="K18" s="14" t="s">
        <v>1033</v>
      </c>
      <c r="L18" s="14" t="s">
        <v>1033</v>
      </c>
      <c r="M18" s="14" t="s">
        <v>1033</v>
      </c>
      <c r="N18" s="14" t="s">
        <v>1033</v>
      </c>
      <c r="O18" s="14">
        <v>4094</v>
      </c>
      <c r="P18" s="14" t="s">
        <v>1033</v>
      </c>
      <c r="Q18" s="14" t="s">
        <v>1033</v>
      </c>
      <c r="R18" s="14" t="s">
        <v>1033</v>
      </c>
      <c r="S18" s="14">
        <v>5304</v>
      </c>
      <c r="T18" s="14">
        <v>5273</v>
      </c>
      <c r="U18" s="14" t="s">
        <v>1033</v>
      </c>
      <c r="V18" s="14" t="s">
        <v>1033</v>
      </c>
      <c r="W18" s="14">
        <v>5111</v>
      </c>
      <c r="X18" s="14">
        <v>5992</v>
      </c>
      <c r="Y18" s="14" t="s">
        <v>1033</v>
      </c>
    </row>
    <row r="19" spans="1:25" x14ac:dyDescent="0.25">
      <c r="A19" s="11" t="s">
        <v>388</v>
      </c>
      <c r="B19" s="11" t="s">
        <v>389</v>
      </c>
      <c r="C19" s="14" t="s">
        <v>1033</v>
      </c>
      <c r="D19" s="14" t="s">
        <v>1033</v>
      </c>
      <c r="E19" s="14" t="s">
        <v>1033</v>
      </c>
      <c r="F19" s="14" t="s">
        <v>1033</v>
      </c>
      <c r="G19" s="14" t="s">
        <v>1033</v>
      </c>
      <c r="H19" s="14" t="s">
        <v>1033</v>
      </c>
      <c r="I19" s="14" t="s">
        <v>1033</v>
      </c>
      <c r="J19" s="14" t="s">
        <v>1033</v>
      </c>
      <c r="K19" s="14" t="s">
        <v>1033</v>
      </c>
      <c r="L19" s="14" t="s">
        <v>1033</v>
      </c>
      <c r="M19" s="14" t="s">
        <v>1033</v>
      </c>
      <c r="N19" s="14" t="s">
        <v>1033</v>
      </c>
      <c r="O19" s="14">
        <v>10587</v>
      </c>
      <c r="P19" s="14" t="s">
        <v>1033</v>
      </c>
      <c r="Q19" s="14" t="s">
        <v>1033</v>
      </c>
      <c r="R19" s="14" t="s">
        <v>1033</v>
      </c>
      <c r="S19" s="14">
        <v>11381</v>
      </c>
      <c r="T19" s="14">
        <v>11721</v>
      </c>
      <c r="U19" s="14" t="s">
        <v>1033</v>
      </c>
      <c r="V19" s="14" t="s">
        <v>1033</v>
      </c>
      <c r="W19" s="14">
        <v>14019</v>
      </c>
      <c r="X19" s="14">
        <v>18867</v>
      </c>
      <c r="Y19" s="14" t="s">
        <v>1033</v>
      </c>
    </row>
    <row r="20" spans="1:25" x14ac:dyDescent="0.25">
      <c r="A20" s="11" t="s">
        <v>390</v>
      </c>
      <c r="B20" s="11" t="s">
        <v>391</v>
      </c>
      <c r="C20" s="14" t="s">
        <v>1033</v>
      </c>
      <c r="D20" s="14" t="s">
        <v>1033</v>
      </c>
      <c r="E20" s="14" t="s">
        <v>1033</v>
      </c>
      <c r="F20" s="14" t="s">
        <v>1033</v>
      </c>
      <c r="G20" s="14" t="s">
        <v>1033</v>
      </c>
      <c r="H20" s="14">
        <v>13228</v>
      </c>
      <c r="I20" s="14">
        <v>17382</v>
      </c>
      <c r="J20" s="14" t="s">
        <v>1033</v>
      </c>
      <c r="K20" s="14" t="s">
        <v>1033</v>
      </c>
      <c r="L20" s="14" t="s">
        <v>1033</v>
      </c>
      <c r="M20" s="14" t="s">
        <v>1033</v>
      </c>
      <c r="N20" s="14" t="s">
        <v>1033</v>
      </c>
      <c r="O20" s="14" t="s">
        <v>1033</v>
      </c>
      <c r="P20" s="14" t="s">
        <v>1033</v>
      </c>
      <c r="Q20" s="14" t="s">
        <v>1033</v>
      </c>
      <c r="R20" s="14" t="s">
        <v>1033</v>
      </c>
      <c r="S20" s="14" t="s">
        <v>1033</v>
      </c>
      <c r="T20" s="14" t="s">
        <v>1033</v>
      </c>
      <c r="U20" s="14" t="s">
        <v>1033</v>
      </c>
      <c r="V20" s="14" t="s">
        <v>1033</v>
      </c>
      <c r="W20" s="14" t="s">
        <v>1033</v>
      </c>
      <c r="X20" s="14" t="s">
        <v>1033</v>
      </c>
      <c r="Y20" s="14" t="s">
        <v>1033</v>
      </c>
    </row>
    <row r="21" spans="1:25" x14ac:dyDescent="0.25">
      <c r="A21" s="11" t="s">
        <v>392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25">
      <c r="A22" s="11" t="s">
        <v>393</v>
      </c>
      <c r="B22" s="11" t="s">
        <v>394</v>
      </c>
      <c r="C22" s="14" t="s">
        <v>1033</v>
      </c>
      <c r="D22" s="14" t="s">
        <v>1033</v>
      </c>
      <c r="E22" s="14" t="s">
        <v>1033</v>
      </c>
      <c r="F22" s="14" t="s">
        <v>1033</v>
      </c>
      <c r="G22" s="14" t="s">
        <v>1033</v>
      </c>
      <c r="H22" s="14">
        <v>4368</v>
      </c>
      <c r="I22" s="14">
        <v>4701</v>
      </c>
      <c r="J22" s="14" t="s">
        <v>1033</v>
      </c>
      <c r="K22" s="14">
        <v>4264</v>
      </c>
      <c r="L22" s="14">
        <v>4510</v>
      </c>
      <c r="M22" s="14" t="s">
        <v>1033</v>
      </c>
      <c r="N22" s="14" t="s">
        <v>1033</v>
      </c>
      <c r="O22" s="14" t="s">
        <v>1033</v>
      </c>
      <c r="P22" s="14">
        <v>6851</v>
      </c>
      <c r="Q22" s="14" t="s">
        <v>1033</v>
      </c>
      <c r="R22" s="14" t="s">
        <v>1033</v>
      </c>
      <c r="S22" s="14" t="s">
        <v>1033</v>
      </c>
      <c r="T22" s="14" t="s">
        <v>1033</v>
      </c>
      <c r="U22" s="14" t="s">
        <v>1033</v>
      </c>
      <c r="V22" s="14" t="s">
        <v>1033</v>
      </c>
      <c r="W22" s="14" t="s">
        <v>1033</v>
      </c>
      <c r="X22" s="14" t="s">
        <v>1033</v>
      </c>
      <c r="Y22" s="14" t="s">
        <v>1033</v>
      </c>
    </row>
    <row r="23" spans="1:25" x14ac:dyDescent="0.25">
      <c r="A23" s="11" t="s">
        <v>395</v>
      </c>
      <c r="B23" s="11" t="s">
        <v>396</v>
      </c>
      <c r="C23" s="14" t="s">
        <v>1033</v>
      </c>
      <c r="D23" s="14" t="s">
        <v>1033</v>
      </c>
      <c r="E23" s="14" t="s">
        <v>1033</v>
      </c>
      <c r="F23" s="14" t="s">
        <v>1033</v>
      </c>
      <c r="G23" s="14" t="s">
        <v>1033</v>
      </c>
      <c r="H23" s="14">
        <v>1982</v>
      </c>
      <c r="I23" s="14">
        <v>2714</v>
      </c>
      <c r="J23" s="14" t="s">
        <v>1033</v>
      </c>
      <c r="K23" s="14">
        <v>5201</v>
      </c>
      <c r="L23" s="14">
        <v>5270</v>
      </c>
      <c r="M23" s="14" t="s">
        <v>1033</v>
      </c>
      <c r="N23" s="14" t="s">
        <v>1033</v>
      </c>
      <c r="O23" s="14" t="s">
        <v>1033</v>
      </c>
      <c r="P23" s="14">
        <v>7027</v>
      </c>
      <c r="Q23" s="14" t="s">
        <v>1033</v>
      </c>
      <c r="R23" s="14" t="s">
        <v>1033</v>
      </c>
      <c r="S23" s="14" t="s">
        <v>1033</v>
      </c>
      <c r="T23" s="14" t="s">
        <v>1033</v>
      </c>
      <c r="U23" s="14" t="s">
        <v>1033</v>
      </c>
      <c r="V23" s="14" t="s">
        <v>1033</v>
      </c>
      <c r="W23" s="14" t="s">
        <v>1033</v>
      </c>
      <c r="X23" s="14" t="s">
        <v>1033</v>
      </c>
      <c r="Y23" s="14" t="s">
        <v>1033</v>
      </c>
    </row>
    <row r="24" spans="1:25" x14ac:dyDescent="0.25">
      <c r="A24" s="11" t="s">
        <v>397</v>
      </c>
      <c r="B24" s="11" t="s">
        <v>398</v>
      </c>
      <c r="C24" s="14" t="s">
        <v>1033</v>
      </c>
      <c r="D24" s="14" t="s">
        <v>1033</v>
      </c>
      <c r="E24" s="14" t="s">
        <v>1033</v>
      </c>
      <c r="F24" s="14" t="s">
        <v>1033</v>
      </c>
      <c r="G24" s="14" t="s">
        <v>1033</v>
      </c>
      <c r="H24" s="14">
        <v>2237</v>
      </c>
      <c r="I24" s="14">
        <v>2253</v>
      </c>
      <c r="J24" s="14" t="s">
        <v>1033</v>
      </c>
      <c r="K24" s="14" t="s">
        <v>1033</v>
      </c>
      <c r="L24" s="14" t="s">
        <v>1033</v>
      </c>
      <c r="M24" s="14" t="s">
        <v>1033</v>
      </c>
      <c r="N24" s="14" t="s">
        <v>1033</v>
      </c>
      <c r="O24" s="14" t="s">
        <v>1033</v>
      </c>
      <c r="P24" s="14" t="s">
        <v>1033</v>
      </c>
      <c r="Q24" s="14" t="s">
        <v>1033</v>
      </c>
      <c r="R24" s="14" t="s">
        <v>1033</v>
      </c>
      <c r="S24" s="14" t="s">
        <v>1033</v>
      </c>
      <c r="T24" s="14" t="s">
        <v>1033</v>
      </c>
      <c r="U24" s="14" t="s">
        <v>1033</v>
      </c>
      <c r="V24" s="14" t="s">
        <v>1033</v>
      </c>
      <c r="W24" s="14" t="s">
        <v>1033</v>
      </c>
      <c r="X24" s="14" t="s">
        <v>1033</v>
      </c>
      <c r="Y24" s="14" t="s">
        <v>1033</v>
      </c>
    </row>
    <row r="25" spans="1:25" x14ac:dyDescent="0.25">
      <c r="A25" s="11" t="s">
        <v>399</v>
      </c>
      <c r="B25" s="11" t="s">
        <v>400</v>
      </c>
      <c r="C25" s="14" t="s">
        <v>1033</v>
      </c>
      <c r="D25" s="14" t="s">
        <v>1033</v>
      </c>
      <c r="E25" s="14" t="s">
        <v>1033</v>
      </c>
      <c r="F25" s="14">
        <v>10476</v>
      </c>
      <c r="G25" s="14" t="s">
        <v>1033</v>
      </c>
      <c r="H25" s="14">
        <v>1030</v>
      </c>
      <c r="I25" s="14">
        <v>2018</v>
      </c>
      <c r="J25" s="14">
        <v>11191</v>
      </c>
      <c r="K25" s="14">
        <v>1223</v>
      </c>
      <c r="L25" s="14">
        <v>1229</v>
      </c>
      <c r="M25" s="14">
        <v>12089</v>
      </c>
      <c r="N25" s="14">
        <v>11459</v>
      </c>
      <c r="O25" s="14">
        <v>11713</v>
      </c>
      <c r="P25" s="14">
        <v>2084</v>
      </c>
      <c r="Q25" s="14">
        <v>13550</v>
      </c>
      <c r="R25" s="14">
        <v>12890</v>
      </c>
      <c r="S25" s="14">
        <v>12938</v>
      </c>
      <c r="T25" s="14">
        <v>16263</v>
      </c>
      <c r="U25" s="14">
        <v>14495</v>
      </c>
      <c r="V25" s="14">
        <v>14826</v>
      </c>
      <c r="W25" s="14">
        <v>14706</v>
      </c>
      <c r="X25" s="14">
        <v>15981</v>
      </c>
      <c r="Y25" s="14">
        <v>15920</v>
      </c>
    </row>
    <row r="26" spans="1:25" x14ac:dyDescent="0.25">
      <c r="A26" s="11" t="s">
        <v>401</v>
      </c>
      <c r="B26" s="11" t="s">
        <v>402</v>
      </c>
      <c r="C26" s="14" t="s">
        <v>1033</v>
      </c>
      <c r="D26" s="14" t="s">
        <v>1033</v>
      </c>
      <c r="E26" s="14" t="s">
        <v>1033</v>
      </c>
      <c r="F26" s="14" t="s">
        <v>1033</v>
      </c>
      <c r="G26" s="14" t="s">
        <v>1033</v>
      </c>
      <c r="H26" s="14">
        <v>581</v>
      </c>
      <c r="I26" s="14">
        <v>575</v>
      </c>
      <c r="J26" s="14" t="s">
        <v>1033</v>
      </c>
      <c r="K26" s="14" t="s">
        <v>1033</v>
      </c>
      <c r="L26" s="14" t="s">
        <v>1033</v>
      </c>
      <c r="M26" s="14" t="s">
        <v>1033</v>
      </c>
      <c r="N26" s="14" t="s">
        <v>1033</v>
      </c>
      <c r="O26" s="14" t="s">
        <v>1033</v>
      </c>
      <c r="P26" s="14" t="s">
        <v>1033</v>
      </c>
      <c r="Q26" s="14" t="s">
        <v>1033</v>
      </c>
      <c r="R26" s="14" t="s">
        <v>1033</v>
      </c>
      <c r="S26" s="14" t="s">
        <v>1033</v>
      </c>
      <c r="T26" s="14" t="s">
        <v>1033</v>
      </c>
      <c r="U26" s="14" t="s">
        <v>1033</v>
      </c>
      <c r="V26" s="14" t="s">
        <v>1033</v>
      </c>
      <c r="W26" s="14" t="s">
        <v>1033</v>
      </c>
      <c r="X26" s="14" t="s">
        <v>1033</v>
      </c>
      <c r="Y26" s="14" t="s">
        <v>1033</v>
      </c>
    </row>
    <row r="27" spans="1:25" x14ac:dyDescent="0.25">
      <c r="A27" s="11" t="s">
        <v>403</v>
      </c>
      <c r="B27" s="11" t="s">
        <v>404</v>
      </c>
      <c r="C27" s="14" t="s">
        <v>1033</v>
      </c>
      <c r="D27" s="14">
        <v>2660</v>
      </c>
      <c r="E27" s="14">
        <v>2337</v>
      </c>
      <c r="F27" s="14">
        <v>2644</v>
      </c>
      <c r="G27" s="14">
        <v>3396</v>
      </c>
      <c r="H27" s="14">
        <v>3614</v>
      </c>
      <c r="I27" s="14">
        <v>4131</v>
      </c>
      <c r="J27" s="14">
        <v>3350</v>
      </c>
      <c r="K27" s="14">
        <v>3769</v>
      </c>
      <c r="L27" s="14">
        <v>3916</v>
      </c>
      <c r="M27" s="14">
        <v>4164</v>
      </c>
      <c r="N27" s="14">
        <v>4439</v>
      </c>
      <c r="O27" s="14">
        <v>4438</v>
      </c>
      <c r="P27" s="14">
        <v>5078</v>
      </c>
      <c r="Q27" s="14">
        <v>4605</v>
      </c>
      <c r="R27" s="14">
        <v>5150</v>
      </c>
      <c r="S27" s="14">
        <v>5332</v>
      </c>
      <c r="T27" s="14">
        <v>5867</v>
      </c>
      <c r="U27" s="14">
        <v>5404</v>
      </c>
      <c r="V27" s="14">
        <v>5632</v>
      </c>
      <c r="W27" s="14">
        <v>4924</v>
      </c>
      <c r="X27" s="14" t="s">
        <v>1033</v>
      </c>
      <c r="Y27" s="14">
        <v>4506</v>
      </c>
    </row>
    <row r="28" spans="1:25" x14ac:dyDescent="0.25">
      <c r="A28" s="11" t="s">
        <v>405</v>
      </c>
      <c r="B28" s="11" t="s">
        <v>406</v>
      </c>
      <c r="C28" s="14" t="s">
        <v>1033</v>
      </c>
      <c r="D28" s="14">
        <v>12106</v>
      </c>
      <c r="E28" s="14">
        <v>7832</v>
      </c>
      <c r="F28" s="14">
        <v>10905</v>
      </c>
      <c r="G28" s="14">
        <v>10771</v>
      </c>
      <c r="H28" s="14">
        <v>11445</v>
      </c>
      <c r="I28" s="14">
        <v>10701</v>
      </c>
      <c r="J28" s="14">
        <v>15018</v>
      </c>
      <c r="K28" s="14">
        <v>15264</v>
      </c>
      <c r="L28" s="14">
        <v>15657</v>
      </c>
      <c r="M28" s="14">
        <v>17412</v>
      </c>
      <c r="N28" s="14">
        <v>17744</v>
      </c>
      <c r="O28" s="14">
        <v>17723</v>
      </c>
      <c r="P28" s="14">
        <v>16682</v>
      </c>
      <c r="Q28" s="14">
        <v>19579</v>
      </c>
      <c r="R28" s="14">
        <v>18289</v>
      </c>
      <c r="S28" s="14">
        <v>19383</v>
      </c>
      <c r="T28" s="14">
        <v>16720</v>
      </c>
      <c r="U28" s="14">
        <v>21566</v>
      </c>
      <c r="V28" s="14">
        <v>19284</v>
      </c>
      <c r="W28" s="14">
        <v>18244</v>
      </c>
      <c r="X28" s="14">
        <v>21832</v>
      </c>
      <c r="Y28" s="14">
        <v>21702</v>
      </c>
    </row>
    <row r="29" spans="1:25" x14ac:dyDescent="0.25">
      <c r="A29" s="11" t="s">
        <v>407</v>
      </c>
      <c r="B29" s="11" t="s">
        <v>408</v>
      </c>
      <c r="C29" s="14" t="s">
        <v>1033</v>
      </c>
      <c r="D29" s="14" t="s">
        <v>1033</v>
      </c>
      <c r="E29" s="14" t="s">
        <v>1033</v>
      </c>
      <c r="F29" s="14">
        <v>18113</v>
      </c>
      <c r="G29" s="14" t="s">
        <v>1033</v>
      </c>
      <c r="H29" s="14" t="s">
        <v>1033</v>
      </c>
      <c r="I29" s="14" t="s">
        <v>1033</v>
      </c>
      <c r="J29" s="14">
        <v>18495</v>
      </c>
      <c r="K29" s="14">
        <v>12279</v>
      </c>
      <c r="L29" s="14">
        <v>13499</v>
      </c>
      <c r="M29" s="14">
        <v>16177</v>
      </c>
      <c r="N29" s="14">
        <v>12056</v>
      </c>
      <c r="O29" s="14">
        <v>14238</v>
      </c>
      <c r="P29" s="14">
        <v>15040</v>
      </c>
      <c r="Q29" s="14">
        <v>20007</v>
      </c>
      <c r="R29" s="14">
        <v>15244</v>
      </c>
      <c r="S29" s="14">
        <v>16261</v>
      </c>
      <c r="T29" s="14">
        <v>15875</v>
      </c>
      <c r="U29" s="14">
        <v>21846</v>
      </c>
      <c r="V29" s="14">
        <v>17675</v>
      </c>
      <c r="W29" s="14">
        <v>16332</v>
      </c>
      <c r="X29" s="14">
        <v>24255</v>
      </c>
      <c r="Y29" s="14">
        <v>24415</v>
      </c>
    </row>
    <row r="30" spans="1:25" x14ac:dyDescent="0.25">
      <c r="A30" s="11" t="s">
        <v>409</v>
      </c>
      <c r="B30" s="11" t="s">
        <v>410</v>
      </c>
      <c r="C30" s="14" t="s">
        <v>1033</v>
      </c>
      <c r="D30" s="14" t="s">
        <v>1033</v>
      </c>
      <c r="E30" s="14" t="s">
        <v>1033</v>
      </c>
      <c r="F30" s="14" t="s">
        <v>1033</v>
      </c>
      <c r="G30" s="14" t="s">
        <v>1033</v>
      </c>
      <c r="H30" s="14">
        <v>820</v>
      </c>
      <c r="I30" s="14">
        <v>927</v>
      </c>
      <c r="J30" s="14" t="s">
        <v>1033</v>
      </c>
      <c r="K30" s="14" t="s">
        <v>1033</v>
      </c>
      <c r="L30" s="14" t="s">
        <v>1033</v>
      </c>
      <c r="M30" s="14" t="s">
        <v>1033</v>
      </c>
      <c r="N30" s="14" t="s">
        <v>1033</v>
      </c>
      <c r="O30" s="14" t="s">
        <v>1033</v>
      </c>
      <c r="P30" s="14" t="s">
        <v>1033</v>
      </c>
      <c r="Q30" s="14" t="s">
        <v>1033</v>
      </c>
      <c r="R30" s="14" t="s">
        <v>1033</v>
      </c>
      <c r="S30" s="14" t="s">
        <v>1033</v>
      </c>
      <c r="T30" s="14" t="s">
        <v>1033</v>
      </c>
      <c r="U30" s="14" t="s">
        <v>1033</v>
      </c>
      <c r="V30" s="14" t="s">
        <v>1033</v>
      </c>
      <c r="W30" s="14" t="s">
        <v>1033</v>
      </c>
      <c r="X30" s="14" t="s">
        <v>1033</v>
      </c>
      <c r="Y30" s="14" t="s">
        <v>1033</v>
      </c>
    </row>
    <row r="31" spans="1:25" x14ac:dyDescent="0.25">
      <c r="A31" s="11" t="s">
        <v>411</v>
      </c>
      <c r="B31" s="11" t="s">
        <v>412</v>
      </c>
      <c r="C31" s="14" t="s">
        <v>1033</v>
      </c>
      <c r="D31" s="14">
        <v>4344</v>
      </c>
      <c r="E31" s="14">
        <v>8456</v>
      </c>
      <c r="F31" s="14">
        <v>3214</v>
      </c>
      <c r="G31" s="14">
        <v>2765</v>
      </c>
      <c r="H31" s="14">
        <v>2653</v>
      </c>
      <c r="I31" s="14">
        <v>2719</v>
      </c>
      <c r="J31" s="14">
        <v>2668</v>
      </c>
      <c r="K31" s="14">
        <v>2434</v>
      </c>
      <c r="L31" s="14">
        <v>3148</v>
      </c>
      <c r="M31" s="14">
        <v>3771</v>
      </c>
      <c r="N31" s="14">
        <v>4038</v>
      </c>
      <c r="O31" s="14">
        <v>4541</v>
      </c>
      <c r="P31" s="14">
        <v>3591</v>
      </c>
      <c r="Q31" s="14">
        <v>4868</v>
      </c>
      <c r="R31" s="14">
        <v>4854</v>
      </c>
      <c r="S31" s="14">
        <v>4615</v>
      </c>
      <c r="T31" s="14">
        <v>5193</v>
      </c>
      <c r="U31" s="14">
        <v>5086</v>
      </c>
      <c r="V31" s="14">
        <v>5208</v>
      </c>
      <c r="W31" s="14">
        <v>8176</v>
      </c>
      <c r="X31" s="14">
        <v>4329</v>
      </c>
      <c r="Y31" s="14">
        <v>6916</v>
      </c>
    </row>
    <row r="32" spans="1:25" x14ac:dyDescent="0.25">
      <c r="A32" s="11" t="s">
        <v>413</v>
      </c>
      <c r="B32" s="11" t="s">
        <v>414</v>
      </c>
      <c r="C32" s="14" t="s">
        <v>1033</v>
      </c>
      <c r="D32" s="14" t="s">
        <v>1033</v>
      </c>
      <c r="E32" s="14" t="s">
        <v>1033</v>
      </c>
      <c r="F32" s="14" t="s">
        <v>1033</v>
      </c>
      <c r="G32" s="14" t="s">
        <v>1033</v>
      </c>
      <c r="H32" s="14">
        <v>-2</v>
      </c>
      <c r="I32" s="14" t="s">
        <v>1033</v>
      </c>
      <c r="J32" s="14" t="s">
        <v>1033</v>
      </c>
      <c r="K32" s="14">
        <v>387</v>
      </c>
      <c r="L32" s="14">
        <v>394</v>
      </c>
      <c r="M32" s="14" t="s">
        <v>1033</v>
      </c>
      <c r="N32" s="14" t="s">
        <v>1033</v>
      </c>
      <c r="O32" s="14" t="s">
        <v>1033</v>
      </c>
      <c r="P32" s="14">
        <v>-234</v>
      </c>
      <c r="Q32" s="14" t="s">
        <v>1033</v>
      </c>
      <c r="R32" s="14" t="s">
        <v>1033</v>
      </c>
      <c r="S32" s="14" t="s">
        <v>1033</v>
      </c>
      <c r="T32" s="14" t="s">
        <v>1033</v>
      </c>
      <c r="U32" s="14" t="s">
        <v>1033</v>
      </c>
      <c r="V32" s="14" t="s">
        <v>1033</v>
      </c>
      <c r="W32" s="14" t="s">
        <v>1033</v>
      </c>
      <c r="X32" s="14" t="s">
        <v>1033</v>
      </c>
      <c r="Y32" s="14" t="s">
        <v>1033</v>
      </c>
    </row>
    <row r="33" spans="1:25" x14ac:dyDescent="0.25">
      <c r="A33" s="11" t="s">
        <v>415</v>
      </c>
      <c r="B33" s="11" t="s">
        <v>416</v>
      </c>
      <c r="C33" s="14" t="s">
        <v>1033</v>
      </c>
      <c r="D33" s="14">
        <v>10466</v>
      </c>
      <c r="E33" s="14">
        <v>10307</v>
      </c>
      <c r="F33" s="14" t="s">
        <v>1033</v>
      </c>
      <c r="G33" s="14">
        <v>10851</v>
      </c>
      <c r="H33" s="14" t="s">
        <v>1033</v>
      </c>
      <c r="I33" s="14" t="s">
        <v>1033</v>
      </c>
      <c r="J33" s="14" t="s">
        <v>1033</v>
      </c>
      <c r="K33" s="14" t="s">
        <v>1033</v>
      </c>
      <c r="L33" s="14" t="s">
        <v>1033</v>
      </c>
      <c r="M33" s="14" t="s">
        <v>1033</v>
      </c>
      <c r="N33" s="14" t="s">
        <v>1033</v>
      </c>
      <c r="O33" s="14" t="s">
        <v>1033</v>
      </c>
      <c r="P33" s="14" t="s">
        <v>1033</v>
      </c>
      <c r="Q33" s="14" t="s">
        <v>1033</v>
      </c>
      <c r="R33" s="14" t="s">
        <v>1033</v>
      </c>
      <c r="S33" s="14" t="s">
        <v>1033</v>
      </c>
      <c r="T33" s="14" t="s">
        <v>1033</v>
      </c>
      <c r="U33" s="14" t="s">
        <v>1033</v>
      </c>
      <c r="V33" s="14" t="s">
        <v>1033</v>
      </c>
      <c r="W33" s="14" t="s">
        <v>1033</v>
      </c>
      <c r="X33" s="14" t="s">
        <v>1033</v>
      </c>
      <c r="Y33" s="14" t="s">
        <v>1033</v>
      </c>
    </row>
    <row r="34" spans="1:25" x14ac:dyDescent="0.25">
      <c r="A34" s="11" t="s">
        <v>417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x14ac:dyDescent="0.25">
      <c r="A35" s="11" t="s">
        <v>418</v>
      </c>
      <c r="B35" s="11" t="s">
        <v>419</v>
      </c>
      <c r="C35" s="14" t="s">
        <v>1033</v>
      </c>
      <c r="D35" s="14">
        <v>-353</v>
      </c>
      <c r="E35" s="14">
        <v>648</v>
      </c>
      <c r="F35" s="14">
        <v>-429</v>
      </c>
      <c r="G35" s="14">
        <v>-675</v>
      </c>
      <c r="H35" s="14">
        <v>-532</v>
      </c>
      <c r="I35" s="14">
        <v>-637</v>
      </c>
      <c r="J35" s="14">
        <v>-197</v>
      </c>
      <c r="K35" s="14">
        <v>-128</v>
      </c>
      <c r="L35" s="14">
        <v>-233</v>
      </c>
      <c r="M35" s="14">
        <v>-333</v>
      </c>
      <c r="N35" s="14">
        <v>-358</v>
      </c>
      <c r="O35" s="14">
        <v>-259</v>
      </c>
      <c r="P35" s="14">
        <v>-463</v>
      </c>
      <c r="Q35" s="14">
        <v>-547</v>
      </c>
      <c r="R35" s="14">
        <v>-357</v>
      </c>
      <c r="S35" s="14">
        <v>-451</v>
      </c>
      <c r="T35" s="14">
        <v>-358</v>
      </c>
      <c r="U35" s="14">
        <v>-408</v>
      </c>
      <c r="V35" s="14">
        <v>-390</v>
      </c>
      <c r="W35" s="14">
        <v>-456</v>
      </c>
      <c r="X35" s="14">
        <v>-470</v>
      </c>
      <c r="Y35" s="14">
        <v>-360</v>
      </c>
    </row>
    <row r="36" spans="1:25" x14ac:dyDescent="0.25">
      <c r="A36" s="11" t="s">
        <v>420</v>
      </c>
      <c r="B36" s="11" t="s">
        <v>421</v>
      </c>
      <c r="C36" s="14" t="s">
        <v>1033</v>
      </c>
      <c r="D36" s="14">
        <v>3228</v>
      </c>
      <c r="E36" s="14">
        <v>1886</v>
      </c>
      <c r="F36" s="14">
        <v>2678</v>
      </c>
      <c r="G36" s="14">
        <v>2756</v>
      </c>
      <c r="H36" s="14">
        <v>2975</v>
      </c>
      <c r="I36" s="14">
        <v>2148</v>
      </c>
      <c r="J36" s="14">
        <v>4331</v>
      </c>
      <c r="K36" s="14">
        <v>3703</v>
      </c>
      <c r="L36" s="14">
        <v>4187</v>
      </c>
      <c r="M36" s="14">
        <v>4542</v>
      </c>
      <c r="N36" s="14">
        <v>4828</v>
      </c>
      <c r="O36" s="14">
        <v>4518</v>
      </c>
      <c r="P36" s="14">
        <v>3944</v>
      </c>
      <c r="Q36" s="14">
        <v>5965</v>
      </c>
      <c r="R36" s="14">
        <v>4543</v>
      </c>
      <c r="S36" s="14">
        <v>5288</v>
      </c>
      <c r="T36" s="14">
        <v>3436</v>
      </c>
      <c r="U36" s="14">
        <v>6179</v>
      </c>
      <c r="V36" s="14">
        <v>5317</v>
      </c>
      <c r="W36" s="14">
        <v>4544</v>
      </c>
      <c r="X36" s="14">
        <v>6107</v>
      </c>
      <c r="Y36" s="14">
        <v>6210</v>
      </c>
    </row>
    <row r="37" spans="1:25" x14ac:dyDescent="0.25">
      <c r="A37" s="11" t="s">
        <v>422</v>
      </c>
      <c r="B37" s="11" t="s">
        <v>423</v>
      </c>
      <c r="C37" s="14" t="s">
        <v>1033</v>
      </c>
      <c r="D37" s="14">
        <v>12459</v>
      </c>
      <c r="E37" s="14">
        <v>8480</v>
      </c>
      <c r="F37" s="14">
        <v>11334</v>
      </c>
      <c r="G37" s="14">
        <v>11446</v>
      </c>
      <c r="H37" s="14">
        <v>11977</v>
      </c>
      <c r="I37" s="14">
        <v>11338</v>
      </c>
      <c r="J37" s="14">
        <v>15215</v>
      </c>
      <c r="K37" s="14">
        <v>15392</v>
      </c>
      <c r="L37" s="14">
        <v>15890</v>
      </c>
      <c r="M37" s="14">
        <v>17745</v>
      </c>
      <c r="N37" s="14">
        <v>18102</v>
      </c>
      <c r="O37" s="14">
        <v>17982</v>
      </c>
      <c r="P37" s="14">
        <v>17145</v>
      </c>
      <c r="Q37" s="14">
        <v>20126</v>
      </c>
      <c r="R37" s="14">
        <v>18646</v>
      </c>
      <c r="S37" s="14">
        <v>19834</v>
      </c>
      <c r="T37" s="14">
        <v>17078</v>
      </c>
      <c r="U37" s="14">
        <v>21974</v>
      </c>
      <c r="V37" s="14">
        <v>19674</v>
      </c>
      <c r="W37" s="14">
        <v>18700</v>
      </c>
      <c r="X37" s="14">
        <v>22303</v>
      </c>
      <c r="Y37" s="14">
        <v>22062</v>
      </c>
    </row>
    <row r="38" spans="1:25" x14ac:dyDescent="0.25">
      <c r="A38" s="11" t="s">
        <v>424</v>
      </c>
      <c r="B38" s="11" t="s">
        <v>425</v>
      </c>
      <c r="C38" s="14" t="s">
        <v>1033</v>
      </c>
      <c r="D38" s="14" t="s">
        <v>1033</v>
      </c>
      <c r="E38" s="14" t="s">
        <v>1033</v>
      </c>
      <c r="F38" s="14" t="s">
        <v>1033</v>
      </c>
      <c r="G38" s="14" t="s">
        <v>1033</v>
      </c>
      <c r="H38" s="14">
        <v>2295</v>
      </c>
      <c r="I38" s="14">
        <v>1232</v>
      </c>
      <c r="J38" s="14" t="s">
        <v>1033</v>
      </c>
      <c r="K38" s="14" t="s">
        <v>1033</v>
      </c>
      <c r="L38" s="14" t="s">
        <v>1033</v>
      </c>
      <c r="M38" s="14" t="s">
        <v>1033</v>
      </c>
      <c r="N38" s="14" t="s">
        <v>1033</v>
      </c>
      <c r="O38" s="14" t="s">
        <v>1033</v>
      </c>
      <c r="P38" s="14" t="s">
        <v>1033</v>
      </c>
      <c r="Q38" s="14" t="s">
        <v>1033</v>
      </c>
      <c r="R38" s="14" t="s">
        <v>1033</v>
      </c>
      <c r="S38" s="14" t="s">
        <v>1033</v>
      </c>
      <c r="T38" s="14" t="s">
        <v>1033</v>
      </c>
      <c r="U38" s="14" t="s">
        <v>1033</v>
      </c>
      <c r="V38" s="14" t="s">
        <v>1033</v>
      </c>
      <c r="W38" s="14" t="s">
        <v>1033</v>
      </c>
      <c r="X38" s="14" t="s">
        <v>1033</v>
      </c>
      <c r="Y38" s="14" t="s">
        <v>1033</v>
      </c>
    </row>
    <row r="39" spans="1:25" x14ac:dyDescent="0.25">
      <c r="A39" s="11" t="s">
        <v>426</v>
      </c>
      <c r="B39" s="11" t="s">
        <v>427</v>
      </c>
      <c r="C39" s="14" t="s">
        <v>1033</v>
      </c>
      <c r="D39" s="14" t="s">
        <v>1033</v>
      </c>
      <c r="E39" s="14" t="s">
        <v>1033</v>
      </c>
      <c r="F39" s="14" t="s">
        <v>1033</v>
      </c>
      <c r="G39" s="14" t="s">
        <v>1033</v>
      </c>
      <c r="H39" s="14">
        <v>680</v>
      </c>
      <c r="I39" s="14">
        <v>916</v>
      </c>
      <c r="J39" s="14" t="s">
        <v>1033</v>
      </c>
      <c r="K39" s="14" t="s">
        <v>1033</v>
      </c>
      <c r="L39" s="14" t="s">
        <v>1033</v>
      </c>
      <c r="M39" s="14" t="s">
        <v>1033</v>
      </c>
      <c r="N39" s="14" t="s">
        <v>1033</v>
      </c>
      <c r="O39" s="14" t="s">
        <v>1033</v>
      </c>
      <c r="P39" s="14" t="s">
        <v>1033</v>
      </c>
      <c r="Q39" s="14" t="s">
        <v>1033</v>
      </c>
      <c r="R39" s="14" t="s">
        <v>1033</v>
      </c>
      <c r="S39" s="14" t="s">
        <v>1033</v>
      </c>
      <c r="T39" s="14" t="s">
        <v>1033</v>
      </c>
      <c r="U39" s="14" t="s">
        <v>1033</v>
      </c>
      <c r="V39" s="14" t="s">
        <v>1033</v>
      </c>
      <c r="W39" s="14" t="s">
        <v>1033</v>
      </c>
      <c r="X39" s="14" t="s">
        <v>1033</v>
      </c>
      <c r="Y39" s="14" t="s">
        <v>1033</v>
      </c>
    </row>
    <row r="40" spans="1:25" x14ac:dyDescent="0.25">
      <c r="A40" s="11" t="s">
        <v>428</v>
      </c>
      <c r="B40" s="11" t="s">
        <v>429</v>
      </c>
      <c r="C40" s="14" t="s">
        <v>1033</v>
      </c>
      <c r="D40" s="14">
        <v>9231.2805000000008</v>
      </c>
      <c r="E40" s="14">
        <v>6593</v>
      </c>
      <c r="F40" s="14">
        <v>8656</v>
      </c>
      <c r="G40" s="14">
        <v>8690</v>
      </c>
      <c r="H40" s="14">
        <v>9002</v>
      </c>
      <c r="I40" s="14">
        <v>9191</v>
      </c>
      <c r="J40" s="14">
        <v>10884</v>
      </c>
      <c r="K40" s="14">
        <v>11689</v>
      </c>
      <c r="L40" s="14">
        <v>11703</v>
      </c>
      <c r="M40" s="14">
        <v>13203</v>
      </c>
      <c r="N40" s="14">
        <v>13275</v>
      </c>
      <c r="O40" s="14">
        <v>13464</v>
      </c>
      <c r="P40" s="14">
        <v>13200</v>
      </c>
      <c r="Q40" s="14">
        <v>14161</v>
      </c>
      <c r="R40" s="14">
        <v>14104</v>
      </c>
      <c r="S40" s="14">
        <v>14298</v>
      </c>
      <c r="T40" s="14">
        <v>13642</v>
      </c>
      <c r="U40" s="14">
        <v>15496</v>
      </c>
      <c r="V40" s="14">
        <v>14357</v>
      </c>
      <c r="W40" s="14">
        <v>12638</v>
      </c>
      <c r="X40" s="14" t="s">
        <v>1033</v>
      </c>
      <c r="Y40" s="14">
        <v>15673</v>
      </c>
    </row>
    <row r="41" spans="1:25" x14ac:dyDescent="0.25">
      <c r="A41" s="11" t="s">
        <v>430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25">
      <c r="A42" s="11" t="s">
        <v>431</v>
      </c>
      <c r="B42" s="11" t="s">
        <v>432</v>
      </c>
      <c r="C42" s="14" t="s">
        <v>1033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 t="s">
        <v>1033</v>
      </c>
      <c r="J42" s="14">
        <v>0</v>
      </c>
      <c r="K42" s="14">
        <v>0</v>
      </c>
      <c r="L42" s="14">
        <v>0</v>
      </c>
      <c r="M42" s="14">
        <v>0</v>
      </c>
      <c r="N42" s="14" t="s">
        <v>1033</v>
      </c>
      <c r="O42" s="14" t="s">
        <v>1033</v>
      </c>
      <c r="P42" s="14" t="s">
        <v>1033</v>
      </c>
      <c r="Q42" s="14">
        <v>0</v>
      </c>
      <c r="R42" s="14" t="s">
        <v>1033</v>
      </c>
      <c r="S42" s="14">
        <v>248</v>
      </c>
      <c r="T42" s="14" t="s">
        <v>1033</v>
      </c>
      <c r="U42" s="14">
        <v>299</v>
      </c>
      <c r="V42" s="14" t="s">
        <v>1033</v>
      </c>
      <c r="W42" s="14">
        <v>1518</v>
      </c>
      <c r="X42" s="14">
        <v>90</v>
      </c>
      <c r="Y42" s="14">
        <v>179</v>
      </c>
    </row>
    <row r="43" spans="1:25" x14ac:dyDescent="0.25">
      <c r="A43" s="11" t="s">
        <v>433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25">
      <c r="A44" s="11" t="s">
        <v>434</v>
      </c>
      <c r="B44" s="11" t="s">
        <v>435</v>
      </c>
      <c r="C44" s="14" t="s">
        <v>1033</v>
      </c>
      <c r="D44" s="14">
        <v>113</v>
      </c>
      <c r="E44" s="14">
        <v>76</v>
      </c>
      <c r="F44" s="14">
        <v>112</v>
      </c>
      <c r="G44" s="14">
        <v>122</v>
      </c>
      <c r="H44" s="14">
        <v>128</v>
      </c>
      <c r="I44" s="14">
        <v>129</v>
      </c>
      <c r="J44" s="14">
        <v>136</v>
      </c>
      <c r="K44" s="14">
        <v>166</v>
      </c>
      <c r="L44" s="14">
        <v>159</v>
      </c>
      <c r="M44" s="14">
        <v>185</v>
      </c>
      <c r="N44" s="14">
        <v>186</v>
      </c>
      <c r="O44" s="14">
        <v>196</v>
      </c>
      <c r="P44" s="14">
        <v>157</v>
      </c>
      <c r="Q44" s="14">
        <v>-47</v>
      </c>
      <c r="R44" s="14">
        <v>85</v>
      </c>
      <c r="S44" s="14">
        <v>60</v>
      </c>
      <c r="T44" s="14">
        <v>-82</v>
      </c>
      <c r="U44" s="14">
        <v>208</v>
      </c>
      <c r="V44" s="14">
        <v>-261</v>
      </c>
      <c r="W44" s="14">
        <v>-370</v>
      </c>
      <c r="X44" s="14">
        <v>232</v>
      </c>
      <c r="Y44" s="14">
        <v>215</v>
      </c>
    </row>
    <row r="45" spans="1:25" x14ac:dyDescent="0.25">
      <c r="A45" s="11" t="s">
        <v>436</v>
      </c>
      <c r="B45" s="11" t="s">
        <v>437</v>
      </c>
      <c r="C45" s="15" t="s">
        <v>1033</v>
      </c>
      <c r="D45" s="15" t="s">
        <v>1033</v>
      </c>
      <c r="E45" s="15" t="s">
        <v>1033</v>
      </c>
      <c r="F45" s="15" t="s">
        <v>1033</v>
      </c>
      <c r="G45" s="15" t="s">
        <v>1033</v>
      </c>
      <c r="H45" s="15" t="s">
        <v>1033</v>
      </c>
      <c r="I45" s="15" t="s">
        <v>1033</v>
      </c>
      <c r="J45" s="15" t="s">
        <v>1033</v>
      </c>
      <c r="K45" s="15" t="s">
        <v>1033</v>
      </c>
      <c r="L45" s="15" t="s">
        <v>1033</v>
      </c>
      <c r="M45" s="15" t="s">
        <v>1033</v>
      </c>
      <c r="N45" s="15" t="s">
        <v>1033</v>
      </c>
      <c r="O45" s="15" t="s">
        <v>1033</v>
      </c>
      <c r="P45" s="15" t="s">
        <v>1033</v>
      </c>
      <c r="Q45" s="15" t="s">
        <v>1033</v>
      </c>
      <c r="R45" s="15" t="s">
        <v>1033</v>
      </c>
      <c r="S45" s="15" t="s">
        <v>1033</v>
      </c>
      <c r="T45" s="15" t="s">
        <v>1033</v>
      </c>
      <c r="U45" s="15" t="s">
        <v>1033</v>
      </c>
      <c r="V45" s="15">
        <v>5.1959999999999997</v>
      </c>
      <c r="W45" s="15" t="s">
        <v>1033</v>
      </c>
      <c r="X45" s="15" t="s">
        <v>1033</v>
      </c>
      <c r="Y45" s="15" t="s">
        <v>1033</v>
      </c>
    </row>
    <row r="46" spans="1:25" x14ac:dyDescent="0.25">
      <c r="A46" s="11" t="s">
        <v>438</v>
      </c>
      <c r="B46" s="11" t="s">
        <v>439</v>
      </c>
      <c r="C46" s="14" t="s">
        <v>1033</v>
      </c>
      <c r="D46" s="14" t="s">
        <v>1033</v>
      </c>
      <c r="E46" s="14" t="s">
        <v>1033</v>
      </c>
      <c r="F46" s="14" t="s">
        <v>1033</v>
      </c>
      <c r="G46" s="14" t="s">
        <v>1033</v>
      </c>
      <c r="H46" s="14">
        <v>2883.4566</v>
      </c>
      <c r="I46" s="14" t="s">
        <v>1033</v>
      </c>
      <c r="J46" s="14" t="s">
        <v>1033</v>
      </c>
      <c r="K46" s="14" t="s">
        <v>1033</v>
      </c>
      <c r="L46" s="14" t="s">
        <v>1033</v>
      </c>
      <c r="M46" s="14" t="s">
        <v>1033</v>
      </c>
      <c r="N46" s="14" t="s">
        <v>1033</v>
      </c>
      <c r="O46" s="14" t="s">
        <v>1033</v>
      </c>
      <c r="P46" s="14" t="s">
        <v>1033</v>
      </c>
      <c r="Q46" s="14" t="s">
        <v>1033</v>
      </c>
      <c r="R46" s="14" t="s">
        <v>1033</v>
      </c>
      <c r="S46" s="14" t="s">
        <v>1033</v>
      </c>
      <c r="T46" s="14" t="s">
        <v>1033</v>
      </c>
      <c r="U46" s="14" t="s">
        <v>1033</v>
      </c>
      <c r="V46" s="14" t="s">
        <v>1033</v>
      </c>
      <c r="W46" s="14" t="s">
        <v>1033</v>
      </c>
      <c r="X46" s="14" t="s">
        <v>1033</v>
      </c>
      <c r="Y46" s="14" t="s">
        <v>1033</v>
      </c>
    </row>
    <row r="47" spans="1:25" x14ac:dyDescent="0.25">
      <c r="A47" s="11" t="s">
        <v>440</v>
      </c>
      <c r="B47" s="11" t="s">
        <v>441</v>
      </c>
      <c r="C47" s="14" t="s">
        <v>1033</v>
      </c>
      <c r="D47" s="14" t="s">
        <v>1033</v>
      </c>
      <c r="E47" s="14" t="s">
        <v>1033</v>
      </c>
      <c r="F47" s="14" t="s">
        <v>1033</v>
      </c>
      <c r="G47" s="14" t="s">
        <v>1033</v>
      </c>
      <c r="H47" s="14">
        <v>2883.4566</v>
      </c>
      <c r="I47" s="14" t="s">
        <v>1033</v>
      </c>
      <c r="J47" s="14" t="s">
        <v>1033</v>
      </c>
      <c r="K47" s="14" t="s">
        <v>1033</v>
      </c>
      <c r="L47" s="14" t="s">
        <v>1033</v>
      </c>
      <c r="M47" s="14" t="s">
        <v>1033</v>
      </c>
      <c r="N47" s="14" t="s">
        <v>1033</v>
      </c>
      <c r="O47" s="14" t="s">
        <v>1033</v>
      </c>
      <c r="P47" s="14" t="s">
        <v>1033</v>
      </c>
      <c r="Q47" s="14" t="s">
        <v>1033</v>
      </c>
      <c r="R47" s="14" t="s">
        <v>1033</v>
      </c>
      <c r="S47" s="14" t="s">
        <v>1033</v>
      </c>
      <c r="T47" s="14" t="s">
        <v>1033</v>
      </c>
      <c r="U47" s="14" t="s">
        <v>1033</v>
      </c>
      <c r="V47" s="14" t="s">
        <v>1033</v>
      </c>
      <c r="W47" s="14" t="s">
        <v>1033</v>
      </c>
      <c r="X47" s="14" t="s">
        <v>1033</v>
      </c>
      <c r="Y47" s="14" t="s">
        <v>1033</v>
      </c>
    </row>
    <row r="48" spans="1:25" x14ac:dyDescent="0.25">
      <c r="A48" s="11" t="s">
        <v>442</v>
      </c>
      <c r="B48" s="11" t="s">
        <v>443</v>
      </c>
      <c r="C48" s="14" t="s">
        <v>1033</v>
      </c>
      <c r="D48" s="14">
        <v>2883.4566</v>
      </c>
      <c r="E48" s="14">
        <v>2883.4566</v>
      </c>
      <c r="F48" s="14">
        <v>2883.5</v>
      </c>
      <c r="G48" s="14">
        <v>2883.5</v>
      </c>
      <c r="H48" s="14">
        <v>2883.4566</v>
      </c>
      <c r="I48" s="14">
        <v>2857.4385000000002</v>
      </c>
      <c r="J48" s="14">
        <v>2883.5</v>
      </c>
      <c r="K48" s="14">
        <v>2883.4566</v>
      </c>
      <c r="L48" s="14">
        <v>2883.4566</v>
      </c>
      <c r="M48" s="14">
        <v>2883.4566</v>
      </c>
      <c r="N48" s="14">
        <v>2883.4566</v>
      </c>
      <c r="O48" s="14">
        <v>2883.4566</v>
      </c>
      <c r="P48" s="14">
        <v>2883.4566</v>
      </c>
      <c r="Q48" s="14">
        <v>2883.4566</v>
      </c>
      <c r="R48" s="14">
        <v>2883.4566</v>
      </c>
      <c r="S48" s="14" t="s">
        <v>1033</v>
      </c>
      <c r="T48" s="14">
        <v>2883.4566</v>
      </c>
      <c r="U48" s="14">
        <v>2813.1565999999998</v>
      </c>
      <c r="V48" s="14">
        <v>2840.8155999999999</v>
      </c>
      <c r="W48" s="14" t="s">
        <v>1033</v>
      </c>
      <c r="X48" s="14" t="s">
        <v>1033</v>
      </c>
      <c r="Y48" s="14">
        <v>2813.1565999999998</v>
      </c>
    </row>
    <row r="49" spans="1:25" x14ac:dyDescent="0.25">
      <c r="A49" s="11" t="s">
        <v>444</v>
      </c>
      <c r="B49" s="11" t="s">
        <v>445</v>
      </c>
      <c r="C49" s="14" t="s">
        <v>1033</v>
      </c>
      <c r="D49" s="14" t="s">
        <v>1033</v>
      </c>
      <c r="E49" s="14" t="s">
        <v>1033</v>
      </c>
      <c r="F49" s="14" t="s">
        <v>1033</v>
      </c>
      <c r="G49" s="14" t="s">
        <v>1033</v>
      </c>
      <c r="H49" s="14" t="s">
        <v>1033</v>
      </c>
      <c r="I49" s="14" t="s">
        <v>1033</v>
      </c>
      <c r="J49" s="14" t="s">
        <v>1033</v>
      </c>
      <c r="K49" s="14" t="s">
        <v>1033</v>
      </c>
      <c r="L49" s="14" t="s">
        <v>1033</v>
      </c>
      <c r="M49" s="14" t="s">
        <v>1033</v>
      </c>
      <c r="N49" s="14">
        <v>26106</v>
      </c>
      <c r="O49" s="14" t="s">
        <v>1033</v>
      </c>
      <c r="P49" s="14" t="s">
        <v>1033</v>
      </c>
      <c r="Q49" s="14" t="s">
        <v>1033</v>
      </c>
      <c r="R49" s="14" t="s">
        <v>1033</v>
      </c>
      <c r="S49" s="14">
        <v>14238</v>
      </c>
      <c r="T49" s="14" t="s">
        <v>1033</v>
      </c>
      <c r="U49" s="14">
        <v>15288</v>
      </c>
      <c r="V49" s="14">
        <v>14618</v>
      </c>
      <c r="W49" s="14">
        <v>13008</v>
      </c>
      <c r="X49" s="14" t="s">
        <v>1033</v>
      </c>
      <c r="Y49" s="14">
        <v>15458</v>
      </c>
    </row>
    <row r="50" spans="1:25" x14ac:dyDescent="0.25">
      <c r="A50" s="7" t="s">
        <v>446</v>
      </c>
      <c r="B50" s="7" t="s">
        <v>447</v>
      </c>
      <c r="C50" s="20" t="s">
        <v>1033</v>
      </c>
      <c r="D50" s="20">
        <v>9118</v>
      </c>
      <c r="E50" s="20">
        <v>6518</v>
      </c>
      <c r="F50" s="20">
        <v>8544</v>
      </c>
      <c r="G50" s="20">
        <v>8568</v>
      </c>
      <c r="H50" s="20">
        <v>8874</v>
      </c>
      <c r="I50" s="20">
        <v>9061</v>
      </c>
      <c r="J50" s="20">
        <v>10748</v>
      </c>
      <c r="K50" s="20">
        <v>11523</v>
      </c>
      <c r="L50" s="20">
        <v>11544</v>
      </c>
      <c r="M50" s="20">
        <v>13018</v>
      </c>
      <c r="N50" s="20">
        <v>13088</v>
      </c>
      <c r="O50" s="20">
        <v>13268</v>
      </c>
      <c r="P50" s="20">
        <v>13044</v>
      </c>
      <c r="Q50" s="20">
        <v>14208</v>
      </c>
      <c r="R50" s="20">
        <v>14018</v>
      </c>
      <c r="S50" s="20">
        <v>14238</v>
      </c>
      <c r="T50" s="20">
        <v>13724</v>
      </c>
      <c r="U50" s="20">
        <v>15288</v>
      </c>
      <c r="V50" s="20">
        <v>14618</v>
      </c>
      <c r="W50" s="20">
        <v>13008</v>
      </c>
      <c r="X50" s="20">
        <v>15874</v>
      </c>
      <c r="Y50" s="20">
        <v>15458</v>
      </c>
    </row>
    <row r="51" spans="1:25" x14ac:dyDescent="0.25">
      <c r="A51" s="11" t="s">
        <v>448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25">
      <c r="A52" s="7" t="s">
        <v>449</v>
      </c>
      <c r="B52" s="7" t="s">
        <v>450</v>
      </c>
      <c r="C52" s="20" t="s">
        <v>1033</v>
      </c>
      <c r="D52" s="20">
        <v>32533</v>
      </c>
      <c r="E52" s="20">
        <v>32697</v>
      </c>
      <c r="F52" s="20">
        <v>47391</v>
      </c>
      <c r="G52" s="20">
        <v>31379</v>
      </c>
      <c r="H52" s="20">
        <v>33271</v>
      </c>
      <c r="I52" s="20" t="s">
        <v>1033</v>
      </c>
      <c r="J52" s="20">
        <v>55233</v>
      </c>
      <c r="K52" s="20">
        <v>46287</v>
      </c>
      <c r="L52" s="20">
        <v>72162</v>
      </c>
      <c r="M52" s="20">
        <v>87223</v>
      </c>
      <c r="N52" s="20">
        <v>91542</v>
      </c>
      <c r="O52" s="20">
        <v>99573</v>
      </c>
      <c r="P52" s="20">
        <v>97257</v>
      </c>
      <c r="Q52" s="20">
        <v>95483</v>
      </c>
      <c r="R52" s="20">
        <v>95152</v>
      </c>
      <c r="S52" s="20">
        <v>103915</v>
      </c>
      <c r="T52" s="20">
        <v>110994</v>
      </c>
      <c r="U52" s="20">
        <v>108793</v>
      </c>
      <c r="V52" s="20">
        <v>105831</v>
      </c>
      <c r="W52" s="20">
        <v>97514</v>
      </c>
      <c r="X52" s="20">
        <v>93577</v>
      </c>
      <c r="Y52" s="20">
        <v>88573</v>
      </c>
    </row>
    <row r="53" spans="1:25" x14ac:dyDescent="0.25">
      <c r="A53" s="11" t="s">
        <v>451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25">
      <c r="A54" s="7" t="s">
        <v>452</v>
      </c>
      <c r="B54" s="7" t="s">
        <v>453</v>
      </c>
      <c r="C54" s="20" t="s">
        <v>1033</v>
      </c>
      <c r="D54" s="20" t="s">
        <v>1033</v>
      </c>
      <c r="E54" s="20" t="s">
        <v>1033</v>
      </c>
      <c r="F54" s="20" t="s">
        <v>1033</v>
      </c>
      <c r="G54" s="20" t="s">
        <v>1033</v>
      </c>
      <c r="H54" s="20" t="s">
        <v>1033</v>
      </c>
      <c r="I54" s="20" t="s">
        <v>1033</v>
      </c>
      <c r="J54" s="20" t="s">
        <v>1033</v>
      </c>
      <c r="K54" s="20">
        <v>14</v>
      </c>
      <c r="L54" s="20">
        <v>-5</v>
      </c>
      <c r="M54" s="20" t="s">
        <v>1033</v>
      </c>
      <c r="N54" s="20" t="s">
        <v>1033</v>
      </c>
      <c r="O54" s="20">
        <v>24</v>
      </c>
      <c r="P54" s="20">
        <v>-37</v>
      </c>
      <c r="Q54" s="20" t="s">
        <v>1033</v>
      </c>
      <c r="R54" s="20" t="s">
        <v>1033</v>
      </c>
      <c r="S54" s="20">
        <v>315</v>
      </c>
      <c r="T54" s="20">
        <v>148</v>
      </c>
      <c r="U54" s="20">
        <v>-62</v>
      </c>
      <c r="V54" s="20" t="s">
        <v>1033</v>
      </c>
      <c r="W54" s="20">
        <v>-70</v>
      </c>
      <c r="X54" s="20">
        <v>-39</v>
      </c>
      <c r="Y54" s="20">
        <v>-11</v>
      </c>
    </row>
    <row r="55" spans="1:25" x14ac:dyDescent="0.25">
      <c r="A55" s="7" t="s">
        <v>454</v>
      </c>
      <c r="B55" s="7" t="s">
        <v>455</v>
      </c>
      <c r="C55" s="20" t="s">
        <v>1033</v>
      </c>
      <c r="D55" s="20" t="s">
        <v>1033</v>
      </c>
      <c r="E55" s="20" t="s">
        <v>1033</v>
      </c>
      <c r="F55" s="20" t="s">
        <v>1033</v>
      </c>
      <c r="G55" s="20" t="s">
        <v>1033</v>
      </c>
      <c r="H55" s="20" t="s">
        <v>1033</v>
      </c>
      <c r="I55" s="20" t="s">
        <v>1033</v>
      </c>
      <c r="J55" s="20" t="s">
        <v>1033</v>
      </c>
      <c r="K55" s="20">
        <v>-2351</v>
      </c>
      <c r="L55" s="20">
        <v>-1099</v>
      </c>
      <c r="M55" s="20" t="s">
        <v>1033</v>
      </c>
      <c r="N55" s="20" t="s">
        <v>1033</v>
      </c>
      <c r="O55" s="20">
        <v>-1115</v>
      </c>
      <c r="P55" s="20">
        <v>1919</v>
      </c>
      <c r="Q55" s="20" t="s">
        <v>1033</v>
      </c>
      <c r="R55" s="20" t="s">
        <v>1033</v>
      </c>
      <c r="S55" s="20">
        <v>1537</v>
      </c>
      <c r="T55" s="20">
        <v>-1910</v>
      </c>
      <c r="U55" s="20">
        <v>2215</v>
      </c>
      <c r="V55" s="20" t="s">
        <v>1033</v>
      </c>
      <c r="W55" s="20">
        <v>604</v>
      </c>
      <c r="X55" s="20">
        <v>-747</v>
      </c>
      <c r="Y55" s="20">
        <v>-1081</v>
      </c>
    </row>
    <row r="56" spans="1:25" x14ac:dyDescent="0.25">
      <c r="A56" s="7" t="s">
        <v>456</v>
      </c>
      <c r="B56" s="7" t="s">
        <v>457</v>
      </c>
      <c r="C56" s="20" t="s">
        <v>1033</v>
      </c>
      <c r="D56" s="20" t="s">
        <v>1033</v>
      </c>
      <c r="E56" s="20" t="s">
        <v>1033</v>
      </c>
      <c r="F56" s="20" t="s">
        <v>1033</v>
      </c>
      <c r="G56" s="20" t="s">
        <v>1033</v>
      </c>
      <c r="H56" s="20" t="s">
        <v>1033</v>
      </c>
      <c r="I56" s="20" t="s">
        <v>1033</v>
      </c>
      <c r="J56" s="20" t="s">
        <v>1033</v>
      </c>
      <c r="K56" s="20">
        <v>-73</v>
      </c>
      <c r="L56" s="20">
        <v>1101</v>
      </c>
      <c r="M56" s="20" t="s">
        <v>1033</v>
      </c>
      <c r="N56" s="20" t="s">
        <v>1033</v>
      </c>
      <c r="O56" s="20">
        <v>-1116</v>
      </c>
      <c r="P56" s="20">
        <v>1754</v>
      </c>
      <c r="Q56" s="20" t="s">
        <v>1033</v>
      </c>
      <c r="R56" s="20" t="s">
        <v>1033</v>
      </c>
      <c r="S56" s="20">
        <v>1667</v>
      </c>
      <c r="T56" s="20">
        <v>-1617</v>
      </c>
      <c r="U56" s="20">
        <v>1670</v>
      </c>
      <c r="V56" s="20" t="s">
        <v>1033</v>
      </c>
      <c r="W56" s="20">
        <v>163</v>
      </c>
      <c r="X56" s="20">
        <v>-358</v>
      </c>
      <c r="Y56" s="20">
        <v>-316</v>
      </c>
    </row>
    <row r="57" spans="1:25" x14ac:dyDescent="0.25">
      <c r="A57" s="7" t="s">
        <v>458</v>
      </c>
      <c r="B57" s="7" t="s">
        <v>459</v>
      </c>
      <c r="C57" s="20" t="s">
        <v>1033</v>
      </c>
      <c r="D57" s="20" t="s">
        <v>1033</v>
      </c>
      <c r="E57" s="20" t="s">
        <v>1033</v>
      </c>
      <c r="F57" s="20" t="s">
        <v>1033</v>
      </c>
      <c r="G57" s="20" t="s">
        <v>1033</v>
      </c>
      <c r="H57" s="20" t="s">
        <v>1033</v>
      </c>
      <c r="I57" s="20" t="s">
        <v>1033</v>
      </c>
      <c r="J57" s="20" t="s">
        <v>1033</v>
      </c>
      <c r="K57" s="20">
        <v>23</v>
      </c>
      <c r="L57" s="20">
        <v>9</v>
      </c>
      <c r="M57" s="20" t="s">
        <v>1033</v>
      </c>
      <c r="N57" s="20" t="s">
        <v>1033</v>
      </c>
      <c r="O57" s="20">
        <v>22</v>
      </c>
      <c r="P57" s="20">
        <v>-146</v>
      </c>
      <c r="Q57" s="20" t="s">
        <v>1033</v>
      </c>
      <c r="R57" s="20" t="s">
        <v>1033</v>
      </c>
      <c r="S57" s="20">
        <v>19</v>
      </c>
      <c r="T57" s="20">
        <v>-916</v>
      </c>
      <c r="U57" s="20">
        <v>35</v>
      </c>
      <c r="V57" s="20" t="s">
        <v>1033</v>
      </c>
      <c r="W57" s="20">
        <v>35</v>
      </c>
      <c r="X57" s="20">
        <v>-818</v>
      </c>
      <c r="Y57" s="20">
        <v>49</v>
      </c>
    </row>
    <row r="58" spans="1:25" x14ac:dyDescent="0.25">
      <c r="A58" s="7" t="s">
        <v>460</v>
      </c>
      <c r="B58" s="7" t="s">
        <v>461</v>
      </c>
      <c r="C58" s="20" t="s">
        <v>1033</v>
      </c>
      <c r="D58" s="20" t="s">
        <v>1033</v>
      </c>
      <c r="E58" s="20" t="s">
        <v>1033</v>
      </c>
      <c r="F58" s="20" t="s">
        <v>1033</v>
      </c>
      <c r="G58" s="20" t="s">
        <v>1033</v>
      </c>
      <c r="H58" s="20" t="s">
        <v>1033</v>
      </c>
      <c r="I58" s="20" t="s">
        <v>1033</v>
      </c>
      <c r="J58" s="20" t="s">
        <v>1033</v>
      </c>
      <c r="K58" s="20">
        <v>76</v>
      </c>
      <c r="L58" s="20">
        <v>311</v>
      </c>
      <c r="M58" s="20" t="s">
        <v>1033</v>
      </c>
      <c r="N58" s="20">
        <v>400</v>
      </c>
      <c r="O58" s="20">
        <v>152</v>
      </c>
      <c r="P58" s="20">
        <v>-167</v>
      </c>
      <c r="Q58" s="20" t="s">
        <v>1033</v>
      </c>
      <c r="R58" s="20" t="s">
        <v>1033</v>
      </c>
      <c r="S58" s="20">
        <v>-112</v>
      </c>
      <c r="T58" s="20">
        <v>142</v>
      </c>
      <c r="U58" s="20">
        <v>-183</v>
      </c>
      <c r="V58" s="20">
        <v>778</v>
      </c>
      <c r="W58" s="20">
        <v>-117</v>
      </c>
      <c r="X58" s="20">
        <v>2</v>
      </c>
      <c r="Y58" s="20">
        <v>125</v>
      </c>
    </row>
    <row r="59" spans="1:25" x14ac:dyDescent="0.25">
      <c r="A59" s="7" t="s">
        <v>462</v>
      </c>
      <c r="B59" s="7" t="s">
        <v>463</v>
      </c>
      <c r="C59" s="20" t="s">
        <v>1033</v>
      </c>
      <c r="D59" s="20" t="s">
        <v>1033</v>
      </c>
      <c r="E59" s="20" t="s">
        <v>1033</v>
      </c>
      <c r="F59" s="20" t="s">
        <v>1033</v>
      </c>
      <c r="G59" s="20" t="s">
        <v>1033</v>
      </c>
      <c r="H59" s="20" t="s">
        <v>1033</v>
      </c>
      <c r="I59" s="20" t="s">
        <v>1033</v>
      </c>
      <c r="J59" s="20" t="s">
        <v>1033</v>
      </c>
      <c r="K59" s="20">
        <v>9378</v>
      </c>
      <c r="L59" s="20">
        <v>11861</v>
      </c>
      <c r="M59" s="20" t="s">
        <v>1033</v>
      </c>
      <c r="N59" s="20">
        <v>13675</v>
      </c>
      <c r="O59" s="20">
        <v>11431</v>
      </c>
      <c r="P59" s="20" t="s">
        <v>1033</v>
      </c>
      <c r="Q59" s="20" t="s">
        <v>1033</v>
      </c>
      <c r="R59" s="20">
        <v>12940</v>
      </c>
      <c r="S59" s="20">
        <v>17724</v>
      </c>
      <c r="T59" s="20">
        <v>9489</v>
      </c>
      <c r="U59" s="20">
        <v>19171</v>
      </c>
      <c r="V59" s="20">
        <v>15135</v>
      </c>
      <c r="W59" s="20">
        <v>13253</v>
      </c>
      <c r="X59" s="20">
        <v>13914</v>
      </c>
      <c r="Y59" s="20">
        <v>14439</v>
      </c>
    </row>
    <row r="60" spans="1:25" x14ac:dyDescent="0.25">
      <c r="A60" s="7" t="s">
        <v>464</v>
      </c>
      <c r="B60" s="7" t="s">
        <v>465</v>
      </c>
      <c r="C60" s="20" t="s">
        <v>1033</v>
      </c>
      <c r="D60" s="20" t="s">
        <v>1033</v>
      </c>
      <c r="E60" s="20" t="s">
        <v>1033</v>
      </c>
      <c r="F60" s="20" t="s">
        <v>1033</v>
      </c>
      <c r="G60" s="20" t="s">
        <v>1033</v>
      </c>
      <c r="H60" s="20" t="s">
        <v>1033</v>
      </c>
      <c r="I60" s="20" t="s">
        <v>1033</v>
      </c>
      <c r="J60" s="20" t="s">
        <v>1033</v>
      </c>
      <c r="K60" s="20" t="s">
        <v>1033</v>
      </c>
      <c r="L60" s="20" t="s">
        <v>1033</v>
      </c>
      <c r="M60" s="20" t="s">
        <v>1033</v>
      </c>
      <c r="N60" s="20">
        <v>-187</v>
      </c>
      <c r="O60" s="20" t="s">
        <v>1033</v>
      </c>
      <c r="P60" s="20">
        <v>157</v>
      </c>
      <c r="Q60" s="20" t="s">
        <v>1033</v>
      </c>
      <c r="R60" s="20" t="s">
        <v>1033</v>
      </c>
      <c r="S60" s="20" t="s">
        <v>1033</v>
      </c>
      <c r="T60" s="20" t="s">
        <v>1033</v>
      </c>
      <c r="U60" s="20" t="s">
        <v>1033</v>
      </c>
      <c r="V60" s="20" t="s">
        <v>1033</v>
      </c>
      <c r="W60" s="20" t="s">
        <v>1033</v>
      </c>
      <c r="X60" s="20" t="s">
        <v>1033</v>
      </c>
      <c r="Y60" s="20" t="s">
        <v>1033</v>
      </c>
    </row>
    <row r="61" spans="1:25" x14ac:dyDescent="0.25">
      <c r="A61" s="7" t="s">
        <v>466</v>
      </c>
      <c r="B61" s="7" t="s">
        <v>467</v>
      </c>
      <c r="C61" s="20" t="s">
        <v>1033</v>
      </c>
      <c r="D61" s="20" t="s">
        <v>1033</v>
      </c>
      <c r="E61" s="20" t="s">
        <v>1033</v>
      </c>
      <c r="F61" s="20" t="s">
        <v>1033</v>
      </c>
      <c r="G61" s="20" t="s">
        <v>1033</v>
      </c>
      <c r="H61" s="20" t="s">
        <v>1033</v>
      </c>
      <c r="I61" s="20" t="s">
        <v>1033</v>
      </c>
      <c r="J61" s="20" t="s">
        <v>1033</v>
      </c>
      <c r="K61" s="20">
        <v>11524</v>
      </c>
      <c r="L61" s="20">
        <v>11544</v>
      </c>
      <c r="M61" s="20" t="s">
        <v>1033</v>
      </c>
      <c r="N61" s="20">
        <v>13088</v>
      </c>
      <c r="O61" s="20">
        <v>13464</v>
      </c>
      <c r="P61" s="20">
        <v>13044</v>
      </c>
      <c r="Q61" s="20" t="s">
        <v>1033</v>
      </c>
      <c r="R61" s="20" t="s">
        <v>1033</v>
      </c>
      <c r="S61" s="20">
        <v>14298</v>
      </c>
      <c r="T61" s="20">
        <v>13642</v>
      </c>
      <c r="U61" s="20" t="s">
        <v>1033</v>
      </c>
      <c r="V61" s="20">
        <v>14357</v>
      </c>
      <c r="W61" s="20">
        <v>12638</v>
      </c>
      <c r="X61" s="20">
        <v>15874</v>
      </c>
      <c r="Y61" s="20" t="s">
        <v>1033</v>
      </c>
    </row>
    <row r="62" spans="1:25" x14ac:dyDescent="0.25">
      <c r="A62" s="7" t="s">
        <v>468</v>
      </c>
      <c r="B62" s="7" t="s">
        <v>469</v>
      </c>
      <c r="C62" s="20" t="s">
        <v>1033</v>
      </c>
      <c r="D62" s="20" t="s">
        <v>1033</v>
      </c>
      <c r="E62" s="20" t="s">
        <v>1033</v>
      </c>
      <c r="F62" s="20" t="s">
        <v>1033</v>
      </c>
      <c r="G62" s="20" t="s">
        <v>1033</v>
      </c>
      <c r="H62" s="20" t="s">
        <v>1033</v>
      </c>
      <c r="I62" s="20" t="s">
        <v>1033</v>
      </c>
      <c r="J62" s="20" t="s">
        <v>1033</v>
      </c>
      <c r="K62" s="20" t="s">
        <v>1033</v>
      </c>
      <c r="L62" s="20" t="s">
        <v>1033</v>
      </c>
      <c r="M62" s="20" t="s">
        <v>1033</v>
      </c>
      <c r="N62" s="20" t="s">
        <v>1033</v>
      </c>
      <c r="O62" s="20" t="s">
        <v>1033</v>
      </c>
      <c r="P62" s="20">
        <v>16524</v>
      </c>
      <c r="Q62" s="20" t="s">
        <v>1033</v>
      </c>
      <c r="R62" s="20" t="s">
        <v>1033</v>
      </c>
      <c r="S62" s="20" t="s">
        <v>1033</v>
      </c>
      <c r="T62" s="20" t="s">
        <v>1033</v>
      </c>
      <c r="U62" s="20" t="s">
        <v>1033</v>
      </c>
      <c r="V62" s="20" t="s">
        <v>1033</v>
      </c>
      <c r="W62" s="20" t="s">
        <v>1033</v>
      </c>
      <c r="X62" s="20" t="s">
        <v>1033</v>
      </c>
      <c r="Y62" s="20" t="s">
        <v>1033</v>
      </c>
    </row>
    <row r="63" spans="1:25" x14ac:dyDescent="0.25">
      <c r="A63" s="11" t="s">
        <v>470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x14ac:dyDescent="0.25">
      <c r="A64" s="11" t="s">
        <v>471</v>
      </c>
      <c r="B64" s="11" t="s">
        <v>472</v>
      </c>
      <c r="C64" s="14" t="s">
        <v>1033</v>
      </c>
      <c r="D64" s="14" t="s">
        <v>1033</v>
      </c>
      <c r="E64" s="14">
        <v>1373.7529</v>
      </c>
      <c r="F64" s="14" t="s">
        <v>1033</v>
      </c>
      <c r="G64" s="14" t="s">
        <v>1033</v>
      </c>
      <c r="H64" s="14">
        <v>1583.4314999999999</v>
      </c>
      <c r="I64" s="14" t="s">
        <v>1033</v>
      </c>
      <c r="J64" s="14" t="s">
        <v>1033</v>
      </c>
      <c r="K64" s="14" t="s">
        <v>1033</v>
      </c>
      <c r="L64" s="14" t="s">
        <v>1033</v>
      </c>
      <c r="M64" s="14" t="s">
        <v>1033</v>
      </c>
      <c r="N64" s="14">
        <v>196</v>
      </c>
      <c r="O64" s="14">
        <v>201</v>
      </c>
      <c r="P64" s="14">
        <v>215</v>
      </c>
      <c r="Q64" s="14" t="s">
        <v>1033</v>
      </c>
      <c r="R64" s="14">
        <v>76</v>
      </c>
      <c r="S64" s="14">
        <v>173</v>
      </c>
      <c r="T64" s="14">
        <v>548</v>
      </c>
      <c r="U64" s="14">
        <v>283</v>
      </c>
      <c r="V64" s="14">
        <v>292</v>
      </c>
      <c r="W64" s="14">
        <v>-4</v>
      </c>
      <c r="X64" s="14">
        <v>459</v>
      </c>
      <c r="Y64" s="14">
        <v>258</v>
      </c>
    </row>
    <row r="65" spans="1:25" x14ac:dyDescent="0.25">
      <c r="A65" s="11" t="s">
        <v>393</v>
      </c>
      <c r="B65" s="11" t="s">
        <v>473</v>
      </c>
      <c r="C65" s="14" t="s">
        <v>1033</v>
      </c>
      <c r="D65" s="14">
        <v>3930</v>
      </c>
      <c r="E65" s="14">
        <v>3891</v>
      </c>
      <c r="F65" s="14">
        <v>4168</v>
      </c>
      <c r="G65" s="14">
        <v>4273</v>
      </c>
      <c r="H65" s="14">
        <v>4368</v>
      </c>
      <c r="I65" s="14">
        <v>4701</v>
      </c>
      <c r="J65" s="14">
        <v>4330</v>
      </c>
      <c r="K65" s="14">
        <v>4264</v>
      </c>
      <c r="L65" s="14">
        <v>4510</v>
      </c>
      <c r="M65" s="14">
        <v>4949</v>
      </c>
      <c r="N65" s="14">
        <v>5032</v>
      </c>
      <c r="O65" s="14">
        <v>5181</v>
      </c>
      <c r="P65" s="14">
        <v>6851</v>
      </c>
      <c r="Q65" s="14">
        <v>5744</v>
      </c>
      <c r="R65" s="14">
        <v>5738</v>
      </c>
      <c r="S65" s="14">
        <v>5651</v>
      </c>
      <c r="T65" s="14">
        <v>6941</v>
      </c>
      <c r="U65" s="14">
        <v>6184</v>
      </c>
      <c r="V65" s="14">
        <v>6623</v>
      </c>
      <c r="W65" s="14">
        <v>6637</v>
      </c>
      <c r="X65" s="14" t="s">
        <v>1033</v>
      </c>
      <c r="Y65" s="14">
        <v>6879</v>
      </c>
    </row>
    <row r="66" spans="1:25" x14ac:dyDescent="0.25">
      <c r="A66" s="11" t="s">
        <v>474</v>
      </c>
      <c r="B66" s="11" t="s">
        <v>475</v>
      </c>
      <c r="C66" s="14" t="s">
        <v>1033</v>
      </c>
      <c r="D66" s="14">
        <v>429.03629999999998</v>
      </c>
      <c r="E66" s="14">
        <v>673.24710000000005</v>
      </c>
      <c r="F66" s="14">
        <v>1311</v>
      </c>
      <c r="G66" s="14" t="s">
        <v>1033</v>
      </c>
      <c r="H66" s="14">
        <v>653.56849999999997</v>
      </c>
      <c r="I66" s="14">
        <v>675.52509999999995</v>
      </c>
      <c r="J66" s="14">
        <v>728</v>
      </c>
      <c r="K66" s="14">
        <v>767</v>
      </c>
      <c r="L66" s="14">
        <v>706</v>
      </c>
      <c r="M66" s="14">
        <v>798</v>
      </c>
      <c r="N66" s="14">
        <v>870</v>
      </c>
      <c r="O66" s="14">
        <v>899</v>
      </c>
      <c r="P66" s="14">
        <v>1118</v>
      </c>
      <c r="Q66" s="14">
        <v>966</v>
      </c>
      <c r="R66" s="14">
        <v>938</v>
      </c>
      <c r="S66" s="14">
        <v>991</v>
      </c>
      <c r="T66" s="14">
        <v>1303</v>
      </c>
      <c r="U66" s="14">
        <v>1085</v>
      </c>
      <c r="V66" s="14">
        <v>1111</v>
      </c>
      <c r="W66" s="14">
        <v>950</v>
      </c>
      <c r="X66" s="14">
        <v>1348</v>
      </c>
      <c r="Y66" s="14">
        <v>1151</v>
      </c>
    </row>
    <row r="67" spans="1:25" x14ac:dyDescent="0.25">
      <c r="A67" s="11" t="s">
        <v>397</v>
      </c>
      <c r="B67" s="11" t="s">
        <v>476</v>
      </c>
      <c r="C67" s="14" t="s">
        <v>1033</v>
      </c>
      <c r="D67" s="14" t="s">
        <v>1033</v>
      </c>
      <c r="E67" s="14">
        <v>2047</v>
      </c>
      <c r="F67" s="14" t="s">
        <v>1033</v>
      </c>
      <c r="G67" s="14">
        <v>2240</v>
      </c>
      <c r="H67" s="14">
        <v>2237</v>
      </c>
      <c r="I67" s="14">
        <v>2253</v>
      </c>
      <c r="J67" s="14" t="s">
        <v>1033</v>
      </c>
      <c r="K67" s="14" t="s">
        <v>1033</v>
      </c>
      <c r="L67" s="14" t="s">
        <v>1033</v>
      </c>
      <c r="M67" s="14" t="s">
        <v>1033</v>
      </c>
      <c r="N67" s="14">
        <v>1066</v>
      </c>
      <c r="O67" s="14">
        <v>1100</v>
      </c>
      <c r="P67" s="14">
        <v>1333</v>
      </c>
      <c r="Q67" s="14" t="s">
        <v>1033</v>
      </c>
      <c r="R67" s="14">
        <v>1014</v>
      </c>
      <c r="S67" s="14">
        <v>1164</v>
      </c>
      <c r="T67" s="14">
        <v>1851</v>
      </c>
      <c r="U67" s="14">
        <v>1368</v>
      </c>
      <c r="V67" s="14">
        <v>1403</v>
      </c>
      <c r="W67" s="14">
        <v>946</v>
      </c>
      <c r="X67" s="14">
        <v>777</v>
      </c>
      <c r="Y67" s="14">
        <v>1409</v>
      </c>
    </row>
    <row r="68" spans="1:25" x14ac:dyDescent="0.25">
      <c r="A68" s="11" t="s">
        <v>477</v>
      </c>
      <c r="B68" s="11" t="s">
        <v>478</v>
      </c>
      <c r="C68" s="14" t="s">
        <v>1033</v>
      </c>
      <c r="D68" s="14" t="s">
        <v>1033</v>
      </c>
      <c r="E68" s="14">
        <v>-132</v>
      </c>
      <c r="F68" s="14" t="s">
        <v>1033</v>
      </c>
      <c r="G68" s="14">
        <v>-132</v>
      </c>
      <c r="H68" s="14" t="s">
        <v>1033</v>
      </c>
      <c r="I68" s="14" t="s">
        <v>1033</v>
      </c>
      <c r="J68" s="14" t="s">
        <v>1033</v>
      </c>
      <c r="K68" s="14" t="s">
        <v>1033</v>
      </c>
      <c r="L68" s="14" t="s">
        <v>1033</v>
      </c>
      <c r="M68" s="14" t="s">
        <v>1033</v>
      </c>
      <c r="N68" s="14" t="s">
        <v>1033</v>
      </c>
      <c r="O68" s="14" t="s">
        <v>1033</v>
      </c>
      <c r="P68" s="14" t="s">
        <v>1033</v>
      </c>
      <c r="Q68" s="14" t="s">
        <v>1033</v>
      </c>
      <c r="R68" s="14" t="s">
        <v>1033</v>
      </c>
      <c r="S68" s="14" t="s">
        <v>1033</v>
      </c>
      <c r="T68" s="14" t="s">
        <v>1033</v>
      </c>
      <c r="U68" s="14" t="s">
        <v>1033</v>
      </c>
      <c r="V68" s="14" t="s">
        <v>1033</v>
      </c>
      <c r="W68" s="14" t="s">
        <v>1033</v>
      </c>
      <c r="X68" s="14" t="s">
        <v>1033</v>
      </c>
      <c r="Y68" s="14" t="s">
        <v>1033</v>
      </c>
    </row>
    <row r="69" spans="1:25" x14ac:dyDescent="0.25">
      <c r="A69" s="11" t="s">
        <v>479</v>
      </c>
      <c r="B69" s="11" t="s">
        <v>480</v>
      </c>
      <c r="C69" s="14" t="s">
        <v>1033</v>
      </c>
      <c r="D69" s="14" t="s">
        <v>1033</v>
      </c>
      <c r="E69" s="14" t="s">
        <v>1033</v>
      </c>
      <c r="F69" s="14" t="s">
        <v>1033</v>
      </c>
      <c r="G69" s="14" t="s">
        <v>1033</v>
      </c>
      <c r="H69" s="14">
        <v>0</v>
      </c>
      <c r="I69" s="14">
        <v>372</v>
      </c>
      <c r="J69" s="14" t="s">
        <v>1033</v>
      </c>
      <c r="K69" s="14" t="s">
        <v>1033</v>
      </c>
      <c r="L69" s="14" t="s">
        <v>1033</v>
      </c>
      <c r="M69" s="14" t="s">
        <v>1033</v>
      </c>
      <c r="N69" s="14" t="s">
        <v>1033</v>
      </c>
      <c r="O69" s="14" t="s">
        <v>1033</v>
      </c>
      <c r="P69" s="14" t="s">
        <v>1033</v>
      </c>
      <c r="Q69" s="14" t="s">
        <v>1033</v>
      </c>
      <c r="R69" s="14" t="s">
        <v>1033</v>
      </c>
      <c r="S69" s="14" t="s">
        <v>1033</v>
      </c>
      <c r="T69" s="14" t="s">
        <v>1033</v>
      </c>
      <c r="U69" s="14" t="s">
        <v>1033</v>
      </c>
      <c r="V69" s="14" t="s">
        <v>1033</v>
      </c>
      <c r="W69" s="14" t="s">
        <v>1033</v>
      </c>
      <c r="X69" s="14" t="s">
        <v>1033</v>
      </c>
      <c r="Y69" s="14" t="s">
        <v>1033</v>
      </c>
    </row>
    <row r="70" spans="1:25" x14ac:dyDescent="0.25">
      <c r="A70" s="11" t="s">
        <v>481</v>
      </c>
      <c r="B70" s="11" t="s">
        <v>482</v>
      </c>
      <c r="C70" s="14" t="s">
        <v>1033</v>
      </c>
      <c r="D70" s="14">
        <v>-88</v>
      </c>
      <c r="E70" s="14" t="s">
        <v>1033</v>
      </c>
      <c r="F70" s="14">
        <v>-87</v>
      </c>
      <c r="G70" s="14" t="s">
        <v>1033</v>
      </c>
      <c r="H70" s="14">
        <v>252</v>
      </c>
      <c r="I70" s="14">
        <v>-648</v>
      </c>
      <c r="J70" s="14">
        <v>-140</v>
      </c>
      <c r="K70" s="14">
        <v>-196</v>
      </c>
      <c r="L70" s="14">
        <v>-107</v>
      </c>
      <c r="M70" s="14">
        <v>-140</v>
      </c>
      <c r="N70" s="14">
        <v>-155</v>
      </c>
      <c r="O70" s="14">
        <v>-247</v>
      </c>
      <c r="P70" s="14">
        <v>-391</v>
      </c>
      <c r="Q70" s="14">
        <v>144</v>
      </c>
      <c r="R70" s="14">
        <v>-213</v>
      </c>
      <c r="S70" s="14">
        <v>-245</v>
      </c>
      <c r="T70" s="14">
        <v>-11</v>
      </c>
      <c r="U70" s="14">
        <v>177</v>
      </c>
      <c r="V70" s="14">
        <v>-95</v>
      </c>
      <c r="W70" s="14">
        <v>-105</v>
      </c>
      <c r="X70" s="14">
        <v>33</v>
      </c>
      <c r="Y70" s="14">
        <v>100</v>
      </c>
    </row>
    <row r="71" spans="1:25" x14ac:dyDescent="0.25">
      <c r="A71" s="11" t="s">
        <v>483</v>
      </c>
      <c r="B71" s="11" t="s">
        <v>484</v>
      </c>
      <c r="C71" s="14" t="s">
        <v>1033</v>
      </c>
      <c r="D71" s="14" t="s">
        <v>1033</v>
      </c>
      <c r="E71" s="14" t="s">
        <v>1033</v>
      </c>
      <c r="F71" s="14" t="s">
        <v>1033</v>
      </c>
      <c r="G71" s="14" t="s">
        <v>1033</v>
      </c>
      <c r="H71" s="14" t="s">
        <v>1033</v>
      </c>
      <c r="I71" s="14" t="s">
        <v>1033</v>
      </c>
      <c r="J71" s="14" t="s">
        <v>1033</v>
      </c>
      <c r="K71" s="14" t="s">
        <v>1033</v>
      </c>
      <c r="L71" s="14" t="s">
        <v>1033</v>
      </c>
      <c r="M71" s="14" t="s">
        <v>1033</v>
      </c>
      <c r="N71" s="14" t="s">
        <v>1033</v>
      </c>
      <c r="O71" s="14" t="s">
        <v>1033</v>
      </c>
      <c r="P71" s="14">
        <v>2412</v>
      </c>
      <c r="Q71" s="14" t="s">
        <v>1033</v>
      </c>
      <c r="R71" s="14" t="s">
        <v>1033</v>
      </c>
      <c r="S71" s="14" t="s">
        <v>1033</v>
      </c>
      <c r="T71" s="14">
        <v>2562</v>
      </c>
      <c r="U71" s="14">
        <v>1568</v>
      </c>
      <c r="V71" s="14" t="s">
        <v>1033</v>
      </c>
      <c r="W71" s="14" t="s">
        <v>1033</v>
      </c>
      <c r="X71" s="14">
        <v>1654</v>
      </c>
      <c r="Y71" s="14">
        <v>1663</v>
      </c>
    </row>
    <row r="72" spans="1:25" x14ac:dyDescent="0.25">
      <c r="A72" s="11" t="s">
        <v>485</v>
      </c>
      <c r="B72" s="11" t="s">
        <v>486</v>
      </c>
      <c r="C72" s="14" t="s">
        <v>1033</v>
      </c>
      <c r="D72" s="14" t="s">
        <v>1033</v>
      </c>
      <c r="E72" s="14">
        <v>483</v>
      </c>
      <c r="F72" s="14" t="s">
        <v>1033</v>
      </c>
      <c r="G72" s="14" t="s">
        <v>1033</v>
      </c>
      <c r="H72" s="14">
        <v>581</v>
      </c>
      <c r="I72" s="14">
        <v>575</v>
      </c>
      <c r="J72" s="14" t="s">
        <v>1033</v>
      </c>
      <c r="K72" s="14" t="s">
        <v>1033</v>
      </c>
      <c r="L72" s="14" t="s">
        <v>1033</v>
      </c>
      <c r="M72" s="14" t="s">
        <v>1033</v>
      </c>
      <c r="N72" s="14" t="s">
        <v>1033</v>
      </c>
      <c r="O72" s="14" t="s">
        <v>1033</v>
      </c>
      <c r="P72" s="14">
        <v>793</v>
      </c>
      <c r="Q72" s="14" t="s">
        <v>1033</v>
      </c>
      <c r="R72" s="14" t="s">
        <v>1033</v>
      </c>
      <c r="S72" s="14" t="s">
        <v>1033</v>
      </c>
      <c r="T72" s="14">
        <v>882</v>
      </c>
      <c r="U72" s="14">
        <v>781</v>
      </c>
      <c r="V72" s="14" t="s">
        <v>1033</v>
      </c>
      <c r="W72" s="14" t="s">
        <v>1033</v>
      </c>
      <c r="X72" s="14">
        <v>3913</v>
      </c>
      <c r="Y72" s="14">
        <v>900</v>
      </c>
    </row>
    <row r="73" spans="1:25" x14ac:dyDescent="0.25">
      <c r="A73" s="11" t="s">
        <v>487</v>
      </c>
      <c r="B73" s="11" t="s">
        <v>488</v>
      </c>
      <c r="C73" s="14" t="s">
        <v>1033</v>
      </c>
      <c r="D73" s="14" t="s">
        <v>1033</v>
      </c>
      <c r="E73" s="14" t="s">
        <v>1033</v>
      </c>
      <c r="F73" s="14" t="s">
        <v>1033</v>
      </c>
      <c r="G73" s="14" t="s">
        <v>1033</v>
      </c>
      <c r="H73" s="14" t="s">
        <v>1033</v>
      </c>
      <c r="I73" s="14">
        <v>1703</v>
      </c>
      <c r="J73" s="14" t="s">
        <v>1033</v>
      </c>
      <c r="K73" s="14" t="s">
        <v>1033</v>
      </c>
      <c r="L73" s="14" t="s">
        <v>1033</v>
      </c>
      <c r="M73" s="14" t="s">
        <v>1033</v>
      </c>
      <c r="N73" s="14" t="s">
        <v>1033</v>
      </c>
      <c r="O73" s="14" t="s">
        <v>1033</v>
      </c>
      <c r="P73" s="14" t="s">
        <v>1033</v>
      </c>
      <c r="Q73" s="14" t="s">
        <v>1033</v>
      </c>
      <c r="R73" s="14" t="s">
        <v>1033</v>
      </c>
      <c r="S73" s="14" t="s">
        <v>1033</v>
      </c>
      <c r="T73" s="14" t="s">
        <v>1033</v>
      </c>
      <c r="U73" s="14" t="s">
        <v>1033</v>
      </c>
      <c r="V73" s="14" t="s">
        <v>1033</v>
      </c>
      <c r="W73" s="14" t="s">
        <v>1033</v>
      </c>
      <c r="X73" s="14" t="s">
        <v>1033</v>
      </c>
      <c r="Y73" s="14" t="s">
        <v>1033</v>
      </c>
    </row>
    <row r="74" spans="1:25" x14ac:dyDescent="0.25">
      <c r="A74" s="11" t="s">
        <v>489</v>
      </c>
      <c r="B74" s="11" t="s">
        <v>490</v>
      </c>
      <c r="C74" s="14" t="s">
        <v>1033</v>
      </c>
      <c r="D74" s="14" t="s">
        <v>1033</v>
      </c>
      <c r="E74" s="14" t="s">
        <v>1033</v>
      </c>
      <c r="F74" s="14" t="s">
        <v>1033</v>
      </c>
      <c r="G74" s="14" t="s">
        <v>1033</v>
      </c>
      <c r="H74" s="14" t="s">
        <v>1033</v>
      </c>
      <c r="I74" s="14">
        <v>470</v>
      </c>
      <c r="J74" s="14" t="s">
        <v>1033</v>
      </c>
      <c r="K74" s="14" t="s">
        <v>1033</v>
      </c>
      <c r="L74" s="14" t="s">
        <v>1033</v>
      </c>
      <c r="M74" s="14" t="s">
        <v>1033</v>
      </c>
      <c r="N74" s="14" t="s">
        <v>1033</v>
      </c>
      <c r="O74" s="14" t="s">
        <v>1033</v>
      </c>
      <c r="P74" s="14" t="s">
        <v>1033</v>
      </c>
      <c r="Q74" s="14" t="s">
        <v>1033</v>
      </c>
      <c r="R74" s="14" t="s">
        <v>1033</v>
      </c>
      <c r="S74" s="14" t="s">
        <v>1033</v>
      </c>
      <c r="T74" s="14" t="s">
        <v>1033</v>
      </c>
      <c r="U74" s="14" t="s">
        <v>1033</v>
      </c>
      <c r="V74" s="14" t="s">
        <v>1033</v>
      </c>
      <c r="W74" s="14" t="s">
        <v>1033</v>
      </c>
      <c r="X74" s="14" t="s">
        <v>1033</v>
      </c>
      <c r="Y74" s="14" t="s">
        <v>1033</v>
      </c>
    </row>
    <row r="75" spans="1:25" x14ac:dyDescent="0.25">
      <c r="A75" s="11" t="s">
        <v>436</v>
      </c>
      <c r="B75" s="11" t="s">
        <v>491</v>
      </c>
      <c r="C75" s="15" t="s">
        <v>1033</v>
      </c>
      <c r="D75" s="15" t="s">
        <v>1033</v>
      </c>
      <c r="E75" s="15" t="s">
        <v>1033</v>
      </c>
      <c r="F75" s="15" t="s">
        <v>1033</v>
      </c>
      <c r="G75" s="15" t="s">
        <v>1033</v>
      </c>
      <c r="H75" s="15" t="s">
        <v>1033</v>
      </c>
      <c r="I75" s="15" t="s">
        <v>1033</v>
      </c>
      <c r="J75" s="15" t="s">
        <v>1033</v>
      </c>
      <c r="K75" s="15" t="s">
        <v>1033</v>
      </c>
      <c r="L75" s="15" t="s">
        <v>1033</v>
      </c>
      <c r="M75" s="15" t="s">
        <v>1033</v>
      </c>
      <c r="N75" s="15" t="s">
        <v>1033</v>
      </c>
      <c r="O75" s="15" t="s">
        <v>1033</v>
      </c>
      <c r="P75" s="15" t="s">
        <v>1033</v>
      </c>
      <c r="Q75" s="15" t="s">
        <v>1033</v>
      </c>
      <c r="R75" s="15" t="s">
        <v>1033</v>
      </c>
      <c r="S75" s="15">
        <v>5.0229999999999997</v>
      </c>
      <c r="T75" s="15" t="s">
        <v>1033</v>
      </c>
      <c r="U75" s="15" t="s">
        <v>1033</v>
      </c>
      <c r="V75" s="15">
        <v>5.1959999999999997</v>
      </c>
      <c r="W75" s="15">
        <v>4.5860000000000003</v>
      </c>
      <c r="X75" s="15" t="s">
        <v>1033</v>
      </c>
      <c r="Y75" s="15" t="s">
        <v>1033</v>
      </c>
    </row>
    <row r="76" spans="1:25" x14ac:dyDescent="0.25">
      <c r="A76" s="11" t="s">
        <v>438</v>
      </c>
      <c r="B76" s="11" t="s">
        <v>492</v>
      </c>
      <c r="C76" s="14" t="s">
        <v>1033</v>
      </c>
      <c r="D76" s="14">
        <v>2883.5</v>
      </c>
      <c r="E76" s="14">
        <v>2883.5</v>
      </c>
      <c r="F76" s="14" t="s">
        <v>1033</v>
      </c>
      <c r="G76" s="14">
        <v>2883.5</v>
      </c>
      <c r="H76" s="14">
        <v>2883.4566</v>
      </c>
      <c r="I76" s="14">
        <v>2857.4385000000002</v>
      </c>
      <c r="J76" s="14" t="s">
        <v>1033</v>
      </c>
      <c r="K76" s="14" t="s">
        <v>1033</v>
      </c>
      <c r="L76" s="14" t="s">
        <v>1033</v>
      </c>
      <c r="M76" s="14" t="s">
        <v>1033</v>
      </c>
      <c r="N76" s="14" t="s">
        <v>1033</v>
      </c>
      <c r="O76" s="14" t="s">
        <v>1033</v>
      </c>
      <c r="P76" s="14">
        <v>2883.4566</v>
      </c>
      <c r="Q76" s="14" t="s">
        <v>1033</v>
      </c>
      <c r="R76" s="14" t="s">
        <v>1033</v>
      </c>
      <c r="S76" s="14" t="s">
        <v>1033</v>
      </c>
      <c r="T76" s="14" t="s">
        <v>1033</v>
      </c>
      <c r="U76" s="14">
        <v>2813.1565999999998</v>
      </c>
      <c r="V76" s="14" t="s">
        <v>1033</v>
      </c>
      <c r="W76" s="14" t="s">
        <v>1033</v>
      </c>
      <c r="X76" s="14" t="s">
        <v>1033</v>
      </c>
      <c r="Y76" s="14">
        <v>2813.1565999999998</v>
      </c>
    </row>
    <row r="77" spans="1:25" x14ac:dyDescent="0.25">
      <c r="A77" s="11" t="s">
        <v>440</v>
      </c>
      <c r="B77" s="11" t="s">
        <v>493</v>
      </c>
      <c r="C77" s="14" t="s">
        <v>1033</v>
      </c>
      <c r="D77" s="14">
        <v>2883.5</v>
      </c>
      <c r="E77" s="14">
        <v>2883.5</v>
      </c>
      <c r="F77" s="14" t="s">
        <v>1033</v>
      </c>
      <c r="G77" s="14">
        <v>2883.5</v>
      </c>
      <c r="H77" s="14">
        <v>2883.4566</v>
      </c>
      <c r="I77" s="14">
        <v>2857.4385000000002</v>
      </c>
      <c r="J77" s="14" t="s">
        <v>1033</v>
      </c>
      <c r="K77" s="14" t="s">
        <v>1033</v>
      </c>
      <c r="L77" s="14" t="s">
        <v>1033</v>
      </c>
      <c r="M77" s="14" t="s">
        <v>1033</v>
      </c>
      <c r="N77" s="14" t="s">
        <v>1033</v>
      </c>
      <c r="O77" s="14" t="s">
        <v>1033</v>
      </c>
      <c r="P77" s="14">
        <v>2883.4566</v>
      </c>
      <c r="Q77" s="14" t="s">
        <v>1033</v>
      </c>
      <c r="R77" s="14" t="s">
        <v>1033</v>
      </c>
      <c r="S77" s="14" t="s">
        <v>1033</v>
      </c>
      <c r="T77" s="14" t="s">
        <v>1033</v>
      </c>
      <c r="U77" s="14">
        <v>2813.1565999999998</v>
      </c>
      <c r="V77" s="14" t="s">
        <v>1033</v>
      </c>
      <c r="W77" s="14" t="s">
        <v>1033</v>
      </c>
      <c r="X77" s="14" t="s">
        <v>1033</v>
      </c>
      <c r="Y77" s="14">
        <v>2813.1565999999998</v>
      </c>
    </row>
    <row r="78" spans="1:25" x14ac:dyDescent="0.25">
      <c r="A78" s="11" t="s">
        <v>494</v>
      </c>
      <c r="B78" s="11" t="s">
        <v>495</v>
      </c>
      <c r="C78" s="14" t="s">
        <v>1033</v>
      </c>
      <c r="D78" s="14" t="s">
        <v>1033</v>
      </c>
      <c r="E78" s="14" t="s">
        <v>1033</v>
      </c>
      <c r="F78" s="14" t="s">
        <v>1033</v>
      </c>
      <c r="G78" s="14" t="s">
        <v>1033</v>
      </c>
      <c r="H78" s="14" t="s">
        <v>1033</v>
      </c>
      <c r="I78" s="14">
        <v>92</v>
      </c>
      <c r="J78" s="14" t="s">
        <v>1033</v>
      </c>
      <c r="K78" s="14" t="s">
        <v>1033</v>
      </c>
      <c r="L78" s="14" t="s">
        <v>1033</v>
      </c>
      <c r="M78" s="14" t="s">
        <v>1033</v>
      </c>
      <c r="N78" s="14" t="s">
        <v>1033</v>
      </c>
      <c r="O78" s="14" t="s">
        <v>1033</v>
      </c>
      <c r="P78" s="14" t="s">
        <v>1033</v>
      </c>
      <c r="Q78" s="14" t="s">
        <v>1033</v>
      </c>
      <c r="R78" s="14" t="s">
        <v>1033</v>
      </c>
      <c r="S78" s="14" t="s">
        <v>1033</v>
      </c>
      <c r="T78" s="14" t="s">
        <v>1033</v>
      </c>
      <c r="U78" s="14" t="s">
        <v>1033</v>
      </c>
      <c r="V78" s="14" t="s">
        <v>1033</v>
      </c>
      <c r="W78" s="14" t="s">
        <v>1033</v>
      </c>
      <c r="X78" s="14" t="s">
        <v>1033</v>
      </c>
      <c r="Y78" s="14" t="s">
        <v>1033</v>
      </c>
    </row>
    <row r="79" spans="1:25" x14ac:dyDescent="0.25">
      <c r="A79" s="11" t="s">
        <v>496</v>
      </c>
      <c r="B79" s="11" t="s">
        <v>497</v>
      </c>
      <c r="C79" s="14" t="s">
        <v>1033</v>
      </c>
      <c r="D79" s="14" t="s">
        <v>1033</v>
      </c>
      <c r="E79" s="14" t="s">
        <v>1033</v>
      </c>
      <c r="F79" s="14" t="s">
        <v>1033</v>
      </c>
      <c r="G79" s="14" t="s">
        <v>1033</v>
      </c>
      <c r="H79" s="14" t="s">
        <v>1033</v>
      </c>
      <c r="I79" s="14">
        <v>-1233</v>
      </c>
      <c r="J79" s="14" t="s">
        <v>1033</v>
      </c>
      <c r="K79" s="14" t="s">
        <v>1033</v>
      </c>
      <c r="L79" s="14" t="s">
        <v>1033</v>
      </c>
      <c r="M79" s="14" t="s">
        <v>1033</v>
      </c>
      <c r="N79" s="14" t="s">
        <v>1033</v>
      </c>
      <c r="O79" s="14" t="s">
        <v>1033</v>
      </c>
      <c r="P79" s="14" t="s">
        <v>1033</v>
      </c>
      <c r="Q79" s="14" t="s">
        <v>1033</v>
      </c>
      <c r="R79" s="14" t="s">
        <v>1033</v>
      </c>
      <c r="S79" s="14" t="s">
        <v>1033</v>
      </c>
      <c r="T79" s="14" t="s">
        <v>1033</v>
      </c>
      <c r="U79" s="14" t="s">
        <v>1033</v>
      </c>
      <c r="V79" s="14" t="s">
        <v>1033</v>
      </c>
      <c r="W79" s="14" t="s">
        <v>1033</v>
      </c>
      <c r="X79" s="14" t="s">
        <v>1033</v>
      </c>
      <c r="Y79" s="14" t="s">
        <v>1033</v>
      </c>
    </row>
    <row r="80" spans="1:25" x14ac:dyDescent="0.25">
      <c r="A80" s="11" t="s">
        <v>498</v>
      </c>
      <c r="B80" s="11" t="s">
        <v>499</v>
      </c>
      <c r="C80" s="14" t="s">
        <v>1033</v>
      </c>
      <c r="D80" s="14" t="s">
        <v>1033</v>
      </c>
      <c r="E80" s="14" t="s">
        <v>1033</v>
      </c>
      <c r="F80" s="14" t="s">
        <v>1033</v>
      </c>
      <c r="G80" s="14" t="s">
        <v>1033</v>
      </c>
      <c r="H80" s="14" t="s">
        <v>1033</v>
      </c>
      <c r="I80" s="14">
        <v>-1604</v>
      </c>
      <c r="J80" s="14" t="s">
        <v>1033</v>
      </c>
      <c r="K80" s="14" t="s">
        <v>1033</v>
      </c>
      <c r="L80" s="14" t="s">
        <v>1033</v>
      </c>
      <c r="M80" s="14" t="s">
        <v>1033</v>
      </c>
      <c r="N80" s="14" t="s">
        <v>1033</v>
      </c>
      <c r="O80" s="14" t="s">
        <v>1033</v>
      </c>
      <c r="P80" s="14" t="s">
        <v>1033</v>
      </c>
      <c r="Q80" s="14" t="s">
        <v>1033</v>
      </c>
      <c r="R80" s="14" t="s">
        <v>1033</v>
      </c>
      <c r="S80" s="14" t="s">
        <v>1033</v>
      </c>
      <c r="T80" s="14" t="s">
        <v>1033</v>
      </c>
      <c r="U80" s="14" t="s">
        <v>1033</v>
      </c>
      <c r="V80" s="14" t="s">
        <v>1033</v>
      </c>
      <c r="W80" s="14" t="s">
        <v>1033</v>
      </c>
      <c r="X80" s="14" t="s">
        <v>1033</v>
      </c>
      <c r="Y80" s="14" t="s">
        <v>1033</v>
      </c>
    </row>
    <row r="81" spans="1:25" x14ac:dyDescent="0.25">
      <c r="A81" s="11" t="s">
        <v>500</v>
      </c>
      <c r="B81" s="11" t="s">
        <v>501</v>
      </c>
      <c r="C81" s="15" t="s">
        <v>1033</v>
      </c>
      <c r="D81" s="15" t="s">
        <v>1033</v>
      </c>
      <c r="E81" s="15" t="s">
        <v>1033</v>
      </c>
      <c r="F81" s="15" t="s">
        <v>1033</v>
      </c>
      <c r="G81" s="15" t="s">
        <v>1033</v>
      </c>
      <c r="H81" s="15" t="s">
        <v>1033</v>
      </c>
      <c r="I81" s="15">
        <v>3.5</v>
      </c>
      <c r="J81" s="15" t="s">
        <v>1033</v>
      </c>
      <c r="K81" s="15" t="s">
        <v>1033</v>
      </c>
      <c r="L81" s="15" t="s">
        <v>1033</v>
      </c>
      <c r="M81" s="15" t="s">
        <v>1033</v>
      </c>
      <c r="N81" s="15" t="s">
        <v>1033</v>
      </c>
      <c r="O81" s="15" t="s">
        <v>1033</v>
      </c>
      <c r="P81" s="15" t="s">
        <v>1033</v>
      </c>
      <c r="Q81" s="15" t="s">
        <v>1033</v>
      </c>
      <c r="R81" s="15" t="s">
        <v>1033</v>
      </c>
      <c r="S81" s="15" t="s">
        <v>1033</v>
      </c>
      <c r="T81" s="15" t="s">
        <v>1033</v>
      </c>
      <c r="U81" s="15" t="s">
        <v>1033</v>
      </c>
      <c r="V81" s="15" t="s">
        <v>1033</v>
      </c>
      <c r="W81" s="15" t="s">
        <v>1033</v>
      </c>
      <c r="X81" s="15" t="s">
        <v>1033</v>
      </c>
      <c r="Y81" s="15" t="s">
        <v>1033</v>
      </c>
    </row>
    <row r="82" spans="1:25" x14ac:dyDescent="0.25">
      <c r="A82" s="11" t="s">
        <v>502</v>
      </c>
      <c r="B82" s="11" t="s">
        <v>503</v>
      </c>
      <c r="C82" s="15" t="s">
        <v>1033</v>
      </c>
      <c r="D82" s="15" t="s">
        <v>1033</v>
      </c>
      <c r="E82" s="15" t="s">
        <v>1033</v>
      </c>
      <c r="F82" s="15" t="s">
        <v>1033</v>
      </c>
      <c r="G82" s="15" t="s">
        <v>1033</v>
      </c>
      <c r="H82" s="15" t="s">
        <v>1033</v>
      </c>
      <c r="I82" s="15">
        <v>9.75</v>
      </c>
      <c r="J82" s="15" t="s">
        <v>1033</v>
      </c>
      <c r="K82" s="15" t="s">
        <v>1033</v>
      </c>
      <c r="L82" s="15" t="s">
        <v>1033</v>
      </c>
      <c r="M82" s="15" t="s">
        <v>1033</v>
      </c>
      <c r="N82" s="15" t="s">
        <v>1033</v>
      </c>
      <c r="O82" s="15" t="s">
        <v>1033</v>
      </c>
      <c r="P82" s="15" t="s">
        <v>1033</v>
      </c>
      <c r="Q82" s="15" t="s">
        <v>1033</v>
      </c>
      <c r="R82" s="15" t="s">
        <v>1033</v>
      </c>
      <c r="S82" s="15" t="s">
        <v>1033</v>
      </c>
      <c r="T82" s="15" t="s">
        <v>1033</v>
      </c>
      <c r="U82" s="15" t="s">
        <v>1033</v>
      </c>
      <c r="V82" s="15" t="s">
        <v>1033</v>
      </c>
      <c r="W82" s="15" t="s">
        <v>1033</v>
      </c>
      <c r="X82" s="15" t="s">
        <v>1033</v>
      </c>
      <c r="Y82" s="15" t="s">
        <v>1033</v>
      </c>
    </row>
    <row r="83" spans="1:25" x14ac:dyDescent="0.25">
      <c r="A83" s="11" t="s">
        <v>504</v>
      </c>
      <c r="B83" s="11" t="s">
        <v>505</v>
      </c>
      <c r="C83" s="15" t="s">
        <v>1033</v>
      </c>
      <c r="D83" s="15" t="s">
        <v>1033</v>
      </c>
      <c r="E83" s="15" t="s">
        <v>1033</v>
      </c>
      <c r="F83" s="15" t="s">
        <v>1033</v>
      </c>
      <c r="G83" s="15" t="s">
        <v>1033</v>
      </c>
      <c r="H83" s="15" t="s">
        <v>1033</v>
      </c>
      <c r="I83" s="15">
        <v>4.5</v>
      </c>
      <c r="J83" s="15" t="s">
        <v>1033</v>
      </c>
      <c r="K83" s="15" t="s">
        <v>1033</v>
      </c>
      <c r="L83" s="15" t="s">
        <v>1033</v>
      </c>
      <c r="M83" s="15" t="s">
        <v>1033</v>
      </c>
      <c r="N83" s="15" t="s">
        <v>1033</v>
      </c>
      <c r="O83" s="15" t="s">
        <v>1033</v>
      </c>
      <c r="P83" s="15" t="s">
        <v>1033</v>
      </c>
      <c r="Q83" s="15" t="s">
        <v>1033</v>
      </c>
      <c r="R83" s="15" t="s">
        <v>1033</v>
      </c>
      <c r="S83" s="15" t="s">
        <v>1033</v>
      </c>
      <c r="T83" s="15" t="s">
        <v>1033</v>
      </c>
      <c r="U83" s="15" t="s">
        <v>1033</v>
      </c>
      <c r="V83" s="15" t="s">
        <v>1033</v>
      </c>
      <c r="W83" s="15" t="s">
        <v>1033</v>
      </c>
      <c r="X83" s="15" t="s">
        <v>1033</v>
      </c>
      <c r="Y83" s="15" t="s">
        <v>1033</v>
      </c>
    </row>
    <row r="84" spans="1:25" x14ac:dyDescent="0.25">
      <c r="A84" s="11" t="s">
        <v>442</v>
      </c>
      <c r="B84" s="11" t="s">
        <v>506</v>
      </c>
      <c r="C84" s="14" t="s">
        <v>1033</v>
      </c>
      <c r="D84" s="14" t="s">
        <v>1033</v>
      </c>
      <c r="E84" s="14" t="s">
        <v>1033</v>
      </c>
      <c r="F84" s="14">
        <v>2883.5</v>
      </c>
      <c r="G84" s="14" t="s">
        <v>1033</v>
      </c>
      <c r="H84" s="14">
        <v>2883.4566</v>
      </c>
      <c r="I84" s="14">
        <v>2857.4385000000002</v>
      </c>
      <c r="J84" s="14">
        <v>2883.5</v>
      </c>
      <c r="K84" s="14">
        <v>2883.4566</v>
      </c>
      <c r="L84" s="14">
        <v>2883.4566</v>
      </c>
      <c r="M84" s="14">
        <v>2883.4566</v>
      </c>
      <c r="N84" s="14">
        <v>2883.4566</v>
      </c>
      <c r="O84" s="14">
        <v>2883.4566</v>
      </c>
      <c r="P84" s="14">
        <v>2883.4566</v>
      </c>
      <c r="Q84" s="14">
        <v>2883.4566</v>
      </c>
      <c r="R84" s="14">
        <v>2883.4566</v>
      </c>
      <c r="S84" s="14">
        <v>2883.4566</v>
      </c>
      <c r="T84" s="14">
        <v>2883.4566</v>
      </c>
      <c r="U84" s="14">
        <v>2813.1565999999998</v>
      </c>
      <c r="V84" s="14">
        <v>2840.8155999999999</v>
      </c>
      <c r="W84" s="14">
        <v>2813.1565999999998</v>
      </c>
      <c r="X84" s="14">
        <v>2813.1565999999998</v>
      </c>
      <c r="Y84" s="14">
        <v>2813.1565999999998</v>
      </c>
    </row>
    <row r="85" spans="1:25" x14ac:dyDescent="0.25">
      <c r="A85" s="11" t="s">
        <v>507</v>
      </c>
      <c r="B85" s="11" t="s">
        <v>508</v>
      </c>
      <c r="C85" s="14" t="s">
        <v>1033</v>
      </c>
      <c r="D85" s="14" t="s">
        <v>1033</v>
      </c>
      <c r="E85" s="14" t="s">
        <v>1033</v>
      </c>
      <c r="F85" s="14" t="s">
        <v>1033</v>
      </c>
      <c r="G85" s="14" t="s">
        <v>1033</v>
      </c>
      <c r="H85" s="14" t="s">
        <v>1033</v>
      </c>
      <c r="I85" s="14">
        <v>2537</v>
      </c>
      <c r="J85" s="14" t="s">
        <v>1033</v>
      </c>
      <c r="K85" s="14" t="s">
        <v>1033</v>
      </c>
      <c r="L85" s="14" t="s">
        <v>1033</v>
      </c>
      <c r="M85" s="14" t="s">
        <v>1033</v>
      </c>
      <c r="N85" s="14" t="s">
        <v>1033</v>
      </c>
      <c r="O85" s="14" t="s">
        <v>1033</v>
      </c>
      <c r="P85" s="14" t="s">
        <v>1033</v>
      </c>
      <c r="Q85" s="14" t="s">
        <v>1033</v>
      </c>
      <c r="R85" s="14" t="s">
        <v>1033</v>
      </c>
      <c r="S85" s="14" t="s">
        <v>1033</v>
      </c>
      <c r="T85" s="14" t="s">
        <v>1033</v>
      </c>
      <c r="U85" s="14" t="s">
        <v>1033</v>
      </c>
      <c r="V85" s="14" t="s">
        <v>1033</v>
      </c>
      <c r="W85" s="14" t="s">
        <v>1033</v>
      </c>
      <c r="X85" s="14" t="s">
        <v>1033</v>
      </c>
      <c r="Y85" s="14" t="s">
        <v>1033</v>
      </c>
    </row>
    <row r="86" spans="1:25" x14ac:dyDescent="0.25">
      <c r="A86" s="11" t="s">
        <v>509</v>
      </c>
      <c r="B86" s="11" t="s">
        <v>510</v>
      </c>
      <c r="C86" s="14" t="s">
        <v>1033</v>
      </c>
      <c r="D86" s="14" t="s">
        <v>1033</v>
      </c>
      <c r="E86" s="14" t="s">
        <v>1033</v>
      </c>
      <c r="F86" s="14" t="s">
        <v>1033</v>
      </c>
      <c r="G86" s="14" t="s">
        <v>1033</v>
      </c>
      <c r="H86" s="14" t="s">
        <v>1033</v>
      </c>
      <c r="I86" s="14">
        <v>4141</v>
      </c>
      <c r="J86" s="14" t="s">
        <v>1033</v>
      </c>
      <c r="K86" s="14" t="s">
        <v>1033</v>
      </c>
      <c r="L86" s="14" t="s">
        <v>1033</v>
      </c>
      <c r="M86" s="14" t="s">
        <v>1033</v>
      </c>
      <c r="N86" s="14" t="s">
        <v>1033</v>
      </c>
      <c r="O86" s="14" t="s">
        <v>1033</v>
      </c>
      <c r="P86" s="14" t="s">
        <v>1033</v>
      </c>
      <c r="Q86" s="14" t="s">
        <v>1033</v>
      </c>
      <c r="R86" s="14" t="s">
        <v>1033</v>
      </c>
      <c r="S86" s="14" t="s">
        <v>1033</v>
      </c>
      <c r="T86" s="14" t="s">
        <v>1033</v>
      </c>
      <c r="U86" s="14" t="s">
        <v>1033</v>
      </c>
      <c r="V86" s="14" t="s">
        <v>1033</v>
      </c>
      <c r="W86" s="14" t="s">
        <v>1033</v>
      </c>
      <c r="X86" s="14" t="s">
        <v>1033</v>
      </c>
      <c r="Y86" s="14" t="s">
        <v>1033</v>
      </c>
    </row>
    <row r="87" spans="1:25" x14ac:dyDescent="0.25">
      <c r="A87" s="11" t="s">
        <v>378</v>
      </c>
      <c r="B87" s="11" t="s">
        <v>511</v>
      </c>
      <c r="C87" s="14" t="s">
        <v>1033</v>
      </c>
      <c r="D87" s="14">
        <v>1166</v>
      </c>
      <c r="E87" s="14">
        <v>1703</v>
      </c>
      <c r="F87" s="14">
        <v>-492</v>
      </c>
      <c r="G87" s="14">
        <v>840</v>
      </c>
      <c r="H87" s="14">
        <v>358</v>
      </c>
      <c r="I87" s="14">
        <v>530</v>
      </c>
      <c r="J87" s="14">
        <v>53</v>
      </c>
      <c r="K87" s="14">
        <v>-172</v>
      </c>
      <c r="L87" s="14">
        <v>-18</v>
      </c>
      <c r="M87" s="14">
        <v>150</v>
      </c>
      <c r="N87" s="14">
        <v>539</v>
      </c>
      <c r="O87" s="14">
        <v>351</v>
      </c>
      <c r="P87" s="14">
        <v>1265</v>
      </c>
      <c r="Q87" s="14">
        <v>536</v>
      </c>
      <c r="R87" s="14">
        <v>500</v>
      </c>
      <c r="S87" s="14">
        <v>2065</v>
      </c>
      <c r="T87" s="14">
        <v>173</v>
      </c>
      <c r="U87" s="14">
        <v>1854</v>
      </c>
      <c r="V87" s="14">
        <v>1385</v>
      </c>
      <c r="W87" s="14">
        <v>1750</v>
      </c>
      <c r="X87" s="14">
        <v>816</v>
      </c>
      <c r="Y87" s="14">
        <v>979</v>
      </c>
    </row>
    <row r="88" spans="1:25" x14ac:dyDescent="0.25">
      <c r="A88" s="11" t="s">
        <v>512</v>
      </c>
      <c r="B88" s="11" t="s">
        <v>513</v>
      </c>
      <c r="C88" s="14" t="s">
        <v>1033</v>
      </c>
      <c r="D88" s="14" t="s">
        <v>1033</v>
      </c>
      <c r="E88" s="14" t="s">
        <v>1033</v>
      </c>
      <c r="F88" s="14">
        <v>1339</v>
      </c>
      <c r="G88" s="14" t="s">
        <v>1033</v>
      </c>
      <c r="H88" s="14">
        <v>756</v>
      </c>
      <c r="I88" s="14">
        <v>606</v>
      </c>
      <c r="J88" s="14">
        <v>776</v>
      </c>
      <c r="K88" s="14">
        <v>1104</v>
      </c>
      <c r="L88" s="14">
        <v>1072</v>
      </c>
      <c r="M88" s="14">
        <v>-1876</v>
      </c>
      <c r="N88" s="14">
        <v>-1278</v>
      </c>
      <c r="O88" s="14">
        <v>3780</v>
      </c>
      <c r="P88" s="14">
        <v>261</v>
      </c>
      <c r="Q88" s="14">
        <v>1223</v>
      </c>
      <c r="R88" s="14">
        <v>5791</v>
      </c>
      <c r="S88" s="14">
        <v>2251</v>
      </c>
      <c r="T88" s="14">
        <v>906</v>
      </c>
      <c r="U88" s="14">
        <v>-1795</v>
      </c>
      <c r="V88" s="14">
        <v>-4567</v>
      </c>
      <c r="W88" s="14">
        <v>366</v>
      </c>
      <c r="X88" s="14">
        <v>1176</v>
      </c>
      <c r="Y88" s="14">
        <v>397</v>
      </c>
    </row>
    <row r="89" spans="1:25" x14ac:dyDescent="0.25">
      <c r="A89" s="11" t="s">
        <v>514</v>
      </c>
      <c r="B89" s="11" t="s">
        <v>515</v>
      </c>
      <c r="C89" s="14" t="s">
        <v>1033</v>
      </c>
      <c r="D89" s="14" t="s">
        <v>1033</v>
      </c>
      <c r="E89" s="14" t="s">
        <v>1033</v>
      </c>
      <c r="F89" s="14" t="s">
        <v>1033</v>
      </c>
      <c r="G89" s="14" t="s">
        <v>1033</v>
      </c>
      <c r="H89" s="14" t="s">
        <v>1033</v>
      </c>
      <c r="I89" s="14" t="s">
        <v>1033</v>
      </c>
      <c r="J89" s="14">
        <v>2</v>
      </c>
      <c r="K89" s="14">
        <v>-108</v>
      </c>
      <c r="L89" s="14">
        <v>7</v>
      </c>
      <c r="M89" s="14">
        <v>-1</v>
      </c>
      <c r="N89" s="14">
        <v>120</v>
      </c>
      <c r="O89" s="14">
        <v>10</v>
      </c>
      <c r="P89" s="14">
        <v>-2</v>
      </c>
      <c r="Q89" s="14">
        <v>9</v>
      </c>
      <c r="R89" s="14">
        <v>-330</v>
      </c>
      <c r="S89" s="14">
        <v>4</v>
      </c>
      <c r="T89" s="14">
        <v>324</v>
      </c>
      <c r="U89" s="14">
        <v>-311</v>
      </c>
      <c r="V89" s="14">
        <v>3</v>
      </c>
      <c r="W89" s="14">
        <v>8</v>
      </c>
      <c r="X89" s="14">
        <v>75</v>
      </c>
      <c r="Y89" s="14">
        <v>-17</v>
      </c>
    </row>
    <row r="90" spans="1:25" x14ac:dyDescent="0.25">
      <c r="A90" s="11" t="s">
        <v>516</v>
      </c>
      <c r="B90" s="11" t="s">
        <v>517</v>
      </c>
      <c r="C90" s="14" t="s">
        <v>1033</v>
      </c>
      <c r="D90" s="14" t="s">
        <v>1033</v>
      </c>
      <c r="E90" s="14" t="s">
        <v>1033</v>
      </c>
      <c r="F90" s="14">
        <v>13</v>
      </c>
      <c r="G90" s="14" t="s">
        <v>1033</v>
      </c>
      <c r="H90" s="14">
        <v>2</v>
      </c>
      <c r="I90" s="14">
        <v>339</v>
      </c>
      <c r="J90" s="14">
        <v>635</v>
      </c>
      <c r="K90" s="14">
        <v>208</v>
      </c>
      <c r="L90" s="14">
        <v>-284</v>
      </c>
      <c r="M90" s="14">
        <v>2139</v>
      </c>
      <c r="N90" s="14">
        <v>1791</v>
      </c>
      <c r="O90" s="14">
        <v>-3080</v>
      </c>
      <c r="P90" s="14">
        <v>-256</v>
      </c>
      <c r="Q90" s="14">
        <v>-734</v>
      </c>
      <c r="R90" s="14">
        <v>-4923</v>
      </c>
      <c r="S90" s="14">
        <v>-2821</v>
      </c>
      <c r="T90" s="14">
        <v>7</v>
      </c>
      <c r="U90" s="14">
        <v>2367</v>
      </c>
      <c r="V90" s="14">
        <v>5630</v>
      </c>
      <c r="W90" s="14">
        <v>314</v>
      </c>
      <c r="X90" s="14">
        <v>-178</v>
      </c>
      <c r="Y90" s="14">
        <v>397</v>
      </c>
    </row>
    <row r="91" spans="1:25" x14ac:dyDescent="0.25">
      <c r="A91" s="11" t="s">
        <v>380</v>
      </c>
      <c r="B91" s="11" t="s">
        <v>518</v>
      </c>
      <c r="C91" s="14" t="s">
        <v>1033</v>
      </c>
      <c r="D91" s="14" t="s">
        <v>1033</v>
      </c>
      <c r="E91" s="14" t="s">
        <v>1033</v>
      </c>
      <c r="F91" s="14" t="s">
        <v>1033</v>
      </c>
      <c r="G91" s="14" t="s">
        <v>1033</v>
      </c>
      <c r="H91" s="14" t="s">
        <v>1033</v>
      </c>
      <c r="I91" s="14" t="s">
        <v>1033</v>
      </c>
      <c r="J91" s="14" t="s">
        <v>1033</v>
      </c>
      <c r="K91" s="14" t="s">
        <v>1033</v>
      </c>
      <c r="L91" s="14" t="s">
        <v>1033</v>
      </c>
      <c r="M91" s="14" t="s">
        <v>1033</v>
      </c>
      <c r="N91" s="14" t="s">
        <v>1033</v>
      </c>
      <c r="O91" s="14" t="s">
        <v>1033</v>
      </c>
      <c r="P91" s="14">
        <v>9543</v>
      </c>
      <c r="Q91" s="14" t="s">
        <v>1033</v>
      </c>
      <c r="R91" s="14" t="s">
        <v>1033</v>
      </c>
      <c r="S91" s="14" t="s">
        <v>1033</v>
      </c>
      <c r="T91" s="14" t="s">
        <v>1033</v>
      </c>
      <c r="U91" s="14" t="s">
        <v>1033</v>
      </c>
      <c r="V91" s="14" t="s">
        <v>1033</v>
      </c>
      <c r="W91" s="14" t="s">
        <v>1033</v>
      </c>
      <c r="X91" s="14" t="s">
        <v>1033</v>
      </c>
      <c r="Y91" s="14" t="s">
        <v>1033</v>
      </c>
    </row>
    <row r="92" spans="1:25" x14ac:dyDescent="0.25">
      <c r="A92" s="11" t="s">
        <v>519</v>
      </c>
      <c r="B92" s="11" t="s">
        <v>520</v>
      </c>
      <c r="C92" s="14" t="s">
        <v>1033</v>
      </c>
      <c r="D92" s="14" t="s">
        <v>1033</v>
      </c>
      <c r="E92" s="14" t="s">
        <v>1033</v>
      </c>
      <c r="F92" s="14" t="s">
        <v>1033</v>
      </c>
      <c r="G92" s="14" t="s">
        <v>1033</v>
      </c>
      <c r="H92" s="14" t="s">
        <v>1033</v>
      </c>
      <c r="I92" s="14" t="s">
        <v>1033</v>
      </c>
      <c r="J92" s="14" t="s">
        <v>1033</v>
      </c>
      <c r="K92" s="14" t="s">
        <v>1033</v>
      </c>
      <c r="L92" s="14" t="s">
        <v>1033</v>
      </c>
      <c r="M92" s="14" t="s">
        <v>1033</v>
      </c>
      <c r="N92" s="14" t="s">
        <v>1033</v>
      </c>
      <c r="O92" s="14" t="s">
        <v>1033</v>
      </c>
      <c r="P92" s="14">
        <v>971</v>
      </c>
      <c r="Q92" s="14" t="s">
        <v>1033</v>
      </c>
      <c r="R92" s="14" t="s">
        <v>1033</v>
      </c>
      <c r="S92" s="14" t="s">
        <v>1033</v>
      </c>
      <c r="T92" s="14">
        <v>1600</v>
      </c>
      <c r="U92" s="14">
        <v>1028</v>
      </c>
      <c r="V92" s="14" t="s">
        <v>1033</v>
      </c>
      <c r="W92" s="14" t="s">
        <v>1033</v>
      </c>
      <c r="X92" s="14">
        <v>1451</v>
      </c>
      <c r="Y92" s="14">
        <v>1099</v>
      </c>
    </row>
    <row r="93" spans="1:25" x14ac:dyDescent="0.25">
      <c r="A93" s="11" t="s">
        <v>372</v>
      </c>
      <c r="B93" s="11" t="s">
        <v>521</v>
      </c>
      <c r="C93" s="14" t="s">
        <v>1033</v>
      </c>
      <c r="D93" s="14" t="s">
        <v>1033</v>
      </c>
      <c r="E93" s="14" t="s">
        <v>1033</v>
      </c>
      <c r="F93" s="14" t="s">
        <v>1033</v>
      </c>
      <c r="G93" s="14" t="s">
        <v>1033</v>
      </c>
      <c r="H93" s="14" t="s">
        <v>1033</v>
      </c>
      <c r="I93" s="14" t="s">
        <v>1033</v>
      </c>
      <c r="J93" s="14" t="s">
        <v>1033</v>
      </c>
      <c r="K93" s="14" t="s">
        <v>1033</v>
      </c>
      <c r="L93" s="14" t="s">
        <v>1033</v>
      </c>
      <c r="M93" s="14" t="s">
        <v>1033</v>
      </c>
      <c r="N93" s="14" t="s">
        <v>1033</v>
      </c>
      <c r="O93" s="14" t="s">
        <v>1033</v>
      </c>
      <c r="P93" s="14">
        <v>97257</v>
      </c>
      <c r="Q93" s="14" t="s">
        <v>1033</v>
      </c>
      <c r="R93" s="14" t="s">
        <v>1033</v>
      </c>
      <c r="S93" s="14" t="s">
        <v>1033</v>
      </c>
      <c r="T93" s="14" t="s">
        <v>1033</v>
      </c>
      <c r="U93" s="14" t="s">
        <v>1033</v>
      </c>
      <c r="V93" s="14" t="s">
        <v>1033</v>
      </c>
      <c r="W93" s="14" t="s">
        <v>1033</v>
      </c>
      <c r="X93" s="14" t="s">
        <v>1033</v>
      </c>
      <c r="Y93" s="14" t="s">
        <v>1033</v>
      </c>
    </row>
    <row r="94" spans="1:25" x14ac:dyDescent="0.25">
      <c r="A94" s="11" t="s">
        <v>522</v>
      </c>
      <c r="B94" s="11" t="s">
        <v>523</v>
      </c>
      <c r="C94" s="14" t="s">
        <v>1033</v>
      </c>
      <c r="D94" s="14" t="s">
        <v>1033</v>
      </c>
      <c r="E94" s="14" t="s">
        <v>1033</v>
      </c>
      <c r="F94" s="14" t="s">
        <v>1033</v>
      </c>
      <c r="G94" s="14" t="s">
        <v>1033</v>
      </c>
      <c r="H94" s="14" t="s">
        <v>1033</v>
      </c>
      <c r="I94" s="14" t="s">
        <v>1033</v>
      </c>
      <c r="J94" s="14" t="s">
        <v>1033</v>
      </c>
      <c r="K94" s="14" t="s">
        <v>1033</v>
      </c>
      <c r="L94" s="14" t="s">
        <v>1033</v>
      </c>
      <c r="M94" s="14" t="s">
        <v>1033</v>
      </c>
      <c r="N94" s="14" t="s">
        <v>1033</v>
      </c>
      <c r="O94" s="14" t="s">
        <v>1033</v>
      </c>
      <c r="P94" s="14">
        <v>63218</v>
      </c>
      <c r="Q94" s="14" t="s">
        <v>1033</v>
      </c>
      <c r="R94" s="14" t="s">
        <v>1033</v>
      </c>
      <c r="S94" s="14" t="s">
        <v>1033</v>
      </c>
      <c r="T94" s="14" t="s">
        <v>1033</v>
      </c>
      <c r="U94" s="14" t="s">
        <v>1033</v>
      </c>
      <c r="V94" s="14" t="s">
        <v>1033</v>
      </c>
      <c r="W94" s="14" t="s">
        <v>1033</v>
      </c>
      <c r="X94" s="14" t="s">
        <v>1033</v>
      </c>
      <c r="Y94" s="14" t="s">
        <v>1033</v>
      </c>
    </row>
    <row r="95" spans="1:25" x14ac:dyDescent="0.25">
      <c r="A95" s="11" t="s">
        <v>524</v>
      </c>
      <c r="B95" s="11" t="s">
        <v>525</v>
      </c>
      <c r="C95" s="14" t="s">
        <v>1033</v>
      </c>
      <c r="D95" s="14" t="s">
        <v>1033</v>
      </c>
      <c r="E95" s="14">
        <v>4420</v>
      </c>
      <c r="F95" s="14" t="s">
        <v>1033</v>
      </c>
      <c r="G95" s="14">
        <v>4929</v>
      </c>
      <c r="H95" s="14" t="s">
        <v>1033</v>
      </c>
      <c r="I95" s="14" t="s">
        <v>1033</v>
      </c>
      <c r="J95" s="14" t="s">
        <v>1033</v>
      </c>
      <c r="K95" s="14" t="s">
        <v>1033</v>
      </c>
      <c r="L95" s="14" t="s">
        <v>1033</v>
      </c>
      <c r="M95" s="14">
        <v>391</v>
      </c>
      <c r="N95" s="14">
        <v>267</v>
      </c>
      <c r="O95" s="14" t="s">
        <v>1033</v>
      </c>
      <c r="P95" s="14">
        <v>617</v>
      </c>
      <c r="Q95" s="14" t="s">
        <v>1033</v>
      </c>
      <c r="R95" s="14" t="s">
        <v>1033</v>
      </c>
      <c r="S95" s="14" t="s">
        <v>1033</v>
      </c>
      <c r="T95" s="14" t="s">
        <v>1033</v>
      </c>
      <c r="U95" s="14" t="s">
        <v>1033</v>
      </c>
      <c r="V95" s="14" t="s">
        <v>1033</v>
      </c>
      <c r="W95" s="14" t="s">
        <v>1033</v>
      </c>
      <c r="X95" s="14" t="s">
        <v>1033</v>
      </c>
      <c r="Y95" s="14" t="s">
        <v>1033</v>
      </c>
    </row>
    <row r="96" spans="1:25" x14ac:dyDescent="0.25">
      <c r="A96" s="11" t="s">
        <v>526</v>
      </c>
      <c r="B96" s="11" t="s">
        <v>527</v>
      </c>
      <c r="C96" s="14" t="s">
        <v>1033</v>
      </c>
      <c r="D96" s="14" t="s">
        <v>1033</v>
      </c>
      <c r="E96" s="14" t="s">
        <v>1033</v>
      </c>
      <c r="F96" s="14" t="s">
        <v>1033</v>
      </c>
      <c r="G96" s="14" t="s">
        <v>1033</v>
      </c>
      <c r="H96" s="14" t="s">
        <v>1033</v>
      </c>
      <c r="I96" s="14">
        <v>135</v>
      </c>
      <c r="J96" s="14" t="s">
        <v>1033</v>
      </c>
      <c r="K96" s="14" t="s">
        <v>1033</v>
      </c>
      <c r="L96" s="14" t="s">
        <v>1033</v>
      </c>
      <c r="M96" s="14" t="s">
        <v>1033</v>
      </c>
      <c r="N96" s="14" t="s">
        <v>1033</v>
      </c>
      <c r="O96" s="14" t="s">
        <v>1033</v>
      </c>
      <c r="P96" s="14" t="s">
        <v>1033</v>
      </c>
      <c r="Q96" s="14" t="s">
        <v>1033</v>
      </c>
      <c r="R96" s="14" t="s">
        <v>1033</v>
      </c>
      <c r="S96" s="14" t="s">
        <v>1033</v>
      </c>
      <c r="T96" s="14" t="s">
        <v>1033</v>
      </c>
      <c r="U96" s="14" t="s">
        <v>1033</v>
      </c>
      <c r="V96" s="14" t="s">
        <v>1033</v>
      </c>
      <c r="W96" s="14" t="s">
        <v>1033</v>
      </c>
      <c r="X96" s="14" t="s">
        <v>1033</v>
      </c>
      <c r="Y96" s="14" t="s">
        <v>1033</v>
      </c>
    </row>
    <row r="97" spans="1:25" x14ac:dyDescent="0.25">
      <c r="A97" s="11" t="s">
        <v>528</v>
      </c>
      <c r="B97" s="11" t="s">
        <v>529</v>
      </c>
      <c r="C97" s="15" t="s">
        <v>1033</v>
      </c>
      <c r="D97" s="15" t="s">
        <v>1033</v>
      </c>
      <c r="E97" s="15" t="s">
        <v>1033</v>
      </c>
      <c r="F97" s="15" t="s">
        <v>1033</v>
      </c>
      <c r="G97" s="15" t="s">
        <v>1033</v>
      </c>
      <c r="H97" s="15" t="s">
        <v>1033</v>
      </c>
      <c r="I97" s="15" t="s">
        <v>1033</v>
      </c>
      <c r="J97" s="15" t="s">
        <v>1033</v>
      </c>
      <c r="K97" s="15" t="s">
        <v>1033</v>
      </c>
      <c r="L97" s="15" t="s">
        <v>1033</v>
      </c>
      <c r="M97" s="15" t="s">
        <v>1033</v>
      </c>
      <c r="N97" s="15" t="s">
        <v>1033</v>
      </c>
      <c r="O97" s="15">
        <v>25.5</v>
      </c>
      <c r="P97" s="15" t="s">
        <v>1033</v>
      </c>
      <c r="Q97" s="15">
        <v>30.5</v>
      </c>
      <c r="R97" s="15">
        <v>24.8</v>
      </c>
      <c r="S97" s="15">
        <v>27.2</v>
      </c>
      <c r="T97" s="15" t="s">
        <v>1033</v>
      </c>
      <c r="U97" s="15">
        <v>29.3</v>
      </c>
      <c r="V97" s="15">
        <v>27.6</v>
      </c>
      <c r="W97" s="15">
        <v>24.9</v>
      </c>
      <c r="X97" s="15" t="s">
        <v>1033</v>
      </c>
      <c r="Y97" s="15">
        <v>28.6</v>
      </c>
    </row>
    <row r="98" spans="1:25" x14ac:dyDescent="0.25">
      <c r="A98" s="11" t="s">
        <v>530</v>
      </c>
      <c r="B98" s="11" t="s">
        <v>531</v>
      </c>
      <c r="C98" s="14" t="s">
        <v>1033</v>
      </c>
      <c r="D98" s="14" t="s">
        <v>1033</v>
      </c>
      <c r="E98" s="14" t="s">
        <v>1033</v>
      </c>
      <c r="F98" s="14" t="s">
        <v>1033</v>
      </c>
      <c r="G98" s="14" t="s">
        <v>1033</v>
      </c>
      <c r="H98" s="14" t="s">
        <v>1033</v>
      </c>
      <c r="I98" s="14">
        <v>516</v>
      </c>
      <c r="J98" s="14" t="s">
        <v>1033</v>
      </c>
      <c r="K98" s="14" t="s">
        <v>1033</v>
      </c>
      <c r="L98" s="14" t="s">
        <v>1033</v>
      </c>
      <c r="M98" s="14" t="s">
        <v>1033</v>
      </c>
      <c r="N98" s="14" t="s">
        <v>1033</v>
      </c>
      <c r="O98" s="14" t="s">
        <v>1033</v>
      </c>
      <c r="P98" s="14" t="s">
        <v>1033</v>
      </c>
      <c r="Q98" s="14" t="s">
        <v>1033</v>
      </c>
      <c r="R98" s="14" t="s">
        <v>1033</v>
      </c>
      <c r="S98" s="14" t="s">
        <v>1033</v>
      </c>
      <c r="T98" s="14" t="s">
        <v>1033</v>
      </c>
      <c r="U98" s="14" t="s">
        <v>1033</v>
      </c>
      <c r="V98" s="14" t="s">
        <v>1033</v>
      </c>
      <c r="W98" s="14" t="s">
        <v>1033</v>
      </c>
      <c r="X98" s="14" t="s">
        <v>1033</v>
      </c>
      <c r="Y98" s="14" t="s">
        <v>1033</v>
      </c>
    </row>
    <row r="99" spans="1:25" x14ac:dyDescent="0.25">
      <c r="A99" s="11" t="s">
        <v>532</v>
      </c>
      <c r="B99" s="11" t="s">
        <v>533</v>
      </c>
      <c r="C99" s="14" t="s">
        <v>1033</v>
      </c>
      <c r="D99" s="14" t="s">
        <v>1033</v>
      </c>
      <c r="E99" s="14" t="s">
        <v>1033</v>
      </c>
      <c r="F99" s="14" t="s">
        <v>1033</v>
      </c>
      <c r="G99" s="14" t="s">
        <v>1033</v>
      </c>
      <c r="H99" s="14" t="s">
        <v>1033</v>
      </c>
      <c r="I99" s="14">
        <v>-286</v>
      </c>
      <c r="J99" s="14" t="s">
        <v>1033</v>
      </c>
      <c r="K99" s="14" t="s">
        <v>1033</v>
      </c>
      <c r="L99" s="14" t="s">
        <v>1033</v>
      </c>
      <c r="M99" s="14" t="s">
        <v>1033</v>
      </c>
      <c r="N99" s="14" t="s">
        <v>1033</v>
      </c>
      <c r="O99" s="14" t="s">
        <v>1033</v>
      </c>
      <c r="P99" s="14" t="s">
        <v>1033</v>
      </c>
      <c r="Q99" s="14" t="s">
        <v>1033</v>
      </c>
      <c r="R99" s="14" t="s">
        <v>1033</v>
      </c>
      <c r="S99" s="14" t="s">
        <v>1033</v>
      </c>
      <c r="T99" s="14" t="s">
        <v>1033</v>
      </c>
      <c r="U99" s="14" t="s">
        <v>1033</v>
      </c>
      <c r="V99" s="14" t="s">
        <v>1033</v>
      </c>
      <c r="W99" s="14" t="s">
        <v>1033</v>
      </c>
      <c r="X99" s="14" t="s">
        <v>1033</v>
      </c>
      <c r="Y99" s="14" t="s">
        <v>1033</v>
      </c>
    </row>
    <row r="100" spans="1:25" x14ac:dyDescent="0.25">
      <c r="A100" s="11" t="s">
        <v>534</v>
      </c>
      <c r="B100" s="11" t="s">
        <v>535</v>
      </c>
      <c r="C100" s="15" t="s">
        <v>1033</v>
      </c>
      <c r="D100" s="15" t="s">
        <v>1033</v>
      </c>
      <c r="E100" s="15" t="s">
        <v>1033</v>
      </c>
      <c r="F100" s="15" t="s">
        <v>1033</v>
      </c>
      <c r="G100" s="15" t="s">
        <v>1033</v>
      </c>
      <c r="H100" s="15" t="s">
        <v>1033</v>
      </c>
      <c r="I100" s="15" t="s">
        <v>1033</v>
      </c>
      <c r="J100" s="15" t="s">
        <v>1033</v>
      </c>
      <c r="K100" s="15" t="s">
        <v>1033</v>
      </c>
      <c r="L100" s="15" t="s">
        <v>1033</v>
      </c>
      <c r="M100" s="15" t="s">
        <v>1033</v>
      </c>
      <c r="N100" s="15">
        <v>5.2020999999999997</v>
      </c>
      <c r="O100" s="15" t="s">
        <v>1033</v>
      </c>
      <c r="P100" s="15" t="s">
        <v>1033</v>
      </c>
      <c r="Q100" s="15" t="s">
        <v>1033</v>
      </c>
      <c r="R100" s="15" t="s">
        <v>1033</v>
      </c>
      <c r="S100" s="15" t="s">
        <v>1033</v>
      </c>
      <c r="T100" s="15" t="s">
        <v>1033</v>
      </c>
      <c r="U100" s="15" t="s">
        <v>1033</v>
      </c>
      <c r="V100" s="15" t="s">
        <v>1033</v>
      </c>
      <c r="W100" s="15" t="s">
        <v>1033</v>
      </c>
      <c r="X100" s="15" t="s">
        <v>1033</v>
      </c>
      <c r="Y100" s="15" t="s">
        <v>1033</v>
      </c>
    </row>
    <row r="101" spans="1:25" x14ac:dyDescent="0.25">
      <c r="A101" s="11" t="s">
        <v>536</v>
      </c>
      <c r="B101" s="11" t="s">
        <v>537</v>
      </c>
      <c r="C101" s="14" t="s">
        <v>1033</v>
      </c>
      <c r="D101" s="14" t="s">
        <v>1033</v>
      </c>
      <c r="E101" s="14" t="s">
        <v>1033</v>
      </c>
      <c r="F101" s="14" t="s">
        <v>1033</v>
      </c>
      <c r="G101" s="14" t="s">
        <v>1033</v>
      </c>
      <c r="H101" s="14" t="s">
        <v>1033</v>
      </c>
      <c r="I101" s="14" t="s">
        <v>1033</v>
      </c>
      <c r="J101" s="14" t="s">
        <v>1033</v>
      </c>
      <c r="K101" s="14" t="s">
        <v>1033</v>
      </c>
      <c r="L101" s="14" t="s">
        <v>1033</v>
      </c>
      <c r="M101" s="14" t="s">
        <v>1033</v>
      </c>
      <c r="N101" s="14" t="s">
        <v>1033</v>
      </c>
      <c r="O101" s="14" t="s">
        <v>1033</v>
      </c>
      <c r="P101" s="14" t="s">
        <v>1033</v>
      </c>
      <c r="Q101" s="14" t="s">
        <v>1033</v>
      </c>
      <c r="R101" s="14" t="s">
        <v>1033</v>
      </c>
      <c r="S101" s="14" t="s">
        <v>1033</v>
      </c>
      <c r="T101" s="14" t="s">
        <v>1033</v>
      </c>
      <c r="U101" s="14">
        <v>4936</v>
      </c>
      <c r="V101" s="14" t="s">
        <v>1033</v>
      </c>
      <c r="W101" s="14" t="s">
        <v>1033</v>
      </c>
      <c r="X101" s="14" t="s">
        <v>1033</v>
      </c>
      <c r="Y101" s="14">
        <v>5379</v>
      </c>
    </row>
    <row r="102" spans="1:25" x14ac:dyDescent="0.25">
      <c r="A102" s="11" t="s">
        <v>153</v>
      </c>
      <c r="B102" s="11" t="s">
        <v>538</v>
      </c>
      <c r="C102" s="15">
        <v>23.6</v>
      </c>
      <c r="D102" s="15">
        <v>18.8</v>
      </c>
      <c r="E102" s="15">
        <v>13</v>
      </c>
      <c r="F102" s="15">
        <v>15.2</v>
      </c>
      <c r="G102" s="15">
        <v>15.1</v>
      </c>
      <c r="H102" s="15">
        <v>19.3</v>
      </c>
      <c r="I102" s="15">
        <v>19.100000000000001</v>
      </c>
      <c r="J102" s="15">
        <v>18.100000000000001</v>
      </c>
      <c r="K102" s="15">
        <v>19.600000000000001</v>
      </c>
      <c r="L102" s="15">
        <v>19.600000000000001</v>
      </c>
      <c r="M102" s="15">
        <v>21.5</v>
      </c>
      <c r="N102" s="15">
        <v>21.4</v>
      </c>
      <c r="O102" s="15">
        <v>21.5</v>
      </c>
      <c r="P102" s="15">
        <v>20.9</v>
      </c>
      <c r="Q102" s="15">
        <v>22.2</v>
      </c>
      <c r="R102" s="15">
        <v>23.3</v>
      </c>
      <c r="S102" s="15">
        <v>22.9</v>
      </c>
      <c r="T102" s="15">
        <v>21.6</v>
      </c>
      <c r="U102" s="15">
        <v>23.4</v>
      </c>
      <c r="V102" s="15">
        <v>23.6</v>
      </c>
      <c r="W102" s="15">
        <v>20.100000000000001</v>
      </c>
      <c r="X102" s="15">
        <v>24.2</v>
      </c>
      <c r="Y102" s="15">
        <v>23.9</v>
      </c>
    </row>
    <row r="103" spans="1:25" x14ac:dyDescent="0.25">
      <c r="A103" s="11" t="s">
        <v>153</v>
      </c>
      <c r="B103" s="11" t="s">
        <v>538</v>
      </c>
      <c r="C103" s="15">
        <v>23.6</v>
      </c>
      <c r="D103" s="15">
        <v>18.8</v>
      </c>
      <c r="E103" s="15">
        <v>13</v>
      </c>
      <c r="F103" s="15">
        <v>15.2</v>
      </c>
      <c r="G103" s="15">
        <v>15.1</v>
      </c>
      <c r="H103" s="15">
        <v>19.3</v>
      </c>
      <c r="I103" s="15">
        <v>19.100000000000001</v>
      </c>
      <c r="J103" s="15">
        <v>18.100000000000001</v>
      </c>
      <c r="K103" s="15">
        <v>19.600000000000001</v>
      </c>
      <c r="L103" s="15">
        <v>19.600000000000001</v>
      </c>
      <c r="M103" s="15">
        <v>21.5</v>
      </c>
      <c r="N103" s="15">
        <v>21.4</v>
      </c>
      <c r="O103" s="15">
        <v>21.5</v>
      </c>
      <c r="P103" s="15">
        <v>20.9</v>
      </c>
      <c r="Q103" s="15">
        <v>22.2</v>
      </c>
      <c r="R103" s="15">
        <v>23.3</v>
      </c>
      <c r="S103" s="15">
        <v>22.9</v>
      </c>
      <c r="T103" s="15">
        <v>21.6</v>
      </c>
      <c r="U103" s="15">
        <v>23.4</v>
      </c>
      <c r="V103" s="15">
        <v>23.6</v>
      </c>
      <c r="W103" s="15">
        <v>20.100000000000001</v>
      </c>
      <c r="X103" s="15">
        <v>24.2</v>
      </c>
      <c r="Y103" s="15">
        <v>23.9</v>
      </c>
    </row>
    <row r="104" spans="1:25" x14ac:dyDescent="0.25">
      <c r="A104" s="11" t="s">
        <v>149</v>
      </c>
      <c r="B104" s="11" t="s">
        <v>539</v>
      </c>
      <c r="C104" s="15">
        <v>2.2999999999999998</v>
      </c>
      <c r="D104" s="15">
        <v>2.21</v>
      </c>
      <c r="E104" s="15">
        <v>1.5</v>
      </c>
      <c r="F104" s="15">
        <v>1.8</v>
      </c>
      <c r="G104" s="15">
        <v>1.9</v>
      </c>
      <c r="H104" s="15">
        <v>2.2000000000000002</v>
      </c>
      <c r="I104" s="15">
        <v>2.2000000000000002</v>
      </c>
      <c r="J104" s="15">
        <v>2.2000000000000002</v>
      </c>
      <c r="K104" s="15">
        <v>2.2999999999999998</v>
      </c>
      <c r="L104" s="15">
        <v>2.2999999999999998</v>
      </c>
      <c r="M104" s="15">
        <v>2.5</v>
      </c>
      <c r="N104" s="15">
        <v>2.4</v>
      </c>
      <c r="O104" s="15">
        <v>2.2999999999999998</v>
      </c>
      <c r="P104" s="15">
        <v>2.2999999999999998</v>
      </c>
      <c r="Q104" s="15">
        <v>2.4</v>
      </c>
      <c r="R104" s="15">
        <v>2.2999999999999998</v>
      </c>
      <c r="S104" s="15">
        <v>2.4</v>
      </c>
      <c r="T104" s="15">
        <v>2.2000000000000002</v>
      </c>
      <c r="U104" s="15">
        <v>2.4</v>
      </c>
      <c r="V104" s="15">
        <v>2.2999999999999998</v>
      </c>
      <c r="W104" s="15">
        <v>2.1</v>
      </c>
      <c r="X104" s="15">
        <v>2.5</v>
      </c>
      <c r="Y104" s="15">
        <v>2.4</v>
      </c>
    </row>
    <row r="105" spans="1:25" x14ac:dyDescent="0.25">
      <c r="A105" s="11" t="s">
        <v>149</v>
      </c>
      <c r="B105" s="11" t="s">
        <v>539</v>
      </c>
      <c r="C105" s="15">
        <v>2.2999999999999998</v>
      </c>
      <c r="D105" s="15">
        <v>2.21</v>
      </c>
      <c r="E105" s="15">
        <v>1.5</v>
      </c>
      <c r="F105" s="15">
        <v>1.8</v>
      </c>
      <c r="G105" s="15">
        <v>1.9</v>
      </c>
      <c r="H105" s="15">
        <v>2.2000000000000002</v>
      </c>
      <c r="I105" s="15">
        <v>2.2000000000000002</v>
      </c>
      <c r="J105" s="15">
        <v>2.2000000000000002</v>
      </c>
      <c r="K105" s="15">
        <v>2.2999999999999998</v>
      </c>
      <c r="L105" s="15">
        <v>2.2999999999999998</v>
      </c>
      <c r="M105" s="15">
        <v>2.5</v>
      </c>
      <c r="N105" s="15">
        <v>2.4</v>
      </c>
      <c r="O105" s="15">
        <v>2.2999999999999998</v>
      </c>
      <c r="P105" s="15">
        <v>2.2999999999999998</v>
      </c>
      <c r="Q105" s="15">
        <v>2.4</v>
      </c>
      <c r="R105" s="15">
        <v>2.2999999999999998</v>
      </c>
      <c r="S105" s="15">
        <v>2.4</v>
      </c>
      <c r="T105" s="15">
        <v>2.2000000000000002</v>
      </c>
      <c r="U105" s="15">
        <v>2.4</v>
      </c>
      <c r="V105" s="15">
        <v>2.2999999999999998</v>
      </c>
      <c r="W105" s="15">
        <v>2.1</v>
      </c>
      <c r="X105" s="15">
        <v>2.5</v>
      </c>
      <c r="Y105" s="15">
        <v>2.4</v>
      </c>
    </row>
    <row r="106" spans="1:25" x14ac:dyDescent="0.25">
      <c r="A106" s="11" t="s">
        <v>143</v>
      </c>
      <c r="B106" s="11" t="s">
        <v>540</v>
      </c>
      <c r="C106" s="15">
        <v>43.1</v>
      </c>
      <c r="D106" s="15">
        <v>38.9</v>
      </c>
      <c r="E106" s="15">
        <v>41.6</v>
      </c>
      <c r="F106" s="15">
        <v>41.6</v>
      </c>
      <c r="G106" s="15">
        <v>44.5</v>
      </c>
      <c r="H106" s="15">
        <v>46.2</v>
      </c>
      <c r="I106" s="15">
        <v>51.5</v>
      </c>
      <c r="J106" s="15">
        <v>37.700000000000003</v>
      </c>
      <c r="K106" s="15">
        <v>37.799999999999997</v>
      </c>
      <c r="L106" s="15">
        <v>37.1</v>
      </c>
      <c r="M106" s="15">
        <v>34.5</v>
      </c>
      <c r="N106" s="15">
        <v>34.1</v>
      </c>
      <c r="O106" s="15">
        <v>34.1</v>
      </c>
      <c r="P106" s="15">
        <v>41.9</v>
      </c>
      <c r="Q106" s="15">
        <v>34</v>
      </c>
      <c r="R106" s="15">
        <v>35.5</v>
      </c>
      <c r="S106" s="15">
        <v>34.6</v>
      </c>
      <c r="T106" s="15">
        <v>42.6</v>
      </c>
      <c r="U106" s="15">
        <v>33.6</v>
      </c>
      <c r="V106" s="15">
        <v>39</v>
      </c>
      <c r="W106" s="15">
        <v>35.299999999999997</v>
      </c>
      <c r="X106" s="15">
        <v>40.1</v>
      </c>
      <c r="Y106" s="15">
        <v>34.200000000000003</v>
      </c>
    </row>
    <row r="107" spans="1:25" x14ac:dyDescent="0.25">
      <c r="A107" s="11" t="s">
        <v>139</v>
      </c>
      <c r="B107" s="11" t="s">
        <v>541</v>
      </c>
      <c r="C107" s="15">
        <v>6.5</v>
      </c>
      <c r="D107" s="15">
        <v>5.9</v>
      </c>
      <c r="E107" s="15">
        <v>6.3</v>
      </c>
      <c r="F107" s="15">
        <v>5.3</v>
      </c>
      <c r="G107" s="15">
        <v>4.8</v>
      </c>
      <c r="H107" s="15">
        <v>6.1</v>
      </c>
      <c r="I107" s="15">
        <v>6.3</v>
      </c>
      <c r="J107" s="15">
        <v>6</v>
      </c>
      <c r="K107" s="15">
        <v>5.9</v>
      </c>
      <c r="L107" s="15">
        <v>6.7</v>
      </c>
      <c r="M107" s="15">
        <v>6.6</v>
      </c>
      <c r="N107" s="15">
        <v>5.8</v>
      </c>
      <c r="O107" s="15">
        <v>6.3</v>
      </c>
      <c r="P107" s="15">
        <v>6.4</v>
      </c>
      <c r="Q107" s="15">
        <v>6.5</v>
      </c>
      <c r="R107" s="15">
        <v>5.7</v>
      </c>
      <c r="S107" s="15">
        <v>6.5</v>
      </c>
      <c r="T107" s="15">
        <v>6.5</v>
      </c>
      <c r="U107" s="15">
        <v>6.2</v>
      </c>
      <c r="V107" s="15">
        <v>6.2</v>
      </c>
      <c r="W107" s="15">
        <v>6.3</v>
      </c>
      <c r="X107" s="15">
        <v>6.6</v>
      </c>
      <c r="Y107" s="15">
        <v>6.5</v>
      </c>
    </row>
    <row r="108" spans="1:25" x14ac:dyDescent="0.25">
      <c r="A108" s="8" t="s">
        <v>84</v>
      </c>
      <c r="B108" s="8"/>
      <c r="C108" s="8" t="s">
        <v>3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2"/>
  <sheetViews>
    <sheetView workbookViewId="0">
      <selection activeCell="H21" sqref="H21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542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7" t="s">
        <v>543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25">
      <c r="A7" s="7" t="s">
        <v>301</v>
      </c>
      <c r="B7" s="7" t="s">
        <v>292</v>
      </c>
      <c r="C7" s="20">
        <v>12459</v>
      </c>
      <c r="D7" s="20">
        <v>8480</v>
      </c>
      <c r="E7" s="20">
        <v>12208.445</v>
      </c>
      <c r="F7" s="20">
        <v>7798.7988999999998</v>
      </c>
      <c r="G7" s="20">
        <v>11334</v>
      </c>
      <c r="H7" s="20">
        <v>11446</v>
      </c>
      <c r="I7" s="20">
        <v>11977</v>
      </c>
      <c r="J7" s="20">
        <v>11337.975</v>
      </c>
      <c r="K7" s="20">
        <v>15215</v>
      </c>
      <c r="L7" s="20">
        <v>15392</v>
      </c>
      <c r="M7" s="20">
        <v>15890</v>
      </c>
      <c r="N7" s="20">
        <v>15490.9979</v>
      </c>
      <c r="O7" s="20">
        <v>17745</v>
      </c>
      <c r="P7" s="20">
        <v>18102</v>
      </c>
      <c r="Q7" s="20">
        <v>17982</v>
      </c>
      <c r="R7" s="20">
        <v>17144</v>
      </c>
      <c r="S7" s="20">
        <v>20126</v>
      </c>
      <c r="T7" s="20">
        <v>18646</v>
      </c>
      <c r="U7" s="20">
        <v>19834</v>
      </c>
      <c r="V7" s="20">
        <v>18364</v>
      </c>
      <c r="W7" s="20">
        <v>21974</v>
      </c>
      <c r="X7" s="20">
        <v>19674</v>
      </c>
      <c r="Y7" s="20">
        <v>18700</v>
      </c>
      <c r="Z7" s="20">
        <v>23222</v>
      </c>
      <c r="AA7" s="20">
        <v>22062</v>
      </c>
    </row>
    <row r="8" spans="1:27" x14ac:dyDescent="0.25">
      <c r="A8" s="11" t="s">
        <v>544</v>
      </c>
      <c r="B8" s="11" t="s">
        <v>296</v>
      </c>
      <c r="C8" s="14" t="s">
        <v>1033</v>
      </c>
      <c r="D8" s="14">
        <v>-132</v>
      </c>
      <c r="E8" s="14">
        <v>-165</v>
      </c>
      <c r="F8" s="14">
        <v>899</v>
      </c>
      <c r="G8" s="14" t="s">
        <v>1033</v>
      </c>
      <c r="H8" s="14">
        <v>-132</v>
      </c>
      <c r="I8" s="14" t="s">
        <v>1033</v>
      </c>
      <c r="J8" s="14" t="s">
        <v>1033</v>
      </c>
      <c r="K8" s="14" t="s">
        <v>1033</v>
      </c>
      <c r="L8" s="14" t="s">
        <v>1033</v>
      </c>
      <c r="M8" s="14" t="s">
        <v>1033</v>
      </c>
      <c r="N8" s="14" t="s">
        <v>1033</v>
      </c>
      <c r="O8" s="14" t="s">
        <v>1033</v>
      </c>
      <c r="P8" s="14" t="s">
        <v>1033</v>
      </c>
      <c r="Q8" s="14" t="s">
        <v>1033</v>
      </c>
      <c r="R8" s="14" t="s">
        <v>1033</v>
      </c>
      <c r="S8" s="14" t="s">
        <v>1033</v>
      </c>
      <c r="T8" s="14" t="s">
        <v>1033</v>
      </c>
      <c r="U8" s="14" t="s">
        <v>1033</v>
      </c>
      <c r="V8" s="14" t="s">
        <v>1033</v>
      </c>
      <c r="W8" s="14" t="s">
        <v>1033</v>
      </c>
      <c r="X8" s="14" t="s">
        <v>1033</v>
      </c>
      <c r="Y8" s="14" t="s">
        <v>1033</v>
      </c>
      <c r="Z8" s="14" t="s">
        <v>1033</v>
      </c>
      <c r="AA8" s="14" t="s">
        <v>1033</v>
      </c>
    </row>
    <row r="9" spans="1:27" x14ac:dyDescent="0.25">
      <c r="A9" s="11" t="s">
        <v>297</v>
      </c>
      <c r="B9" s="11" t="s">
        <v>298</v>
      </c>
      <c r="C9" s="14" t="s">
        <v>1033</v>
      </c>
      <c r="D9" s="14" t="s">
        <v>1033</v>
      </c>
      <c r="E9" s="14">
        <v>55</v>
      </c>
      <c r="F9" s="14" t="s">
        <v>1033</v>
      </c>
      <c r="G9" s="14" t="s">
        <v>1033</v>
      </c>
      <c r="H9" s="14" t="s">
        <v>1033</v>
      </c>
      <c r="I9" s="14" t="s">
        <v>1033</v>
      </c>
      <c r="J9" s="14">
        <v>372</v>
      </c>
      <c r="K9" s="14" t="s">
        <v>1033</v>
      </c>
      <c r="L9" s="14" t="s">
        <v>1033</v>
      </c>
      <c r="M9" s="14" t="s">
        <v>1033</v>
      </c>
      <c r="N9" s="14" t="s">
        <v>1033</v>
      </c>
      <c r="O9" s="14" t="s">
        <v>1033</v>
      </c>
      <c r="P9" s="14" t="s">
        <v>1033</v>
      </c>
      <c r="Q9" s="14" t="s">
        <v>1033</v>
      </c>
      <c r="R9" s="14" t="s">
        <v>1033</v>
      </c>
      <c r="S9" s="14" t="s">
        <v>1033</v>
      </c>
      <c r="T9" s="14" t="s">
        <v>1033</v>
      </c>
      <c r="U9" s="14" t="s">
        <v>1033</v>
      </c>
      <c r="V9" s="14" t="s">
        <v>1033</v>
      </c>
      <c r="W9" s="14" t="s">
        <v>1033</v>
      </c>
      <c r="X9" s="14" t="s">
        <v>1033</v>
      </c>
      <c r="Y9" s="14" t="s">
        <v>1033</v>
      </c>
      <c r="Z9" s="14" t="s">
        <v>1033</v>
      </c>
      <c r="AA9" s="14" t="s">
        <v>1033</v>
      </c>
    </row>
    <row r="10" spans="1:27" x14ac:dyDescent="0.25">
      <c r="A10" s="11" t="s">
        <v>299</v>
      </c>
      <c r="B10" s="11" t="s">
        <v>300</v>
      </c>
      <c r="C10" s="14">
        <v>-88</v>
      </c>
      <c r="D10" s="14" t="s">
        <v>1033</v>
      </c>
      <c r="E10" s="14" t="s">
        <v>1033</v>
      </c>
      <c r="F10" s="14">
        <v>-514</v>
      </c>
      <c r="G10" s="14">
        <v>-87</v>
      </c>
      <c r="H10" s="14" t="s">
        <v>1033</v>
      </c>
      <c r="I10" s="14">
        <v>252</v>
      </c>
      <c r="J10" s="14">
        <v>221</v>
      </c>
      <c r="K10" s="14">
        <v>-140</v>
      </c>
      <c r="L10" s="14">
        <v>-196</v>
      </c>
      <c r="M10" s="14">
        <v>-107</v>
      </c>
      <c r="N10" s="14">
        <v>-186</v>
      </c>
      <c r="O10" s="14">
        <v>-140</v>
      </c>
      <c r="P10" s="14">
        <v>-155</v>
      </c>
      <c r="Q10" s="14">
        <v>-247</v>
      </c>
      <c r="R10" s="14">
        <v>-391</v>
      </c>
      <c r="S10" s="14">
        <v>144</v>
      </c>
      <c r="T10" s="14">
        <v>-213</v>
      </c>
      <c r="U10" s="14">
        <v>-245</v>
      </c>
      <c r="V10" s="14">
        <v>-11</v>
      </c>
      <c r="W10" s="14">
        <v>177</v>
      </c>
      <c r="X10" s="14">
        <v>-95</v>
      </c>
      <c r="Y10" s="14">
        <v>-105</v>
      </c>
      <c r="Z10" s="14">
        <v>33</v>
      </c>
      <c r="AA10" s="14">
        <v>100</v>
      </c>
    </row>
    <row r="11" spans="1:27" x14ac:dyDescent="0.25">
      <c r="A11" s="7" t="s">
        <v>291</v>
      </c>
      <c r="B11" s="7" t="s">
        <v>292</v>
      </c>
      <c r="C11" s="20">
        <v>12371</v>
      </c>
      <c r="D11" s="20">
        <v>8348</v>
      </c>
      <c r="E11" s="20">
        <v>12098.445</v>
      </c>
      <c r="F11" s="20">
        <v>8183.7988999999998</v>
      </c>
      <c r="G11" s="20">
        <v>11247</v>
      </c>
      <c r="H11" s="20">
        <v>11314</v>
      </c>
      <c r="I11" s="20">
        <v>12229</v>
      </c>
      <c r="J11" s="20">
        <v>11930.975</v>
      </c>
      <c r="K11" s="20">
        <v>15075</v>
      </c>
      <c r="L11" s="20">
        <v>15196</v>
      </c>
      <c r="M11" s="20">
        <v>15783</v>
      </c>
      <c r="N11" s="20">
        <v>15304.9979</v>
      </c>
      <c r="O11" s="20">
        <v>17605</v>
      </c>
      <c r="P11" s="20">
        <v>17947</v>
      </c>
      <c r="Q11" s="20">
        <v>17735</v>
      </c>
      <c r="R11" s="20">
        <v>16753</v>
      </c>
      <c r="S11" s="20">
        <v>20270</v>
      </c>
      <c r="T11" s="20">
        <v>18433</v>
      </c>
      <c r="U11" s="20">
        <v>19589</v>
      </c>
      <c r="V11" s="20">
        <v>18353</v>
      </c>
      <c r="W11" s="20">
        <v>22151</v>
      </c>
      <c r="X11" s="20">
        <v>19579</v>
      </c>
      <c r="Y11" s="20">
        <v>18595</v>
      </c>
      <c r="Z11" s="20">
        <v>23255</v>
      </c>
      <c r="AA11" s="20">
        <v>22162</v>
      </c>
    </row>
    <row r="12" spans="1:27" x14ac:dyDescent="0.25">
      <c r="A12" s="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7" t="s">
        <v>545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7" t="s">
        <v>546</v>
      </c>
      <c r="B14" s="7" t="s">
        <v>76</v>
      </c>
      <c r="C14" s="20">
        <v>9118</v>
      </c>
      <c r="D14" s="20">
        <v>6518</v>
      </c>
      <c r="E14" s="20">
        <v>8905.8492000000006</v>
      </c>
      <c r="F14" s="20">
        <v>5966.0325999999995</v>
      </c>
      <c r="G14" s="20">
        <v>8544</v>
      </c>
      <c r="H14" s="20">
        <v>8568</v>
      </c>
      <c r="I14" s="20">
        <v>8874</v>
      </c>
      <c r="J14" s="20">
        <v>9061.3258000000005</v>
      </c>
      <c r="K14" s="20">
        <v>10748</v>
      </c>
      <c r="L14" s="20">
        <v>11523</v>
      </c>
      <c r="M14" s="20">
        <v>11544</v>
      </c>
      <c r="N14" s="20">
        <v>11591.899299999999</v>
      </c>
      <c r="O14" s="20">
        <v>13018</v>
      </c>
      <c r="P14" s="20">
        <v>13088</v>
      </c>
      <c r="Q14" s="20">
        <v>13268</v>
      </c>
      <c r="R14" s="20">
        <v>13043</v>
      </c>
      <c r="S14" s="20">
        <v>14208</v>
      </c>
      <c r="T14" s="20">
        <v>14018</v>
      </c>
      <c r="U14" s="20">
        <v>14238</v>
      </c>
      <c r="V14" s="20">
        <v>13724</v>
      </c>
      <c r="W14" s="20">
        <v>15288</v>
      </c>
      <c r="X14" s="20">
        <v>14618</v>
      </c>
      <c r="Y14" s="20">
        <v>13008</v>
      </c>
      <c r="Z14" s="20">
        <v>15874</v>
      </c>
      <c r="AA14" s="20">
        <v>15458</v>
      </c>
    </row>
    <row r="15" spans="1:27" x14ac:dyDescent="0.25">
      <c r="A15" s="11" t="s">
        <v>312</v>
      </c>
      <c r="B15" s="11" t="s">
        <v>313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248</v>
      </c>
      <c r="V15" s="14">
        <v>366</v>
      </c>
      <c r="W15" s="14">
        <v>299</v>
      </c>
      <c r="X15" s="14">
        <v>0</v>
      </c>
      <c r="Y15" s="14">
        <v>1518</v>
      </c>
      <c r="Z15" s="14">
        <v>155</v>
      </c>
      <c r="AA15" s="14">
        <v>179</v>
      </c>
    </row>
    <row r="16" spans="1:27" x14ac:dyDescent="0.25">
      <c r="A16" s="11" t="s">
        <v>547</v>
      </c>
      <c r="B16" s="11" t="s">
        <v>315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</row>
    <row r="17" spans="1:27" x14ac:dyDescent="0.25">
      <c r="A17" s="7" t="s">
        <v>548</v>
      </c>
      <c r="B17" s="7" t="s">
        <v>549</v>
      </c>
      <c r="C17" s="20">
        <v>9118</v>
      </c>
      <c r="D17" s="20">
        <v>6518</v>
      </c>
      <c r="E17" s="20">
        <v>8905.8492000000006</v>
      </c>
      <c r="F17" s="20">
        <v>5966.0325999999995</v>
      </c>
      <c r="G17" s="20">
        <v>8544</v>
      </c>
      <c r="H17" s="20">
        <v>8568</v>
      </c>
      <c r="I17" s="20">
        <v>8874</v>
      </c>
      <c r="J17" s="20">
        <v>9061.3258000000005</v>
      </c>
      <c r="K17" s="20">
        <v>10748</v>
      </c>
      <c r="L17" s="20">
        <v>11523</v>
      </c>
      <c r="M17" s="20">
        <v>11544</v>
      </c>
      <c r="N17" s="20">
        <v>11591.899299999999</v>
      </c>
      <c r="O17" s="20">
        <v>13018</v>
      </c>
      <c r="P17" s="20">
        <v>13088</v>
      </c>
      <c r="Q17" s="20">
        <v>13268</v>
      </c>
      <c r="R17" s="20">
        <v>13043</v>
      </c>
      <c r="S17" s="20">
        <v>14208</v>
      </c>
      <c r="T17" s="20">
        <v>14018</v>
      </c>
      <c r="U17" s="20">
        <v>14486</v>
      </c>
      <c r="V17" s="20">
        <v>14090</v>
      </c>
      <c r="W17" s="20">
        <v>15587</v>
      </c>
      <c r="X17" s="20">
        <v>14618</v>
      </c>
      <c r="Y17" s="20">
        <v>14526</v>
      </c>
      <c r="Z17" s="20">
        <v>16211</v>
      </c>
      <c r="AA17" s="20">
        <v>15637</v>
      </c>
    </row>
    <row r="18" spans="1:27" x14ac:dyDescent="0.25">
      <c r="A18" s="11" t="s">
        <v>544</v>
      </c>
      <c r="B18" s="11" t="s">
        <v>550</v>
      </c>
      <c r="C18" s="14" t="s">
        <v>1033</v>
      </c>
      <c r="D18" s="14">
        <v>-92.4</v>
      </c>
      <c r="E18" s="14">
        <v>-115.5</v>
      </c>
      <c r="F18" s="14">
        <v>629.29999999999995</v>
      </c>
      <c r="G18" s="14" t="s">
        <v>1033</v>
      </c>
      <c r="H18" s="14">
        <v>-92.4</v>
      </c>
      <c r="I18" s="14" t="s">
        <v>1033</v>
      </c>
      <c r="J18" s="14" t="s">
        <v>1033</v>
      </c>
      <c r="K18" s="14" t="s">
        <v>1033</v>
      </c>
      <c r="L18" s="14" t="s">
        <v>1033</v>
      </c>
      <c r="M18" s="14" t="s">
        <v>1033</v>
      </c>
      <c r="N18" s="14" t="s">
        <v>1033</v>
      </c>
      <c r="O18" s="14" t="s">
        <v>1033</v>
      </c>
      <c r="P18" s="14" t="s">
        <v>1033</v>
      </c>
      <c r="Q18" s="14" t="s">
        <v>1033</v>
      </c>
      <c r="R18" s="14" t="s">
        <v>1033</v>
      </c>
      <c r="S18" s="14" t="s">
        <v>1033</v>
      </c>
      <c r="T18" s="14" t="s">
        <v>1033</v>
      </c>
      <c r="U18" s="14" t="s">
        <v>1033</v>
      </c>
      <c r="V18" s="14" t="s">
        <v>1033</v>
      </c>
      <c r="W18" s="14" t="s">
        <v>1033</v>
      </c>
      <c r="X18" s="14" t="s">
        <v>1033</v>
      </c>
      <c r="Y18" s="14" t="s">
        <v>1033</v>
      </c>
      <c r="Z18" s="14" t="s">
        <v>1033</v>
      </c>
      <c r="AA18" s="14" t="s">
        <v>1033</v>
      </c>
    </row>
    <row r="19" spans="1:27" x14ac:dyDescent="0.25">
      <c r="A19" s="11" t="s">
        <v>297</v>
      </c>
      <c r="B19" s="11" t="s">
        <v>551</v>
      </c>
      <c r="C19" s="14" t="s">
        <v>1033</v>
      </c>
      <c r="D19" s="14" t="s">
        <v>1033</v>
      </c>
      <c r="E19" s="14">
        <v>38.5</v>
      </c>
      <c r="F19" s="14" t="s">
        <v>1033</v>
      </c>
      <c r="G19" s="14" t="s">
        <v>1033</v>
      </c>
      <c r="H19" s="14" t="s">
        <v>1033</v>
      </c>
      <c r="I19" s="14" t="s">
        <v>1033</v>
      </c>
      <c r="J19" s="14">
        <v>260.39999999999998</v>
      </c>
      <c r="K19" s="14" t="s">
        <v>1033</v>
      </c>
      <c r="L19" s="14" t="s">
        <v>1033</v>
      </c>
      <c r="M19" s="14" t="s">
        <v>1033</v>
      </c>
      <c r="N19" s="14" t="s">
        <v>1033</v>
      </c>
      <c r="O19" s="14" t="s">
        <v>1033</v>
      </c>
      <c r="P19" s="14" t="s">
        <v>1033</v>
      </c>
      <c r="Q19" s="14" t="s">
        <v>1033</v>
      </c>
      <c r="R19" s="14" t="s">
        <v>1033</v>
      </c>
      <c r="S19" s="14" t="s">
        <v>1033</v>
      </c>
      <c r="T19" s="14" t="s">
        <v>1033</v>
      </c>
      <c r="U19" s="14" t="s">
        <v>1033</v>
      </c>
      <c r="V19" s="14" t="s">
        <v>1033</v>
      </c>
      <c r="W19" s="14" t="s">
        <v>1033</v>
      </c>
      <c r="X19" s="14" t="s">
        <v>1033</v>
      </c>
      <c r="Y19" s="14" t="s">
        <v>1033</v>
      </c>
      <c r="Z19" s="14" t="s">
        <v>1033</v>
      </c>
      <c r="AA19" s="14" t="s">
        <v>1033</v>
      </c>
    </row>
    <row r="20" spans="1:27" x14ac:dyDescent="0.25">
      <c r="A20" s="11" t="s">
        <v>299</v>
      </c>
      <c r="B20" s="11" t="s">
        <v>552</v>
      </c>
      <c r="C20" s="14">
        <v>-61.6</v>
      </c>
      <c r="D20" s="14" t="s">
        <v>1033</v>
      </c>
      <c r="E20" s="14" t="s">
        <v>1033</v>
      </c>
      <c r="F20" s="14">
        <v>-359.8</v>
      </c>
      <c r="G20" s="14">
        <v>-60.9</v>
      </c>
      <c r="H20" s="14" t="s">
        <v>1033</v>
      </c>
      <c r="I20" s="14">
        <v>176.4</v>
      </c>
      <c r="J20" s="14">
        <v>154.69999999999999</v>
      </c>
      <c r="K20" s="14">
        <v>-98</v>
      </c>
      <c r="L20" s="14">
        <v>-137.19999999999999</v>
      </c>
      <c r="M20" s="14">
        <v>-74.900000000000006</v>
      </c>
      <c r="N20" s="14">
        <v>-130.19999999999999</v>
      </c>
      <c r="O20" s="14">
        <v>-98</v>
      </c>
      <c r="P20" s="14">
        <v>-108.5</v>
      </c>
      <c r="Q20" s="14">
        <v>-172.9</v>
      </c>
      <c r="R20" s="14">
        <v>-273.7</v>
      </c>
      <c r="S20" s="14">
        <v>100.8</v>
      </c>
      <c r="T20" s="14">
        <v>-149.1</v>
      </c>
      <c r="U20" s="14">
        <v>-171.5</v>
      </c>
      <c r="V20" s="14">
        <v>-7.7</v>
      </c>
      <c r="W20" s="14">
        <v>123.9</v>
      </c>
      <c r="X20" s="14">
        <v>-66.5</v>
      </c>
      <c r="Y20" s="14">
        <v>-73.5</v>
      </c>
      <c r="Z20" s="14">
        <v>23.1</v>
      </c>
      <c r="AA20" s="14">
        <v>70</v>
      </c>
    </row>
    <row r="21" spans="1:27" x14ac:dyDescent="0.25">
      <c r="A21" s="7" t="s">
        <v>327</v>
      </c>
      <c r="B21" s="7" t="s">
        <v>76</v>
      </c>
      <c r="C21" s="20">
        <v>9056.4</v>
      </c>
      <c r="D21" s="20">
        <v>6425.6</v>
      </c>
      <c r="E21" s="20">
        <v>8828.8492000000006</v>
      </c>
      <c r="F21" s="20">
        <v>6235.5325999999995</v>
      </c>
      <c r="G21" s="20">
        <v>8483.1</v>
      </c>
      <c r="H21" s="20">
        <v>8475.6</v>
      </c>
      <c r="I21" s="20">
        <v>9050.4</v>
      </c>
      <c r="J21" s="20">
        <v>9476.4258000000009</v>
      </c>
      <c r="K21" s="20">
        <v>10650</v>
      </c>
      <c r="L21" s="20">
        <v>11385.8</v>
      </c>
      <c r="M21" s="20">
        <v>11469.1</v>
      </c>
      <c r="N21" s="20">
        <v>11461.6993</v>
      </c>
      <c r="O21" s="20">
        <v>12920</v>
      </c>
      <c r="P21" s="20">
        <v>12979.5</v>
      </c>
      <c r="Q21" s="20">
        <v>13095.1</v>
      </c>
      <c r="R21" s="20">
        <v>12769.3</v>
      </c>
      <c r="S21" s="20">
        <v>14308.8</v>
      </c>
      <c r="T21" s="20">
        <v>13868.9</v>
      </c>
      <c r="U21" s="20">
        <v>14314.5</v>
      </c>
      <c r="V21" s="20">
        <v>14082.3</v>
      </c>
      <c r="W21" s="20">
        <v>15710.9</v>
      </c>
      <c r="X21" s="20">
        <v>14551.5</v>
      </c>
      <c r="Y21" s="20">
        <v>14452.5</v>
      </c>
      <c r="Z21" s="20">
        <v>16052.1</v>
      </c>
      <c r="AA21" s="20">
        <v>15707</v>
      </c>
    </row>
    <row r="22" spans="1:27" x14ac:dyDescent="0.25">
      <c r="A22" s="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7" t="s">
        <v>553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7" t="s">
        <v>103</v>
      </c>
      <c r="B24" s="7" t="s">
        <v>104</v>
      </c>
      <c r="C24" s="21">
        <v>3.1621000000000001</v>
      </c>
      <c r="D24" s="21">
        <v>2.2604000000000002</v>
      </c>
      <c r="E24" s="21">
        <v>3.0886</v>
      </c>
      <c r="F24" s="21">
        <v>2.1798000000000002</v>
      </c>
      <c r="G24" s="21">
        <v>2.9630999999999998</v>
      </c>
      <c r="H24" s="21">
        <v>2.9714</v>
      </c>
      <c r="I24" s="21">
        <v>3.0775999999999999</v>
      </c>
      <c r="J24" s="21">
        <v>3.2602000000000002</v>
      </c>
      <c r="K24" s="21">
        <v>3.7273999999999998</v>
      </c>
      <c r="L24" s="21">
        <v>3.9962</v>
      </c>
      <c r="M24" s="21">
        <v>4.0034999999999998</v>
      </c>
      <c r="N24" s="21">
        <v>4.0201000000000002</v>
      </c>
      <c r="O24" s="21">
        <v>4.5147000000000004</v>
      </c>
      <c r="P24" s="21">
        <v>4.5389999999999997</v>
      </c>
      <c r="Q24" s="21">
        <v>4.6013999999999999</v>
      </c>
      <c r="R24" s="21">
        <v>4.5233999999999996</v>
      </c>
      <c r="S24" s="21">
        <v>4.9273999999999996</v>
      </c>
      <c r="T24" s="21">
        <v>4.8615000000000004</v>
      </c>
      <c r="U24" s="21">
        <v>4.9378000000000002</v>
      </c>
      <c r="V24" s="21">
        <v>4.9960000000000004</v>
      </c>
      <c r="W24" s="21">
        <v>5.4344999999999999</v>
      </c>
      <c r="X24" s="21">
        <v>5.1456999999999997</v>
      </c>
      <c r="Y24" s="21">
        <v>4.6239999999999997</v>
      </c>
      <c r="Z24" s="21">
        <v>5.5777999999999999</v>
      </c>
      <c r="AA24" s="21">
        <v>5.4949000000000003</v>
      </c>
    </row>
    <row r="25" spans="1:27" x14ac:dyDescent="0.25">
      <c r="A25" s="11" t="s">
        <v>312</v>
      </c>
      <c r="B25" s="11" t="s">
        <v>554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8.5999999999999993E-2</v>
      </c>
      <c r="V25" s="15">
        <v>0.13320000000000001</v>
      </c>
      <c r="W25" s="15">
        <v>0.10630000000000001</v>
      </c>
      <c r="X25" s="15">
        <v>0</v>
      </c>
      <c r="Y25" s="15">
        <v>0.53959999999999997</v>
      </c>
      <c r="Z25" s="15">
        <v>5.45E-2</v>
      </c>
      <c r="AA25" s="15">
        <v>6.3600000000000004E-2</v>
      </c>
    </row>
    <row r="26" spans="1:27" x14ac:dyDescent="0.25">
      <c r="A26" s="11" t="s">
        <v>547</v>
      </c>
      <c r="B26" s="11" t="s">
        <v>555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 x14ac:dyDescent="0.25">
      <c r="A27" s="7" t="s">
        <v>337</v>
      </c>
      <c r="B27" s="7" t="s">
        <v>338</v>
      </c>
      <c r="C27" s="21">
        <v>3.1621000000000001</v>
      </c>
      <c r="D27" s="21">
        <v>2.2604000000000002</v>
      </c>
      <c r="E27" s="21">
        <v>3.0886</v>
      </c>
      <c r="F27" s="21">
        <v>2.1798000000000002</v>
      </c>
      <c r="G27" s="21">
        <v>2.9630999999999998</v>
      </c>
      <c r="H27" s="21">
        <v>2.9714</v>
      </c>
      <c r="I27" s="21">
        <v>3.0775999999999999</v>
      </c>
      <c r="J27" s="21">
        <v>3.2602000000000002</v>
      </c>
      <c r="K27" s="21">
        <v>3.7273999999999998</v>
      </c>
      <c r="L27" s="21">
        <v>3.9962</v>
      </c>
      <c r="M27" s="21">
        <v>4.0034999999999998</v>
      </c>
      <c r="N27" s="21">
        <v>4.0201000000000002</v>
      </c>
      <c r="O27" s="21">
        <v>4.5147000000000004</v>
      </c>
      <c r="P27" s="21">
        <v>4.5389999999999997</v>
      </c>
      <c r="Q27" s="21">
        <v>4.6013999999999999</v>
      </c>
      <c r="R27" s="21">
        <v>4.5233999999999996</v>
      </c>
      <c r="S27" s="21">
        <v>4.9273999999999996</v>
      </c>
      <c r="T27" s="21">
        <v>4.8615000000000004</v>
      </c>
      <c r="U27" s="21">
        <v>5.0237999999999996</v>
      </c>
      <c r="V27" s="21">
        <v>5.1292</v>
      </c>
      <c r="W27" s="21">
        <v>5.5407999999999999</v>
      </c>
      <c r="X27" s="21">
        <v>5.1456999999999997</v>
      </c>
      <c r="Y27" s="21">
        <v>5.1635999999999997</v>
      </c>
      <c r="Z27" s="21">
        <v>5.6322999999999999</v>
      </c>
      <c r="AA27" s="21">
        <v>5.5585000000000004</v>
      </c>
    </row>
    <row r="28" spans="1:27" x14ac:dyDescent="0.25">
      <c r="A28" s="11" t="s">
        <v>544</v>
      </c>
      <c r="B28" s="11" t="s">
        <v>556</v>
      </c>
      <c r="C28" s="15" t="s">
        <v>1033</v>
      </c>
      <c r="D28" s="15">
        <v>-3.2000000000000001E-2</v>
      </c>
      <c r="E28" s="15">
        <v>-4.0099999999999997E-2</v>
      </c>
      <c r="F28" s="15">
        <v>0.22989999999999999</v>
      </c>
      <c r="G28" s="15" t="s">
        <v>1033</v>
      </c>
      <c r="H28" s="15">
        <v>-3.2000000000000001E-2</v>
      </c>
      <c r="I28" s="15" t="s">
        <v>1033</v>
      </c>
      <c r="J28" s="15" t="s">
        <v>1033</v>
      </c>
      <c r="K28" s="15" t="s">
        <v>1033</v>
      </c>
      <c r="L28" s="15" t="s">
        <v>1033</v>
      </c>
      <c r="M28" s="15" t="s">
        <v>1033</v>
      </c>
      <c r="N28" s="15" t="s">
        <v>1033</v>
      </c>
      <c r="O28" s="15" t="s">
        <v>1033</v>
      </c>
      <c r="P28" s="15" t="s">
        <v>1033</v>
      </c>
      <c r="Q28" s="15" t="s">
        <v>1033</v>
      </c>
      <c r="R28" s="15" t="s">
        <v>1033</v>
      </c>
      <c r="S28" s="15" t="s">
        <v>1033</v>
      </c>
      <c r="T28" s="15" t="s">
        <v>1033</v>
      </c>
      <c r="U28" s="15" t="s">
        <v>1033</v>
      </c>
      <c r="V28" s="15" t="s">
        <v>1033</v>
      </c>
      <c r="W28" s="15" t="s">
        <v>1033</v>
      </c>
      <c r="X28" s="15" t="s">
        <v>1033</v>
      </c>
      <c r="Y28" s="15" t="s">
        <v>1033</v>
      </c>
      <c r="Z28" s="15" t="s">
        <v>1033</v>
      </c>
      <c r="AA28" s="15" t="s">
        <v>1033</v>
      </c>
    </row>
    <row r="29" spans="1:27" x14ac:dyDescent="0.25">
      <c r="A29" s="11" t="s">
        <v>297</v>
      </c>
      <c r="B29" s="11" t="s">
        <v>557</v>
      </c>
      <c r="C29" s="15" t="s">
        <v>1033</v>
      </c>
      <c r="D29" s="15" t="s">
        <v>1033</v>
      </c>
      <c r="E29" s="15">
        <v>1.34E-2</v>
      </c>
      <c r="F29" s="15" t="s">
        <v>1033</v>
      </c>
      <c r="G29" s="15" t="s">
        <v>1033</v>
      </c>
      <c r="H29" s="15" t="s">
        <v>1033</v>
      </c>
      <c r="I29" s="15" t="s">
        <v>1033</v>
      </c>
      <c r="J29" s="15">
        <v>9.3700000000000006E-2</v>
      </c>
      <c r="K29" s="15" t="s">
        <v>1033</v>
      </c>
      <c r="L29" s="15" t="s">
        <v>1033</v>
      </c>
      <c r="M29" s="15" t="s">
        <v>1033</v>
      </c>
      <c r="N29" s="15" t="s">
        <v>1033</v>
      </c>
      <c r="O29" s="15" t="s">
        <v>1033</v>
      </c>
      <c r="P29" s="15" t="s">
        <v>1033</v>
      </c>
      <c r="Q29" s="15" t="s">
        <v>1033</v>
      </c>
      <c r="R29" s="15" t="s">
        <v>1033</v>
      </c>
      <c r="S29" s="15" t="s">
        <v>1033</v>
      </c>
      <c r="T29" s="15" t="s">
        <v>1033</v>
      </c>
      <c r="U29" s="15" t="s">
        <v>1033</v>
      </c>
      <c r="V29" s="15" t="s">
        <v>1033</v>
      </c>
      <c r="W29" s="15" t="s">
        <v>1033</v>
      </c>
      <c r="X29" s="15" t="s">
        <v>1033</v>
      </c>
      <c r="Y29" s="15" t="s">
        <v>1033</v>
      </c>
      <c r="Z29" s="15" t="s">
        <v>1033</v>
      </c>
      <c r="AA29" s="15" t="s">
        <v>1033</v>
      </c>
    </row>
    <row r="30" spans="1:27" x14ac:dyDescent="0.25">
      <c r="A30" s="11" t="s">
        <v>558</v>
      </c>
      <c r="B30" s="11" t="s">
        <v>559</v>
      </c>
      <c r="C30" s="15">
        <v>-2.1399999999999999E-2</v>
      </c>
      <c r="D30" s="15" t="s">
        <v>1033</v>
      </c>
      <c r="E30" s="15" t="s">
        <v>1033</v>
      </c>
      <c r="F30" s="15">
        <v>-0.13150000000000001</v>
      </c>
      <c r="G30" s="15">
        <v>-2.1100000000000001E-2</v>
      </c>
      <c r="H30" s="15" t="s">
        <v>1033</v>
      </c>
      <c r="I30" s="15">
        <v>6.1199999999999997E-2</v>
      </c>
      <c r="J30" s="15">
        <v>5.57E-2</v>
      </c>
      <c r="K30" s="15">
        <v>-3.4000000000000002E-2</v>
      </c>
      <c r="L30" s="15">
        <v>-4.7600000000000003E-2</v>
      </c>
      <c r="M30" s="15">
        <v>-2.5999999999999999E-2</v>
      </c>
      <c r="N30" s="15">
        <v>-4.5199999999999997E-2</v>
      </c>
      <c r="O30" s="15">
        <v>-3.4000000000000002E-2</v>
      </c>
      <c r="P30" s="15">
        <v>-3.7600000000000001E-2</v>
      </c>
      <c r="Q30" s="15">
        <v>-0.06</v>
      </c>
      <c r="R30" s="15">
        <v>-9.4899999999999998E-2</v>
      </c>
      <c r="S30" s="15">
        <v>3.5000000000000003E-2</v>
      </c>
      <c r="T30" s="15">
        <v>-5.1700000000000003E-2</v>
      </c>
      <c r="U30" s="15">
        <v>-5.9499999999999997E-2</v>
      </c>
      <c r="V30" s="15">
        <v>-2.8E-3</v>
      </c>
      <c r="W30" s="15">
        <v>4.3999999999999997E-2</v>
      </c>
      <c r="X30" s="15">
        <v>-2.3400000000000001E-2</v>
      </c>
      <c r="Y30" s="15">
        <v>-2.6100000000000002E-2</v>
      </c>
      <c r="Z30" s="15">
        <v>8.0999999999999996E-3</v>
      </c>
      <c r="AA30" s="15">
        <v>2.4899999999999999E-2</v>
      </c>
    </row>
    <row r="31" spans="1:27" x14ac:dyDescent="0.25">
      <c r="A31" s="7" t="s">
        <v>560</v>
      </c>
      <c r="B31" s="7" t="s">
        <v>78</v>
      </c>
      <c r="C31" s="21">
        <v>3.1408</v>
      </c>
      <c r="D31" s="21">
        <v>2.2284000000000002</v>
      </c>
      <c r="E31" s="21">
        <v>3.0619000000000001</v>
      </c>
      <c r="F31" s="21">
        <v>2.2782</v>
      </c>
      <c r="G31" s="21">
        <v>2.9419</v>
      </c>
      <c r="H31" s="21">
        <v>2.9392999999999998</v>
      </c>
      <c r="I31" s="21">
        <v>3.1387</v>
      </c>
      <c r="J31" s="21">
        <v>3.4095</v>
      </c>
      <c r="K31" s="21">
        <v>3.6934</v>
      </c>
      <c r="L31" s="21">
        <v>3.9487000000000001</v>
      </c>
      <c r="M31" s="21">
        <v>3.9775999999999998</v>
      </c>
      <c r="N31" s="21">
        <v>3.9750000000000001</v>
      </c>
      <c r="O31" s="21">
        <v>4.4806999999999997</v>
      </c>
      <c r="P31" s="21">
        <v>4.5014000000000003</v>
      </c>
      <c r="Q31" s="21">
        <v>4.5415000000000001</v>
      </c>
      <c r="R31" s="21">
        <v>4.4284999999999997</v>
      </c>
      <c r="S31" s="21">
        <v>4.9623999999999997</v>
      </c>
      <c r="T31" s="21">
        <v>4.8098000000000001</v>
      </c>
      <c r="U31" s="21">
        <v>4.9644000000000004</v>
      </c>
      <c r="V31" s="21">
        <v>5.1264000000000003</v>
      </c>
      <c r="W31" s="21">
        <v>5.5848000000000004</v>
      </c>
      <c r="X31" s="21">
        <v>5.1223000000000001</v>
      </c>
      <c r="Y31" s="21">
        <v>5.1375000000000002</v>
      </c>
      <c r="Z31" s="21">
        <v>5.6403999999999996</v>
      </c>
      <c r="AA31" s="21">
        <v>5.5834000000000001</v>
      </c>
    </row>
    <row r="32" spans="1:27" x14ac:dyDescent="0.25">
      <c r="A32" s="8" t="s">
        <v>84</v>
      </c>
      <c r="B32" s="8"/>
      <c r="C32" s="8" t="s">
        <v>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4"/>
  <sheetViews>
    <sheetView workbookViewId="0">
      <selection activeCell="L21" sqref="L21"/>
    </sheetView>
  </sheetViews>
  <sheetFormatPr baseColWidth="10"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0.25" x14ac:dyDescent="0.25">
      <c r="A2" s="9" t="s">
        <v>561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4" t="s">
        <v>86</v>
      </c>
      <c r="B4" s="4"/>
      <c r="C4" s="5" t="s">
        <v>365</v>
      </c>
      <c r="D4" s="5" t="s">
        <v>562</v>
      </c>
      <c r="E4" s="5" t="s">
        <v>7</v>
      </c>
      <c r="F4" s="5" t="s">
        <v>8</v>
      </c>
      <c r="G4" s="5" t="s">
        <v>9</v>
      </c>
      <c r="H4" s="5" t="s">
        <v>12</v>
      </c>
      <c r="I4" s="5" t="s">
        <v>13</v>
      </c>
      <c r="J4" s="5" t="s">
        <v>19</v>
      </c>
      <c r="K4" s="5" t="s">
        <v>20</v>
      </c>
      <c r="L4" s="5" t="s">
        <v>21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5" t="s">
        <v>28</v>
      </c>
      <c r="S4" s="5" t="s">
        <v>29</v>
      </c>
      <c r="T4" s="5" t="s">
        <v>30</v>
      </c>
    </row>
    <row r="5" spans="1:20" x14ac:dyDescent="0.25">
      <c r="A5" s="10" t="s">
        <v>31</v>
      </c>
      <c r="B5" s="10"/>
      <c r="C5" s="6" t="s">
        <v>366</v>
      </c>
      <c r="D5" s="6" t="s">
        <v>563</v>
      </c>
      <c r="E5" s="6" t="s">
        <v>33</v>
      </c>
      <c r="F5" s="6" t="s">
        <v>34</v>
      </c>
      <c r="G5" s="6" t="s">
        <v>35</v>
      </c>
      <c r="H5" s="6" t="s">
        <v>38</v>
      </c>
      <c r="I5" s="6" t="s">
        <v>39</v>
      </c>
      <c r="J5" s="6" t="s">
        <v>45</v>
      </c>
      <c r="K5" s="6" t="s">
        <v>46</v>
      </c>
      <c r="L5" s="6" t="s">
        <v>47</v>
      </c>
      <c r="M5" s="6" t="s">
        <v>49</v>
      </c>
      <c r="N5" s="6" t="s">
        <v>50</v>
      </c>
      <c r="O5" s="6" t="s">
        <v>51</v>
      </c>
      <c r="P5" s="6" t="s">
        <v>52</v>
      </c>
      <c r="Q5" s="6" t="s">
        <v>53</v>
      </c>
      <c r="R5" s="6" t="s">
        <v>54</v>
      </c>
      <c r="S5" s="6" t="s">
        <v>55</v>
      </c>
      <c r="T5" s="6" t="s">
        <v>56</v>
      </c>
    </row>
    <row r="6" spans="1:20" x14ac:dyDescent="0.25">
      <c r="A6" s="11" t="s">
        <v>553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x14ac:dyDescent="0.25">
      <c r="A7" s="11" t="s">
        <v>564</v>
      </c>
      <c r="B7" s="11" t="s">
        <v>565</v>
      </c>
      <c r="C7" s="15">
        <v>3.2846000000000002</v>
      </c>
      <c r="D7" s="15">
        <v>3.7624</v>
      </c>
      <c r="E7" s="15">
        <v>2.5619000000000001</v>
      </c>
      <c r="F7" s="15">
        <v>3.4260999999999999</v>
      </c>
      <c r="G7" s="15">
        <v>2.6680000000000001</v>
      </c>
      <c r="H7" s="15">
        <v>3.5230999999999999</v>
      </c>
      <c r="I7" s="15">
        <v>3.9790999999999999</v>
      </c>
      <c r="J7" s="15">
        <v>4.5490000000000004</v>
      </c>
      <c r="K7" s="15">
        <v>4.5903</v>
      </c>
      <c r="L7" s="15">
        <v>4.4806999999999997</v>
      </c>
      <c r="M7" s="15">
        <v>4.8282999999999996</v>
      </c>
      <c r="N7" s="15">
        <v>5.0064000000000002</v>
      </c>
      <c r="O7" s="15">
        <v>5.2660999999999998</v>
      </c>
      <c r="P7" s="15">
        <v>5.6551999999999998</v>
      </c>
      <c r="Q7" s="15">
        <v>5.1942000000000004</v>
      </c>
      <c r="R7" s="15">
        <v>5.1364999999999998</v>
      </c>
      <c r="S7" s="15">
        <v>5.7533000000000003</v>
      </c>
      <c r="T7" s="15">
        <v>5.6475999999999997</v>
      </c>
    </row>
    <row r="8" spans="1:20" x14ac:dyDescent="0.25">
      <c r="A8" s="11" t="s">
        <v>566</v>
      </c>
      <c r="B8" s="11" t="s">
        <v>567</v>
      </c>
      <c r="C8" s="15">
        <v>3.2846000000000002</v>
      </c>
      <c r="D8" s="15">
        <v>3.7624</v>
      </c>
      <c r="E8" s="15">
        <v>2.5619000000000001</v>
      </c>
      <c r="F8" s="15">
        <v>3.4260999999999999</v>
      </c>
      <c r="G8" s="15">
        <v>2.6680000000000001</v>
      </c>
      <c r="H8" s="15">
        <v>3.5230999999999999</v>
      </c>
      <c r="I8" s="15">
        <v>3.9790999999999999</v>
      </c>
      <c r="J8" s="15">
        <v>4.5490000000000004</v>
      </c>
      <c r="K8" s="15">
        <v>4.5903</v>
      </c>
      <c r="L8" s="15">
        <v>4.4806999999999997</v>
      </c>
      <c r="M8" s="15">
        <v>4.8282999999999996</v>
      </c>
      <c r="N8" s="15">
        <v>5.0064000000000002</v>
      </c>
      <c r="O8" s="15">
        <v>5.2660999999999998</v>
      </c>
      <c r="P8" s="15">
        <v>5.6551999999999998</v>
      </c>
      <c r="Q8" s="15">
        <v>5.1942000000000004</v>
      </c>
      <c r="R8" s="15">
        <v>5.1364999999999998</v>
      </c>
      <c r="S8" s="15">
        <v>5.7533000000000003</v>
      </c>
      <c r="T8" s="15">
        <v>5.6475999999999997</v>
      </c>
    </row>
    <row r="9" spans="1:20" x14ac:dyDescent="0.25">
      <c r="A9" s="11" t="s">
        <v>568</v>
      </c>
      <c r="B9" s="11" t="s">
        <v>569</v>
      </c>
      <c r="C9" s="15">
        <v>3.2846000000000002</v>
      </c>
      <c r="D9" s="15">
        <v>3.7624</v>
      </c>
      <c r="E9" s="15">
        <v>2.5619000000000001</v>
      </c>
      <c r="F9" s="15">
        <v>3.4260999999999999</v>
      </c>
      <c r="G9" s="15">
        <v>2.6680000000000001</v>
      </c>
      <c r="H9" s="15">
        <v>3.5230999999999999</v>
      </c>
      <c r="I9" s="15">
        <v>3.9790999999999999</v>
      </c>
      <c r="J9" s="15">
        <v>4.5490000000000004</v>
      </c>
      <c r="K9" s="15">
        <v>4.5903</v>
      </c>
      <c r="L9" s="15">
        <v>4.4806999999999997</v>
      </c>
      <c r="M9" s="15">
        <v>4.8282999999999996</v>
      </c>
      <c r="N9" s="15">
        <v>5.0064000000000002</v>
      </c>
      <c r="O9" s="15">
        <v>5.2660999999999998</v>
      </c>
      <c r="P9" s="15">
        <v>5.6551999999999998</v>
      </c>
      <c r="Q9" s="15">
        <v>5.1942000000000004</v>
      </c>
      <c r="R9" s="15">
        <v>5.1364999999999998</v>
      </c>
      <c r="S9" s="15">
        <v>5.7533000000000003</v>
      </c>
      <c r="T9" s="15">
        <v>5.6475999999999997</v>
      </c>
    </row>
    <row r="10" spans="1:20" x14ac:dyDescent="0.25">
      <c r="A10" s="11" t="s">
        <v>570</v>
      </c>
      <c r="B10" s="11" t="s">
        <v>571</v>
      </c>
      <c r="C10" s="15">
        <v>3.2846000000000002</v>
      </c>
      <c r="D10" s="15">
        <v>3.7624</v>
      </c>
      <c r="E10" s="15">
        <v>2.5619000000000001</v>
      </c>
      <c r="F10" s="15">
        <v>3.4260999999999999</v>
      </c>
      <c r="G10" s="15">
        <v>2.6680000000000001</v>
      </c>
      <c r="H10" s="15">
        <v>3.5230999999999999</v>
      </c>
      <c r="I10" s="15">
        <v>3.9790999999999999</v>
      </c>
      <c r="J10" s="15">
        <v>4.5490000000000004</v>
      </c>
      <c r="K10" s="15">
        <v>4.5903</v>
      </c>
      <c r="L10" s="15">
        <v>4.4806999999999997</v>
      </c>
      <c r="M10" s="15">
        <v>4.8282999999999996</v>
      </c>
      <c r="N10" s="15">
        <v>5.0064000000000002</v>
      </c>
      <c r="O10" s="15">
        <v>5.2660999999999998</v>
      </c>
      <c r="P10" s="15">
        <v>5.6551999999999998</v>
      </c>
      <c r="Q10" s="15">
        <v>5.1942000000000004</v>
      </c>
      <c r="R10" s="15">
        <v>5.1364999999999998</v>
      </c>
      <c r="S10" s="15">
        <v>5.7533000000000003</v>
      </c>
      <c r="T10" s="15">
        <v>5.6475999999999997</v>
      </c>
    </row>
    <row r="11" spans="1:20" x14ac:dyDescent="0.25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x14ac:dyDescent="0.25">
      <c r="A12" s="11" t="s">
        <v>572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x14ac:dyDescent="0.25">
      <c r="A13" s="11" t="s">
        <v>573</v>
      </c>
      <c r="B13" s="11" t="s">
        <v>574</v>
      </c>
      <c r="C13" s="14" t="s">
        <v>1033</v>
      </c>
      <c r="D13" s="14">
        <v>0</v>
      </c>
      <c r="E13" s="14" t="s">
        <v>1033</v>
      </c>
      <c r="F13" s="14" t="s">
        <v>1033</v>
      </c>
      <c r="G13" s="14" t="s">
        <v>1033</v>
      </c>
      <c r="H13" s="14" t="s">
        <v>1033</v>
      </c>
      <c r="I13" s="14" t="s">
        <v>1033</v>
      </c>
      <c r="J13" s="14" t="s">
        <v>1033</v>
      </c>
      <c r="K13" s="14" t="s">
        <v>1033</v>
      </c>
      <c r="L13" s="14" t="s">
        <v>1033</v>
      </c>
      <c r="M13" s="14" t="s">
        <v>1033</v>
      </c>
      <c r="N13" s="14" t="s">
        <v>1033</v>
      </c>
      <c r="O13" s="14" t="s">
        <v>1033</v>
      </c>
      <c r="P13" s="14" t="s">
        <v>1033</v>
      </c>
      <c r="Q13" s="14" t="s">
        <v>1033</v>
      </c>
      <c r="R13" s="14" t="s">
        <v>1033</v>
      </c>
      <c r="S13" s="14" t="s">
        <v>1033</v>
      </c>
      <c r="T13" s="14" t="s">
        <v>1033</v>
      </c>
    </row>
    <row r="14" spans="1:20" x14ac:dyDescent="0.25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x14ac:dyDescent="0.25">
      <c r="A15" s="1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x14ac:dyDescent="0.25">
      <c r="A16" s="11" t="s">
        <v>575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x14ac:dyDescent="0.25">
      <c r="A17" s="11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x14ac:dyDescent="0.25">
      <c r="A18" s="1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x14ac:dyDescent="0.25">
      <c r="A19" s="11" t="s">
        <v>576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x14ac:dyDescent="0.25">
      <c r="A20" s="11" t="s">
        <v>573</v>
      </c>
      <c r="B20" s="11" t="s">
        <v>577</v>
      </c>
      <c r="C20" s="14">
        <v>1051.5877</v>
      </c>
      <c r="D20" s="14">
        <v>1376.6641999999999</v>
      </c>
      <c r="E20" s="14">
        <v>1373.7529</v>
      </c>
      <c r="F20" s="14">
        <v>1500.1711</v>
      </c>
      <c r="G20" s="14">
        <v>1524.1123</v>
      </c>
      <c r="H20" s="14">
        <v>1583.4314999999999</v>
      </c>
      <c r="I20" s="14">
        <v>2261.4749000000002</v>
      </c>
      <c r="J20" s="14">
        <v>196</v>
      </c>
      <c r="K20" s="14">
        <v>201</v>
      </c>
      <c r="L20" s="14">
        <v>215</v>
      </c>
      <c r="M20" s="14">
        <v>76</v>
      </c>
      <c r="N20" s="14">
        <v>173</v>
      </c>
      <c r="O20" s="14">
        <v>548</v>
      </c>
      <c r="P20" s="14">
        <v>283</v>
      </c>
      <c r="Q20" s="14">
        <v>292</v>
      </c>
      <c r="R20" s="14">
        <v>-4</v>
      </c>
      <c r="S20" s="14">
        <v>459</v>
      </c>
      <c r="T20" s="14">
        <v>258</v>
      </c>
    </row>
    <row r="21" spans="1:20" x14ac:dyDescent="0.25">
      <c r="A21" s="11" t="s">
        <v>578</v>
      </c>
      <c r="B21" s="11" t="s">
        <v>579</v>
      </c>
      <c r="C21" s="14">
        <v>736.1114</v>
      </c>
      <c r="D21" s="14">
        <v>963.66489999999999</v>
      </c>
      <c r="E21" s="14">
        <v>961.62699999999995</v>
      </c>
      <c r="F21" s="14">
        <v>1050.1197</v>
      </c>
      <c r="G21" s="14">
        <v>1066.8786</v>
      </c>
      <c r="H21" s="14">
        <v>1108.4021</v>
      </c>
      <c r="I21" s="14">
        <v>1583.0325</v>
      </c>
      <c r="J21" s="14">
        <v>137.19999999999999</v>
      </c>
      <c r="K21" s="14">
        <v>140.69999999999999</v>
      </c>
      <c r="L21" s="14">
        <v>150.5</v>
      </c>
      <c r="M21" s="14">
        <v>53.2</v>
      </c>
      <c r="N21" s="14">
        <v>121.1</v>
      </c>
      <c r="O21" s="14">
        <v>383.6</v>
      </c>
      <c r="P21" s="14">
        <v>198.1</v>
      </c>
      <c r="Q21" s="14">
        <v>204.4</v>
      </c>
      <c r="R21" s="14">
        <v>-2.8</v>
      </c>
      <c r="S21" s="14">
        <v>321.3</v>
      </c>
      <c r="T21" s="14">
        <v>180.6</v>
      </c>
    </row>
    <row r="22" spans="1:20" x14ac:dyDescent="0.25">
      <c r="A22" s="11" t="s">
        <v>580</v>
      </c>
      <c r="B22" s="11" t="s">
        <v>581</v>
      </c>
      <c r="C22" s="15">
        <v>0.25530000000000003</v>
      </c>
      <c r="D22" s="15">
        <v>0.34300000000000003</v>
      </c>
      <c r="E22" s="15">
        <v>0.33350000000000002</v>
      </c>
      <c r="F22" s="15">
        <v>0.36420000000000002</v>
      </c>
      <c r="G22" s="15">
        <v>0.38979999999999998</v>
      </c>
      <c r="H22" s="15">
        <v>0.38440000000000002</v>
      </c>
      <c r="I22" s="15">
        <v>0.5696</v>
      </c>
      <c r="J22" s="15">
        <v>4.7600000000000003E-2</v>
      </c>
      <c r="K22" s="15">
        <v>4.8800000000000003E-2</v>
      </c>
      <c r="L22" s="15">
        <v>5.2200000000000003E-2</v>
      </c>
      <c r="M22" s="15">
        <v>1.8499999999999999E-2</v>
      </c>
      <c r="N22" s="15">
        <v>4.2000000000000003E-2</v>
      </c>
      <c r="O22" s="15">
        <v>0.1396</v>
      </c>
      <c r="P22" s="15">
        <v>7.0400000000000004E-2</v>
      </c>
      <c r="Q22" s="15">
        <v>7.1999999999999995E-2</v>
      </c>
      <c r="R22" s="15">
        <v>-1E-3</v>
      </c>
      <c r="S22" s="15">
        <v>0.1129</v>
      </c>
      <c r="T22" s="15">
        <v>6.4199999999999993E-2</v>
      </c>
    </row>
    <row r="23" spans="1:20" x14ac:dyDescent="0.25">
      <c r="A23" s="11" t="s">
        <v>582</v>
      </c>
      <c r="B23" s="11" t="s">
        <v>583</v>
      </c>
      <c r="C23" s="15">
        <v>0.25530000000000003</v>
      </c>
      <c r="D23" s="15">
        <v>0.34300000000000003</v>
      </c>
      <c r="E23" s="15">
        <v>0.33350000000000002</v>
      </c>
      <c r="F23" s="15">
        <v>0.36420000000000002</v>
      </c>
      <c r="G23" s="15">
        <v>0.38979999999999998</v>
      </c>
      <c r="H23" s="15">
        <v>0.38440000000000002</v>
      </c>
      <c r="I23" s="15">
        <v>0.5696</v>
      </c>
      <c r="J23" s="15">
        <v>4.7600000000000003E-2</v>
      </c>
      <c r="K23" s="15">
        <v>4.8800000000000003E-2</v>
      </c>
      <c r="L23" s="15">
        <v>5.2200000000000003E-2</v>
      </c>
      <c r="M23" s="15">
        <v>1.8499999999999999E-2</v>
      </c>
      <c r="N23" s="15">
        <v>4.2000000000000003E-2</v>
      </c>
      <c r="O23" s="15">
        <v>0.1396</v>
      </c>
      <c r="P23" s="15">
        <v>7.0400000000000004E-2</v>
      </c>
      <c r="Q23" s="15">
        <v>7.1999999999999995E-2</v>
      </c>
      <c r="R23" s="15">
        <v>-1E-3</v>
      </c>
      <c r="S23" s="15">
        <v>0.1129</v>
      </c>
      <c r="T23" s="15">
        <v>6.4199999999999993E-2</v>
      </c>
    </row>
    <row r="24" spans="1:20" x14ac:dyDescent="0.25">
      <c r="A24" s="8" t="s">
        <v>84</v>
      </c>
      <c r="B24" s="8"/>
      <c r="C24" s="8" t="s">
        <v>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89"/>
  <sheetViews>
    <sheetView workbookViewId="0">
      <selection activeCell="F15" sqref="F15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584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7" t="s">
        <v>65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25">
      <c r="A7" s="11" t="s">
        <v>585</v>
      </c>
      <c r="B7" s="11" t="s">
        <v>586</v>
      </c>
      <c r="C7" s="14">
        <v>90877</v>
      </c>
      <c r="D7" s="14">
        <v>106047.2562</v>
      </c>
      <c r="E7" s="14">
        <v>100080.54700000001</v>
      </c>
      <c r="F7" s="14">
        <v>109306</v>
      </c>
      <c r="G7" s="14">
        <v>116389</v>
      </c>
      <c r="H7" s="14">
        <v>110852.1088</v>
      </c>
      <c r="I7" s="14">
        <v>67768.593800000002</v>
      </c>
      <c r="J7" s="14">
        <v>98842</v>
      </c>
      <c r="K7" s="14">
        <v>124571</v>
      </c>
      <c r="L7" s="14">
        <v>99208.717099999994</v>
      </c>
      <c r="M7" s="14">
        <v>91746.306200000006</v>
      </c>
      <c r="N7" s="14">
        <v>108254</v>
      </c>
      <c r="O7" s="14">
        <v>107251</v>
      </c>
      <c r="P7" s="14">
        <v>130568</v>
      </c>
      <c r="Q7" s="14">
        <v>109223</v>
      </c>
      <c r="R7" s="14">
        <v>100230</v>
      </c>
      <c r="S7" s="14">
        <v>125072</v>
      </c>
      <c r="T7" s="14">
        <v>125894</v>
      </c>
      <c r="U7" s="14">
        <v>100108</v>
      </c>
      <c r="V7" s="14">
        <v>98704</v>
      </c>
      <c r="W7" s="14">
        <v>136906</v>
      </c>
      <c r="X7" s="14">
        <v>139682</v>
      </c>
      <c r="Y7" s="14">
        <v>97537</v>
      </c>
      <c r="Z7" s="14">
        <v>100295</v>
      </c>
      <c r="AA7" s="14">
        <v>90150</v>
      </c>
    </row>
    <row r="8" spans="1:27" x14ac:dyDescent="0.25">
      <c r="A8" s="11" t="s">
        <v>587</v>
      </c>
      <c r="B8" s="11" t="s">
        <v>588</v>
      </c>
      <c r="C8" s="14">
        <v>11877</v>
      </c>
      <c r="D8" s="14">
        <v>11430.2017</v>
      </c>
      <c r="E8" s="14">
        <v>13678.6523</v>
      </c>
      <c r="F8" s="14">
        <v>15208</v>
      </c>
      <c r="G8" s="14">
        <v>110880</v>
      </c>
      <c r="H8" s="14">
        <v>11801.2467</v>
      </c>
      <c r="I8" s="14">
        <v>11145.5766</v>
      </c>
      <c r="J8" s="14">
        <v>15403</v>
      </c>
      <c r="K8" s="14">
        <v>16638</v>
      </c>
      <c r="L8" s="14">
        <v>70329.465200000006</v>
      </c>
      <c r="M8" s="14">
        <v>72865.881399999998</v>
      </c>
      <c r="N8" s="14">
        <v>41107</v>
      </c>
      <c r="O8" s="14">
        <v>19236</v>
      </c>
      <c r="P8" s="14">
        <v>22028</v>
      </c>
      <c r="Q8" s="14">
        <v>21577</v>
      </c>
      <c r="R8" s="14">
        <v>67199</v>
      </c>
      <c r="S8" s="14">
        <v>89784</v>
      </c>
      <c r="T8" s="14">
        <v>79817</v>
      </c>
      <c r="U8" s="14">
        <v>42826</v>
      </c>
      <c r="V8" s="14">
        <v>43309</v>
      </c>
      <c r="W8" s="14">
        <v>42470</v>
      </c>
      <c r="X8" s="14">
        <v>45787</v>
      </c>
      <c r="Y8" s="14">
        <v>47539</v>
      </c>
      <c r="Z8" s="14">
        <v>51672</v>
      </c>
      <c r="AA8" s="14">
        <v>45633</v>
      </c>
    </row>
    <row r="9" spans="1:27" x14ac:dyDescent="0.25">
      <c r="A9" s="11" t="s">
        <v>589</v>
      </c>
      <c r="B9" s="11" t="s">
        <v>590</v>
      </c>
      <c r="C9" s="14">
        <v>2810</v>
      </c>
      <c r="D9" s="14">
        <v>1928.2562</v>
      </c>
      <c r="E9" s="14">
        <v>3796.5050000000001</v>
      </c>
      <c r="F9" s="14">
        <v>4036</v>
      </c>
      <c r="G9" s="14">
        <v>102435</v>
      </c>
      <c r="H9" s="14">
        <v>2927.9090000000001</v>
      </c>
      <c r="I9" s="14">
        <v>2957.3321999999998</v>
      </c>
      <c r="J9" s="14">
        <v>4487</v>
      </c>
      <c r="K9" s="14" t="s">
        <v>1033</v>
      </c>
      <c r="L9" s="14">
        <v>53054.429199999999</v>
      </c>
      <c r="M9" s="14">
        <v>54793.597900000001</v>
      </c>
      <c r="N9" s="14">
        <v>22826</v>
      </c>
      <c r="O9" s="14" t="s">
        <v>1033</v>
      </c>
      <c r="P9" s="14" t="s">
        <v>1033</v>
      </c>
      <c r="Q9" s="14" t="s">
        <v>1033</v>
      </c>
      <c r="R9" s="14">
        <v>41606</v>
      </c>
      <c r="S9" s="14">
        <v>64591</v>
      </c>
      <c r="T9" s="14">
        <v>52948</v>
      </c>
      <c r="U9" s="14">
        <v>5377</v>
      </c>
      <c r="V9" s="14">
        <v>4002</v>
      </c>
      <c r="W9" s="14">
        <v>4699</v>
      </c>
      <c r="X9" s="14">
        <v>2000</v>
      </c>
      <c r="Y9" s="14">
        <v>3500</v>
      </c>
      <c r="Z9" s="14">
        <v>2950</v>
      </c>
      <c r="AA9" s="14">
        <v>900</v>
      </c>
    </row>
    <row r="10" spans="1:27" x14ac:dyDescent="0.25">
      <c r="A10" s="11" t="s">
        <v>591</v>
      </c>
      <c r="B10" s="11" t="s">
        <v>592</v>
      </c>
      <c r="C10" s="14">
        <v>9067</v>
      </c>
      <c r="D10" s="14">
        <v>9501.9454000000005</v>
      </c>
      <c r="E10" s="14">
        <v>9882.1473999999998</v>
      </c>
      <c r="F10" s="14">
        <v>11172</v>
      </c>
      <c r="G10" s="14">
        <v>8445</v>
      </c>
      <c r="H10" s="14">
        <v>8873.3377</v>
      </c>
      <c r="I10" s="14">
        <v>8188.2443999999996</v>
      </c>
      <c r="J10" s="14">
        <v>10916</v>
      </c>
      <c r="K10" s="14">
        <v>16638</v>
      </c>
      <c r="L10" s="14">
        <v>17275.036</v>
      </c>
      <c r="M10" s="14">
        <v>18072.283500000001</v>
      </c>
      <c r="N10" s="14">
        <v>18281</v>
      </c>
      <c r="O10" s="14">
        <v>19236</v>
      </c>
      <c r="P10" s="14">
        <v>22028</v>
      </c>
      <c r="Q10" s="14">
        <v>21577</v>
      </c>
      <c r="R10" s="14">
        <v>25593</v>
      </c>
      <c r="S10" s="14">
        <v>25193</v>
      </c>
      <c r="T10" s="14">
        <v>26869</v>
      </c>
      <c r="U10" s="14">
        <v>37449</v>
      </c>
      <c r="V10" s="14">
        <v>39307</v>
      </c>
      <c r="W10" s="14">
        <v>37771</v>
      </c>
      <c r="X10" s="14">
        <v>43787</v>
      </c>
      <c r="Y10" s="14">
        <v>44039</v>
      </c>
      <c r="Z10" s="14">
        <v>48722</v>
      </c>
      <c r="AA10" s="14">
        <v>44733</v>
      </c>
    </row>
    <row r="11" spans="1:27" x14ac:dyDescent="0.25">
      <c r="A11" s="11" t="s">
        <v>593</v>
      </c>
      <c r="B11" s="11" t="s">
        <v>594</v>
      </c>
      <c r="C11" s="14">
        <v>600550</v>
      </c>
      <c r="D11" s="14">
        <v>644462.6973</v>
      </c>
      <c r="E11" s="14">
        <v>664342.11349999998</v>
      </c>
      <c r="F11" s="14">
        <v>661865</v>
      </c>
      <c r="G11" s="14">
        <v>704162</v>
      </c>
      <c r="H11" s="14">
        <v>699991.97120000003</v>
      </c>
      <c r="I11" s="14">
        <v>728288.69019999995</v>
      </c>
      <c r="J11" s="14">
        <v>750357</v>
      </c>
      <c r="K11" s="14">
        <v>770956</v>
      </c>
      <c r="L11" s="14">
        <v>787563.88329999999</v>
      </c>
      <c r="M11" s="14">
        <v>792374.67969999998</v>
      </c>
      <c r="N11" s="14">
        <v>812450</v>
      </c>
      <c r="O11" s="14">
        <v>814167</v>
      </c>
      <c r="P11" s="14">
        <v>811795</v>
      </c>
      <c r="Q11" s="14">
        <v>866043</v>
      </c>
      <c r="R11" s="14">
        <v>896352</v>
      </c>
      <c r="S11" s="14">
        <v>934571</v>
      </c>
      <c r="T11" s="14">
        <v>935674</v>
      </c>
      <c r="U11" s="14">
        <v>966898</v>
      </c>
      <c r="V11" s="14">
        <v>976597</v>
      </c>
      <c r="W11" s="14">
        <v>980843</v>
      </c>
      <c r="X11" s="14">
        <v>984933</v>
      </c>
      <c r="Y11" s="14">
        <v>994489</v>
      </c>
      <c r="Z11" s="14">
        <v>1022722</v>
      </c>
      <c r="AA11" s="14">
        <v>1067505</v>
      </c>
    </row>
    <row r="12" spans="1:27" x14ac:dyDescent="0.25">
      <c r="A12" s="11" t="s">
        <v>595</v>
      </c>
      <c r="B12" s="11" t="s">
        <v>596</v>
      </c>
      <c r="C12" s="14">
        <v>238956</v>
      </c>
      <c r="D12" s="14">
        <v>243834.37729999999</v>
      </c>
      <c r="E12" s="14">
        <v>223751.97029999999</v>
      </c>
      <c r="F12" s="14">
        <v>223390</v>
      </c>
      <c r="G12" s="14">
        <v>260030</v>
      </c>
      <c r="H12" s="14">
        <v>252900.61319999999</v>
      </c>
      <c r="I12" s="14">
        <v>260758.9768</v>
      </c>
      <c r="J12" s="14">
        <v>258201</v>
      </c>
      <c r="K12" s="14">
        <v>257355</v>
      </c>
      <c r="L12" s="14">
        <v>267006.45850000001</v>
      </c>
      <c r="M12" s="14">
        <v>270042.97580000001</v>
      </c>
      <c r="N12" s="14">
        <v>289855</v>
      </c>
      <c r="O12" s="14">
        <v>291713</v>
      </c>
      <c r="P12" s="14">
        <v>310181</v>
      </c>
      <c r="Q12" s="14">
        <v>316085</v>
      </c>
      <c r="R12" s="14">
        <v>335756</v>
      </c>
      <c r="S12" s="14">
        <v>357106</v>
      </c>
      <c r="T12" s="14">
        <v>360187</v>
      </c>
      <c r="U12" s="14">
        <v>399459</v>
      </c>
      <c r="V12" s="14">
        <v>400772</v>
      </c>
      <c r="W12" s="14">
        <v>409632</v>
      </c>
      <c r="X12" s="14">
        <v>423023</v>
      </c>
      <c r="Y12" s="14">
        <v>437769</v>
      </c>
      <c r="Z12" s="14">
        <v>436130</v>
      </c>
      <c r="AA12" s="14">
        <v>435082</v>
      </c>
    </row>
    <row r="13" spans="1:27" x14ac:dyDescent="0.25">
      <c r="A13" s="11" t="s">
        <v>597</v>
      </c>
      <c r="B13" s="11" t="s">
        <v>598</v>
      </c>
      <c r="C13" s="14">
        <v>204963</v>
      </c>
      <c r="D13" s="14">
        <v>231114.1061</v>
      </c>
      <c r="E13" s="14">
        <v>251224.5275</v>
      </c>
      <c r="F13" s="14">
        <v>244823</v>
      </c>
      <c r="G13" s="14">
        <v>236274</v>
      </c>
      <c r="H13" s="14">
        <v>231709.7549</v>
      </c>
      <c r="I13" s="14">
        <v>234479.23269999999</v>
      </c>
      <c r="J13" s="14">
        <v>233594</v>
      </c>
      <c r="K13" s="14">
        <v>230875</v>
      </c>
      <c r="L13" s="14">
        <v>222510.8621</v>
      </c>
      <c r="M13" s="14">
        <v>215500.91759999999</v>
      </c>
      <c r="N13" s="14">
        <v>209351</v>
      </c>
      <c r="O13" s="14">
        <v>201972</v>
      </c>
      <c r="P13" s="14">
        <v>188577</v>
      </c>
      <c r="Q13" s="14">
        <v>217042</v>
      </c>
      <c r="R13" s="14">
        <v>222018</v>
      </c>
      <c r="S13" s="14">
        <v>230955</v>
      </c>
      <c r="T13" s="14">
        <v>222090</v>
      </c>
      <c r="U13" s="14">
        <v>213788</v>
      </c>
      <c r="V13" s="14">
        <v>201079</v>
      </c>
      <c r="W13" s="14">
        <v>187613</v>
      </c>
      <c r="X13" s="14">
        <v>178873</v>
      </c>
      <c r="Y13" s="14">
        <v>165534</v>
      </c>
      <c r="Z13" s="14">
        <v>199502</v>
      </c>
      <c r="AA13" s="14">
        <v>223413</v>
      </c>
    </row>
    <row r="14" spans="1:27" x14ac:dyDescent="0.25">
      <c r="A14" s="11" t="s">
        <v>599</v>
      </c>
      <c r="B14" s="11" t="s">
        <v>600</v>
      </c>
      <c r="C14" s="14">
        <v>156631</v>
      </c>
      <c r="D14" s="14">
        <v>169514.2139</v>
      </c>
      <c r="E14" s="14">
        <v>189365.61569999999</v>
      </c>
      <c r="F14" s="14">
        <v>193652</v>
      </c>
      <c r="G14" s="14">
        <v>207858</v>
      </c>
      <c r="H14" s="14">
        <v>215381.603</v>
      </c>
      <c r="I14" s="14">
        <v>233050.48069999999</v>
      </c>
      <c r="J14" s="14">
        <v>258562</v>
      </c>
      <c r="K14" s="14">
        <v>282726</v>
      </c>
      <c r="L14" s="14">
        <v>298350.98210000002</v>
      </c>
      <c r="M14" s="14">
        <v>307127.47659999999</v>
      </c>
      <c r="N14" s="14">
        <v>313244</v>
      </c>
      <c r="O14" s="14">
        <v>320482</v>
      </c>
      <c r="P14" s="14">
        <v>313037</v>
      </c>
      <c r="Q14" s="14">
        <v>333083</v>
      </c>
      <c r="R14" s="14">
        <v>338578</v>
      </c>
      <c r="S14" s="14">
        <v>346510</v>
      </c>
      <c r="T14" s="14">
        <v>353397</v>
      </c>
      <c r="U14" s="14">
        <v>353651</v>
      </c>
      <c r="V14" s="14">
        <v>374746</v>
      </c>
      <c r="W14" s="14">
        <v>383598</v>
      </c>
      <c r="X14" s="14">
        <v>383109</v>
      </c>
      <c r="Y14" s="14">
        <v>391186</v>
      </c>
      <c r="Z14" s="14">
        <v>387090</v>
      </c>
      <c r="AA14" s="14">
        <v>409010</v>
      </c>
    </row>
    <row r="15" spans="1:27" x14ac:dyDescent="0.25">
      <c r="A15" s="11" t="s">
        <v>601</v>
      </c>
      <c r="B15" s="11" t="s">
        <v>602</v>
      </c>
      <c r="C15" s="14" t="s">
        <v>1033</v>
      </c>
      <c r="D15" s="14" t="s">
        <v>1033</v>
      </c>
      <c r="E15" s="14" t="s">
        <v>1033</v>
      </c>
      <c r="F15" s="14">
        <v>0</v>
      </c>
      <c r="G15" s="14" t="s">
        <v>1033</v>
      </c>
      <c r="H15" s="14" t="s">
        <v>1033</v>
      </c>
      <c r="I15" s="14" t="s">
        <v>1033</v>
      </c>
      <c r="J15" s="14" t="s">
        <v>1033</v>
      </c>
      <c r="K15" s="14" t="s">
        <v>1033</v>
      </c>
      <c r="L15" s="14">
        <v>-304.4194</v>
      </c>
      <c r="M15" s="14">
        <v>-296.69029999999998</v>
      </c>
      <c r="N15" s="14">
        <v>0</v>
      </c>
      <c r="O15" s="14" t="s">
        <v>1033</v>
      </c>
      <c r="P15" s="14" t="s">
        <v>1033</v>
      </c>
      <c r="Q15" s="14">
        <v>-167</v>
      </c>
      <c r="R15" s="14">
        <v>0</v>
      </c>
      <c r="S15" s="14" t="s">
        <v>1033</v>
      </c>
      <c r="T15" s="14" t="s">
        <v>1033</v>
      </c>
      <c r="U15" s="14">
        <v>0</v>
      </c>
      <c r="V15" s="14">
        <v>0</v>
      </c>
      <c r="W15" s="14" t="s">
        <v>1033</v>
      </c>
      <c r="X15" s="14">
        <v>-72</v>
      </c>
      <c r="Y15" s="14">
        <v>0</v>
      </c>
      <c r="Z15" s="14" t="s">
        <v>1033</v>
      </c>
      <c r="AA15" s="14" t="s">
        <v>1033</v>
      </c>
    </row>
    <row r="16" spans="1:27" x14ac:dyDescent="0.25">
      <c r="A16" s="11" t="s">
        <v>603</v>
      </c>
      <c r="B16" s="11" t="s">
        <v>604</v>
      </c>
      <c r="C16" s="14">
        <v>105001</v>
      </c>
      <c r="D16" s="14">
        <v>72919.309899999993</v>
      </c>
      <c r="E16" s="14">
        <v>74592.917300000001</v>
      </c>
      <c r="F16" s="14">
        <v>58476</v>
      </c>
      <c r="G16" s="14">
        <v>78211</v>
      </c>
      <c r="H16" s="14">
        <v>70362.713900000002</v>
      </c>
      <c r="I16" s="14">
        <v>65888.869399999996</v>
      </c>
      <c r="J16" s="14">
        <v>49657</v>
      </c>
      <c r="K16" s="14">
        <v>94387</v>
      </c>
      <c r="L16" s="14">
        <v>69804.474100000007</v>
      </c>
      <c r="M16" s="14">
        <v>48699.1054</v>
      </c>
      <c r="N16" s="14">
        <v>40939</v>
      </c>
      <c r="O16" s="14">
        <v>87167</v>
      </c>
      <c r="P16" s="14">
        <v>83740</v>
      </c>
      <c r="Q16" s="14">
        <v>66183</v>
      </c>
      <c r="R16" s="14">
        <v>46026</v>
      </c>
      <c r="S16" s="14">
        <v>62581</v>
      </c>
      <c r="T16" s="14">
        <v>68130</v>
      </c>
      <c r="U16" s="14">
        <v>72308</v>
      </c>
      <c r="V16" s="14">
        <v>57105</v>
      </c>
      <c r="W16" s="14">
        <v>82943</v>
      </c>
      <c r="X16" s="14">
        <v>60256</v>
      </c>
      <c r="Y16" s="14">
        <v>60672</v>
      </c>
      <c r="Z16" s="14">
        <v>46064</v>
      </c>
      <c r="AA16" s="14">
        <v>64080</v>
      </c>
    </row>
    <row r="17" spans="1:27" x14ac:dyDescent="0.25">
      <c r="A17" s="11" t="s">
        <v>605</v>
      </c>
      <c r="B17" s="11" t="s">
        <v>606</v>
      </c>
      <c r="C17" s="14">
        <v>325486</v>
      </c>
      <c r="D17" s="14">
        <v>329139.40870000003</v>
      </c>
      <c r="E17" s="14">
        <v>327193.12290000002</v>
      </c>
      <c r="F17" s="14">
        <v>327713</v>
      </c>
      <c r="G17" s="14">
        <v>328178</v>
      </c>
      <c r="H17" s="14">
        <v>316575.03389999998</v>
      </c>
      <c r="I17" s="14">
        <v>326412.63520000002</v>
      </c>
      <c r="J17" s="14">
        <v>333265</v>
      </c>
      <c r="K17" s="14">
        <v>330501</v>
      </c>
      <c r="L17" s="14">
        <v>338130.95939999999</v>
      </c>
      <c r="M17" s="14">
        <v>338113.95360000001</v>
      </c>
      <c r="N17" s="14">
        <v>358601</v>
      </c>
      <c r="O17" s="14">
        <v>365725</v>
      </c>
      <c r="P17" s="14">
        <v>377552</v>
      </c>
      <c r="Q17" s="14">
        <v>400321</v>
      </c>
      <c r="R17" s="14">
        <v>406094</v>
      </c>
      <c r="S17" s="14">
        <v>414530</v>
      </c>
      <c r="T17" s="14">
        <v>441209</v>
      </c>
      <c r="U17" s="14">
        <v>453431</v>
      </c>
      <c r="V17" s="14">
        <v>484349</v>
      </c>
      <c r="W17" s="14">
        <v>488996</v>
      </c>
      <c r="X17" s="14">
        <v>487369</v>
      </c>
      <c r="Y17" s="14">
        <v>491128</v>
      </c>
      <c r="Z17" s="14">
        <v>512509</v>
      </c>
      <c r="AA17" s="14">
        <v>508905</v>
      </c>
    </row>
    <row r="18" spans="1:27" x14ac:dyDescent="0.25">
      <c r="A18" s="11" t="s">
        <v>607</v>
      </c>
      <c r="B18" s="11" t="s">
        <v>608</v>
      </c>
      <c r="C18" s="14">
        <v>325486</v>
      </c>
      <c r="D18" s="14">
        <v>329139.40870000003</v>
      </c>
      <c r="E18" s="14">
        <v>327193.12290000002</v>
      </c>
      <c r="F18" s="14">
        <v>327713</v>
      </c>
      <c r="G18" s="14">
        <v>328178</v>
      </c>
      <c r="H18" s="14">
        <v>316575.03389999998</v>
      </c>
      <c r="I18" s="14">
        <v>326412.63520000002</v>
      </c>
      <c r="J18" s="14">
        <v>333265</v>
      </c>
      <c r="K18" s="14">
        <v>330501</v>
      </c>
      <c r="L18" s="14">
        <v>338130.95939999999</v>
      </c>
      <c r="M18" s="14">
        <v>338113.95360000001</v>
      </c>
      <c r="N18" s="14">
        <v>358601</v>
      </c>
      <c r="O18" s="14">
        <v>365725</v>
      </c>
      <c r="P18" s="14">
        <v>377552</v>
      </c>
      <c r="Q18" s="14">
        <v>400321</v>
      </c>
      <c r="R18" s="14">
        <v>406094</v>
      </c>
      <c r="S18" s="14">
        <v>414530</v>
      </c>
      <c r="T18" s="14">
        <v>441209</v>
      </c>
      <c r="U18" s="14">
        <v>453431</v>
      </c>
      <c r="V18" s="14">
        <v>484349</v>
      </c>
      <c r="W18" s="14">
        <v>488996</v>
      </c>
      <c r="X18" s="14">
        <v>487369</v>
      </c>
      <c r="Y18" s="14">
        <v>491128</v>
      </c>
      <c r="Z18" s="14">
        <v>512509</v>
      </c>
      <c r="AA18" s="14">
        <v>508905</v>
      </c>
    </row>
    <row r="19" spans="1:27" x14ac:dyDescent="0.25">
      <c r="A19" s="11" t="s">
        <v>609</v>
      </c>
      <c r="B19" s="11" t="s">
        <v>610</v>
      </c>
      <c r="C19" s="14">
        <v>296885</v>
      </c>
      <c r="D19" s="14">
        <v>299417.70069999999</v>
      </c>
      <c r="E19" s="14">
        <v>305165.75809999998</v>
      </c>
      <c r="F19" s="14">
        <v>310583</v>
      </c>
      <c r="G19" s="14">
        <v>314078</v>
      </c>
      <c r="H19" s="14">
        <v>319964.23180000001</v>
      </c>
      <c r="I19" s="14">
        <v>322573.34830000001</v>
      </c>
      <c r="J19" s="14">
        <v>324751</v>
      </c>
      <c r="K19" s="14">
        <v>324541</v>
      </c>
      <c r="L19" s="14">
        <v>343705.72139999998</v>
      </c>
      <c r="M19" s="14">
        <v>361146.22749999998</v>
      </c>
      <c r="N19" s="14">
        <v>378906</v>
      </c>
      <c r="O19" s="14">
        <v>383083</v>
      </c>
      <c r="P19" s="14">
        <v>400929</v>
      </c>
      <c r="Q19" s="14">
        <v>422726</v>
      </c>
      <c r="R19" s="14">
        <v>437113</v>
      </c>
      <c r="S19" s="14">
        <v>440917</v>
      </c>
      <c r="T19" s="14">
        <v>455280</v>
      </c>
      <c r="U19" s="14">
        <v>470066</v>
      </c>
      <c r="V19" s="14">
        <v>483531</v>
      </c>
      <c r="W19" s="14">
        <v>494379</v>
      </c>
      <c r="X19" s="14">
        <v>509786</v>
      </c>
      <c r="Y19" s="14">
        <v>525960</v>
      </c>
      <c r="Z19" s="14">
        <v>537196</v>
      </c>
      <c r="AA19" s="14">
        <v>548231</v>
      </c>
    </row>
    <row r="20" spans="1:27" x14ac:dyDescent="0.25">
      <c r="A20" s="11" t="s">
        <v>611</v>
      </c>
      <c r="B20" s="11" t="s">
        <v>612</v>
      </c>
      <c r="C20" s="14" t="s">
        <v>1033</v>
      </c>
      <c r="D20" s="14">
        <v>37443</v>
      </c>
      <c r="E20" s="14">
        <v>38585</v>
      </c>
      <c r="F20" s="14">
        <v>39771</v>
      </c>
      <c r="G20" s="14" t="s">
        <v>1033</v>
      </c>
      <c r="H20" s="14">
        <v>36334</v>
      </c>
      <c r="I20" s="14">
        <v>37065</v>
      </c>
      <c r="J20" s="14">
        <v>40451</v>
      </c>
      <c r="K20" s="14" t="s">
        <v>1033</v>
      </c>
      <c r="L20" s="14">
        <v>41970</v>
      </c>
      <c r="M20" s="14">
        <v>44131</v>
      </c>
      <c r="N20" s="14">
        <v>46236</v>
      </c>
      <c r="O20" s="14" t="s">
        <v>1033</v>
      </c>
      <c r="P20" s="14">
        <v>50318</v>
      </c>
      <c r="Q20" s="14">
        <v>52883</v>
      </c>
      <c r="R20" s="14">
        <v>60107</v>
      </c>
      <c r="S20" s="14" t="s">
        <v>1033</v>
      </c>
      <c r="T20" s="14" t="s">
        <v>1033</v>
      </c>
      <c r="U20" s="14">
        <v>0</v>
      </c>
      <c r="V20" s="14" t="s">
        <v>1033</v>
      </c>
      <c r="W20" s="14" t="s">
        <v>1033</v>
      </c>
      <c r="X20" s="14" t="s">
        <v>1033</v>
      </c>
      <c r="Y20" s="14">
        <v>0</v>
      </c>
      <c r="Z20" s="14" t="s">
        <v>1033</v>
      </c>
      <c r="AA20" s="14">
        <v>0</v>
      </c>
    </row>
    <row r="21" spans="1:27" x14ac:dyDescent="0.25">
      <c r="A21" s="11" t="s">
        <v>613</v>
      </c>
      <c r="B21" s="11" t="s">
        <v>614</v>
      </c>
      <c r="C21" s="14">
        <v>175296</v>
      </c>
      <c r="D21" s="14">
        <v>179587.3492</v>
      </c>
      <c r="E21" s="14">
        <v>184495.261</v>
      </c>
      <c r="F21" s="14">
        <v>189394</v>
      </c>
      <c r="G21" s="14">
        <v>193292</v>
      </c>
      <c r="H21" s="14">
        <v>198091.10339999999</v>
      </c>
      <c r="I21" s="14">
        <v>199871.97169999999</v>
      </c>
      <c r="J21" s="14">
        <v>202536</v>
      </c>
      <c r="K21" s="14">
        <v>204405</v>
      </c>
      <c r="L21" s="14">
        <v>209378.86069999999</v>
      </c>
      <c r="M21" s="14">
        <v>219943.00200000001</v>
      </c>
      <c r="N21" s="14">
        <v>228797</v>
      </c>
      <c r="O21" s="14">
        <v>235888</v>
      </c>
      <c r="P21" s="14">
        <v>243498</v>
      </c>
      <c r="Q21" s="14">
        <v>250953</v>
      </c>
      <c r="R21" s="14">
        <v>255316</v>
      </c>
      <c r="S21" s="14">
        <v>257922</v>
      </c>
      <c r="T21" s="14">
        <v>263611</v>
      </c>
      <c r="U21" s="14">
        <v>268808</v>
      </c>
      <c r="V21" s="14">
        <v>274790</v>
      </c>
      <c r="W21" s="14">
        <v>278692</v>
      </c>
      <c r="X21" s="14">
        <v>284846</v>
      </c>
      <c r="Y21" s="14">
        <v>290407</v>
      </c>
      <c r="Z21" s="14">
        <v>295419</v>
      </c>
      <c r="AA21" s="14">
        <v>297910</v>
      </c>
    </row>
    <row r="22" spans="1:27" x14ac:dyDescent="0.25">
      <c r="A22" s="11" t="s">
        <v>615</v>
      </c>
      <c r="B22" s="11" t="s">
        <v>616</v>
      </c>
      <c r="C22" s="14" t="s">
        <v>1033</v>
      </c>
      <c r="D22" s="14" t="s">
        <v>1033</v>
      </c>
      <c r="E22" s="14" t="s">
        <v>1033</v>
      </c>
      <c r="F22" s="14">
        <v>28326</v>
      </c>
      <c r="G22" s="14" t="s">
        <v>1033</v>
      </c>
      <c r="H22" s="14" t="s">
        <v>1033</v>
      </c>
      <c r="I22" s="14" t="s">
        <v>1033</v>
      </c>
      <c r="J22" s="14">
        <v>28020</v>
      </c>
      <c r="K22" s="14" t="s">
        <v>1033</v>
      </c>
      <c r="L22" s="14" t="s">
        <v>1033</v>
      </c>
      <c r="M22" s="14" t="s">
        <v>1033</v>
      </c>
      <c r="N22" s="14" t="s">
        <v>1033</v>
      </c>
      <c r="O22" s="14" t="s">
        <v>1033</v>
      </c>
      <c r="P22" s="14" t="s">
        <v>1033</v>
      </c>
      <c r="Q22" s="14" t="s">
        <v>1033</v>
      </c>
      <c r="R22" s="14" t="s">
        <v>1033</v>
      </c>
      <c r="S22" s="14" t="s">
        <v>1033</v>
      </c>
      <c r="T22" s="14" t="s">
        <v>1033</v>
      </c>
      <c r="U22" s="14" t="s">
        <v>1033</v>
      </c>
      <c r="V22" s="14" t="s">
        <v>1033</v>
      </c>
      <c r="W22" s="14" t="s">
        <v>1033</v>
      </c>
      <c r="X22" s="14" t="s">
        <v>1033</v>
      </c>
      <c r="Y22" s="14" t="s">
        <v>1033</v>
      </c>
      <c r="Z22" s="14" t="s">
        <v>1033</v>
      </c>
      <c r="AA22" s="14" t="s">
        <v>1033</v>
      </c>
    </row>
    <row r="23" spans="1:27" x14ac:dyDescent="0.25">
      <c r="A23" s="11" t="s">
        <v>617</v>
      </c>
      <c r="B23" s="11" t="s">
        <v>618</v>
      </c>
      <c r="C23" s="14">
        <v>121589</v>
      </c>
      <c r="D23" s="14">
        <v>82387.351599999995</v>
      </c>
      <c r="E23" s="14">
        <v>82085.497099999993</v>
      </c>
      <c r="F23" s="14">
        <v>53092</v>
      </c>
      <c r="G23" s="14">
        <v>120786</v>
      </c>
      <c r="H23" s="14">
        <v>85539.128500000006</v>
      </c>
      <c r="I23" s="14">
        <v>85636.376600000003</v>
      </c>
      <c r="J23" s="14">
        <v>53744</v>
      </c>
      <c r="K23" s="14">
        <v>120136</v>
      </c>
      <c r="L23" s="14">
        <v>92356.860700000005</v>
      </c>
      <c r="M23" s="14">
        <v>97072.2255</v>
      </c>
      <c r="N23" s="14">
        <v>103873</v>
      </c>
      <c r="O23" s="14">
        <v>147195</v>
      </c>
      <c r="P23" s="14">
        <v>107113</v>
      </c>
      <c r="Q23" s="14">
        <v>118890</v>
      </c>
      <c r="R23" s="14">
        <v>121690</v>
      </c>
      <c r="S23" s="14">
        <v>182995</v>
      </c>
      <c r="T23" s="14">
        <v>191669</v>
      </c>
      <c r="U23" s="14">
        <v>201258</v>
      </c>
      <c r="V23" s="14">
        <v>208741</v>
      </c>
      <c r="W23" s="14">
        <v>215687</v>
      </c>
      <c r="X23" s="14">
        <v>224940</v>
      </c>
      <c r="Y23" s="14">
        <v>235553</v>
      </c>
      <c r="Z23" s="14">
        <v>241777</v>
      </c>
      <c r="AA23" s="14">
        <v>250321</v>
      </c>
    </row>
    <row r="24" spans="1:27" x14ac:dyDescent="0.25">
      <c r="A24" s="11" t="s">
        <v>619</v>
      </c>
      <c r="B24" s="11" t="s">
        <v>620</v>
      </c>
      <c r="C24" s="14">
        <v>161592</v>
      </c>
      <c r="D24" s="14">
        <v>162832.08739999999</v>
      </c>
      <c r="E24" s="14">
        <v>162897.14670000001</v>
      </c>
      <c r="F24" s="14">
        <v>161600</v>
      </c>
      <c r="G24" s="14">
        <v>153091</v>
      </c>
      <c r="H24" s="14">
        <v>160332.98050000001</v>
      </c>
      <c r="I24" s="14">
        <v>166029.41959999999</v>
      </c>
      <c r="J24" s="14">
        <v>160407</v>
      </c>
      <c r="K24" s="14">
        <v>164076</v>
      </c>
      <c r="L24" s="14">
        <v>173381.29269999999</v>
      </c>
      <c r="M24" s="14">
        <v>170884.6643</v>
      </c>
      <c r="N24" s="14">
        <v>177255</v>
      </c>
      <c r="O24" s="14">
        <v>185012</v>
      </c>
      <c r="P24" s="14">
        <v>168944</v>
      </c>
      <c r="Q24" s="14">
        <v>179174</v>
      </c>
      <c r="R24" s="14">
        <v>177520</v>
      </c>
      <c r="S24" s="14">
        <v>176426</v>
      </c>
      <c r="T24" s="14">
        <v>185872</v>
      </c>
      <c r="U24" s="14">
        <v>179496</v>
      </c>
      <c r="V24" s="14">
        <v>187406</v>
      </c>
      <c r="W24" s="14">
        <v>182044</v>
      </c>
      <c r="X24" s="14">
        <v>157126</v>
      </c>
      <c r="Y24" s="14">
        <v>159603</v>
      </c>
      <c r="Z24" s="14">
        <v>189244</v>
      </c>
      <c r="AA24" s="14">
        <v>173129</v>
      </c>
    </row>
    <row r="25" spans="1:27" x14ac:dyDescent="0.25">
      <c r="A25" s="11" t="s">
        <v>621</v>
      </c>
      <c r="B25" s="11" t="s">
        <v>64</v>
      </c>
      <c r="C25" s="14">
        <v>783963</v>
      </c>
      <c r="D25" s="14">
        <v>791389.19680000003</v>
      </c>
      <c r="E25" s="14">
        <v>795256.02769999998</v>
      </c>
      <c r="F25" s="14">
        <v>799896</v>
      </c>
      <c r="G25" s="14">
        <v>795347</v>
      </c>
      <c r="H25" s="14">
        <v>796872.2463</v>
      </c>
      <c r="I25" s="14">
        <v>815015.4031</v>
      </c>
      <c r="J25" s="14">
        <v>818423</v>
      </c>
      <c r="K25" s="14">
        <v>819118</v>
      </c>
      <c r="L25" s="14">
        <v>855217.97349999996</v>
      </c>
      <c r="M25" s="14">
        <v>870144.84550000005</v>
      </c>
      <c r="N25" s="14">
        <v>914762</v>
      </c>
      <c r="O25" s="14">
        <v>933820</v>
      </c>
      <c r="P25" s="14">
        <v>947425</v>
      </c>
      <c r="Q25" s="14">
        <v>1002221</v>
      </c>
      <c r="R25" s="14">
        <v>1020727</v>
      </c>
      <c r="S25" s="14">
        <v>1031873</v>
      </c>
      <c r="T25" s="14">
        <v>1082361</v>
      </c>
      <c r="U25" s="14">
        <v>1102993</v>
      </c>
      <c r="V25" s="14">
        <v>1155286</v>
      </c>
      <c r="W25" s="14">
        <v>1165419</v>
      </c>
      <c r="X25" s="14">
        <v>1154281</v>
      </c>
      <c r="Y25" s="14">
        <v>1176691</v>
      </c>
      <c r="Z25" s="14">
        <v>1238949</v>
      </c>
      <c r="AA25" s="14">
        <v>1230265</v>
      </c>
    </row>
    <row r="26" spans="1:27" x14ac:dyDescent="0.25">
      <c r="A26" s="11" t="s">
        <v>622</v>
      </c>
      <c r="B26" s="11" t="s">
        <v>623</v>
      </c>
      <c r="C26" s="14">
        <v>18504</v>
      </c>
      <c r="D26" s="14">
        <v>18554.522499999999</v>
      </c>
      <c r="E26" s="14">
        <v>17665.596399999999</v>
      </c>
      <c r="F26" s="14">
        <v>20004</v>
      </c>
      <c r="G26" s="14">
        <v>19670</v>
      </c>
      <c r="H26" s="14">
        <v>18174.5579</v>
      </c>
      <c r="I26" s="14">
        <v>17297.249500000002</v>
      </c>
      <c r="J26" s="14">
        <v>16251</v>
      </c>
      <c r="K26" s="14">
        <v>16905</v>
      </c>
      <c r="L26" s="14">
        <v>17012.508399999999</v>
      </c>
      <c r="M26" s="14">
        <v>17246.612400000002</v>
      </c>
      <c r="N26" s="14">
        <v>17899</v>
      </c>
      <c r="O26" s="14">
        <v>18041</v>
      </c>
      <c r="P26" s="14">
        <v>18528</v>
      </c>
      <c r="Q26" s="14">
        <v>19431</v>
      </c>
      <c r="R26" s="14">
        <v>19857</v>
      </c>
      <c r="S26" s="14">
        <v>19514</v>
      </c>
      <c r="T26" s="14">
        <v>20358</v>
      </c>
      <c r="U26" s="14">
        <v>20298</v>
      </c>
      <c r="V26" s="14">
        <v>20434</v>
      </c>
      <c r="W26" s="14">
        <v>20858</v>
      </c>
      <c r="X26" s="14">
        <v>21375</v>
      </c>
      <c r="Y26" s="14">
        <v>24225</v>
      </c>
      <c r="Z26" s="14">
        <v>24097</v>
      </c>
      <c r="AA26" s="14">
        <v>25523</v>
      </c>
    </row>
    <row r="27" spans="1:27" x14ac:dyDescent="0.25">
      <c r="A27" s="11" t="s">
        <v>624</v>
      </c>
      <c r="B27" s="11" t="s">
        <v>110</v>
      </c>
      <c r="C27" s="14">
        <v>765459</v>
      </c>
      <c r="D27" s="14">
        <v>772834.67429999996</v>
      </c>
      <c r="E27" s="14">
        <v>777590.43130000005</v>
      </c>
      <c r="F27" s="14">
        <v>779892</v>
      </c>
      <c r="G27" s="14">
        <v>775677</v>
      </c>
      <c r="H27" s="14">
        <v>778697.68839999998</v>
      </c>
      <c r="I27" s="14">
        <v>797718.15350000001</v>
      </c>
      <c r="J27" s="14">
        <v>802172</v>
      </c>
      <c r="K27" s="14">
        <v>802213</v>
      </c>
      <c r="L27" s="14">
        <v>838205.46510000003</v>
      </c>
      <c r="M27" s="14">
        <v>852898.23309999995</v>
      </c>
      <c r="N27" s="14">
        <v>896863</v>
      </c>
      <c r="O27" s="14">
        <v>915779</v>
      </c>
      <c r="P27" s="14">
        <v>928897</v>
      </c>
      <c r="Q27" s="14">
        <v>982790</v>
      </c>
      <c r="R27" s="14">
        <v>1000870</v>
      </c>
      <c r="S27" s="14">
        <v>1012359</v>
      </c>
      <c r="T27" s="14">
        <v>1062003</v>
      </c>
      <c r="U27" s="14">
        <v>1082695</v>
      </c>
      <c r="V27" s="14">
        <v>1134852</v>
      </c>
      <c r="W27" s="14">
        <v>1144561</v>
      </c>
      <c r="X27" s="14">
        <v>1132906</v>
      </c>
      <c r="Y27" s="14">
        <v>1152466</v>
      </c>
      <c r="Z27" s="14">
        <v>1214852</v>
      </c>
      <c r="AA27" s="14">
        <v>1204742</v>
      </c>
    </row>
    <row r="28" spans="1:27" x14ac:dyDescent="0.25">
      <c r="A28" s="11" t="s">
        <v>625</v>
      </c>
      <c r="B28" s="11" t="s">
        <v>626</v>
      </c>
      <c r="C28" s="14">
        <v>19833</v>
      </c>
      <c r="D28" s="14">
        <v>31151.1535</v>
      </c>
      <c r="E28" s="14">
        <v>31681.976900000001</v>
      </c>
      <c r="F28" s="14">
        <v>32627</v>
      </c>
      <c r="G28" s="14">
        <v>32737</v>
      </c>
      <c r="H28" s="14">
        <v>20502.45</v>
      </c>
      <c r="I28" s="14">
        <v>20803.430499999999</v>
      </c>
      <c r="J28" s="14">
        <v>21451</v>
      </c>
      <c r="K28" s="14">
        <v>28708</v>
      </c>
      <c r="L28" s="14">
        <v>22132.750400000001</v>
      </c>
      <c r="M28" s="14">
        <v>29432.134999999998</v>
      </c>
      <c r="N28" s="14">
        <v>35897</v>
      </c>
      <c r="O28" s="14">
        <v>35563</v>
      </c>
      <c r="P28" s="14">
        <v>33824</v>
      </c>
      <c r="Q28" s="14">
        <v>33546</v>
      </c>
      <c r="R28" s="14">
        <v>34454</v>
      </c>
      <c r="S28" s="14">
        <v>34731</v>
      </c>
      <c r="T28" s="14">
        <v>34966</v>
      </c>
      <c r="U28" s="14">
        <v>35255</v>
      </c>
      <c r="V28" s="14">
        <v>36353</v>
      </c>
      <c r="W28" s="14">
        <v>36028</v>
      </c>
      <c r="X28" s="14">
        <v>36216</v>
      </c>
      <c r="Y28" s="14">
        <v>36403</v>
      </c>
      <c r="Z28" s="14">
        <v>39809</v>
      </c>
      <c r="AA28" s="14">
        <v>39639</v>
      </c>
    </row>
    <row r="29" spans="1:27" x14ac:dyDescent="0.25">
      <c r="A29" s="11" t="s">
        <v>627</v>
      </c>
      <c r="B29" s="11" t="s">
        <v>628</v>
      </c>
      <c r="C29" s="14">
        <v>19833</v>
      </c>
      <c r="D29" s="14">
        <v>31151.1535</v>
      </c>
      <c r="E29" s="14">
        <v>31681.976900000001</v>
      </c>
      <c r="F29" s="14">
        <v>32627</v>
      </c>
      <c r="G29" s="14">
        <v>32737</v>
      </c>
      <c r="H29" s="14">
        <v>20502.45</v>
      </c>
      <c r="I29" s="14">
        <v>20803.430499999999</v>
      </c>
      <c r="J29" s="14">
        <v>21451</v>
      </c>
      <c r="K29" s="14">
        <v>28708</v>
      </c>
      <c r="L29" s="14">
        <v>22132.750400000001</v>
      </c>
      <c r="M29" s="14">
        <v>29432.134999999998</v>
      </c>
      <c r="N29" s="14">
        <v>35897</v>
      </c>
      <c r="O29" s="14">
        <v>35563</v>
      </c>
      <c r="P29" s="14">
        <v>33824</v>
      </c>
      <c r="Q29" s="14">
        <v>33546</v>
      </c>
      <c r="R29" s="14">
        <v>34454</v>
      </c>
      <c r="S29" s="14">
        <v>34731</v>
      </c>
      <c r="T29" s="14">
        <v>34966</v>
      </c>
      <c r="U29" s="14">
        <v>35255</v>
      </c>
      <c r="V29" s="14">
        <v>36353</v>
      </c>
      <c r="W29" s="14">
        <v>36028</v>
      </c>
      <c r="X29" s="14">
        <v>36216</v>
      </c>
      <c r="Y29" s="14">
        <v>36403</v>
      </c>
      <c r="Z29" s="14">
        <v>39809</v>
      </c>
      <c r="AA29" s="14">
        <v>39639</v>
      </c>
    </row>
    <row r="30" spans="1:27" x14ac:dyDescent="0.25">
      <c r="A30" s="11" t="s">
        <v>629</v>
      </c>
      <c r="B30" s="11" t="s">
        <v>630</v>
      </c>
      <c r="C30" s="14">
        <v>26004</v>
      </c>
      <c r="D30" s="14">
        <v>40406</v>
      </c>
      <c r="E30" s="14">
        <v>39256</v>
      </c>
      <c r="F30" s="14">
        <v>26720</v>
      </c>
      <c r="G30" s="14">
        <v>31055</v>
      </c>
      <c r="H30" s="14">
        <v>54415</v>
      </c>
      <c r="I30" s="14">
        <v>54533</v>
      </c>
      <c r="J30" s="14">
        <v>26732</v>
      </c>
      <c r="K30" s="14">
        <v>43438</v>
      </c>
      <c r="L30" s="14">
        <v>44510.5049</v>
      </c>
      <c r="M30" s="14">
        <v>44718.647299999997</v>
      </c>
      <c r="N30" s="14">
        <v>44829</v>
      </c>
      <c r="O30" s="14">
        <v>44681</v>
      </c>
      <c r="P30" s="14">
        <v>44524</v>
      </c>
      <c r="Q30" s="14">
        <v>44360</v>
      </c>
      <c r="R30" s="14">
        <v>44095</v>
      </c>
      <c r="S30" s="14">
        <v>43586</v>
      </c>
      <c r="T30" s="14">
        <v>42922</v>
      </c>
      <c r="U30" s="14">
        <v>43375</v>
      </c>
      <c r="V30" s="14">
        <v>42965</v>
      </c>
      <c r="W30" s="14">
        <v>42556</v>
      </c>
      <c r="X30" s="14">
        <v>41784</v>
      </c>
      <c r="Y30" s="14">
        <v>39557</v>
      </c>
      <c r="Z30" s="14">
        <v>39068</v>
      </c>
      <c r="AA30" s="14">
        <v>38710</v>
      </c>
    </row>
    <row r="31" spans="1:27" x14ac:dyDescent="0.25">
      <c r="A31" s="11" t="s">
        <v>631</v>
      </c>
      <c r="B31" s="11" t="s">
        <v>632</v>
      </c>
      <c r="C31" s="14">
        <v>25329</v>
      </c>
      <c r="D31" s="14">
        <v>26782</v>
      </c>
      <c r="E31" s="14">
        <v>26764</v>
      </c>
      <c r="F31" s="14">
        <v>26720</v>
      </c>
      <c r="G31" s="14">
        <v>26731</v>
      </c>
      <c r="H31" s="14">
        <v>26720</v>
      </c>
      <c r="I31" s="14">
        <v>26733</v>
      </c>
      <c r="J31" s="14">
        <v>26732</v>
      </c>
      <c r="K31" s="14">
        <v>26720</v>
      </c>
      <c r="L31" s="14">
        <v>26724.632900000001</v>
      </c>
      <c r="M31" s="14">
        <v>26724.4735</v>
      </c>
      <c r="N31" s="14">
        <v>26741</v>
      </c>
      <c r="O31" s="14">
        <v>26710</v>
      </c>
      <c r="P31" s="14">
        <v>26691</v>
      </c>
      <c r="Q31" s="14">
        <v>26697</v>
      </c>
      <c r="R31" s="14">
        <v>26825</v>
      </c>
      <c r="S31" s="14">
        <v>26823</v>
      </c>
      <c r="T31" s="14">
        <v>26859</v>
      </c>
      <c r="U31" s="14">
        <v>27978</v>
      </c>
      <c r="V31" s="14">
        <v>28067</v>
      </c>
      <c r="W31" s="14">
        <v>28034</v>
      </c>
      <c r="X31" s="14">
        <v>27905</v>
      </c>
      <c r="Y31" s="14">
        <v>27644</v>
      </c>
      <c r="Z31" s="14">
        <v>27478</v>
      </c>
      <c r="AA31" s="14">
        <v>27511</v>
      </c>
    </row>
    <row r="32" spans="1:27" x14ac:dyDescent="0.25">
      <c r="A32" s="11" t="s">
        <v>633</v>
      </c>
      <c r="B32" s="11" t="s">
        <v>634</v>
      </c>
      <c r="C32" s="14">
        <v>675</v>
      </c>
      <c r="D32" s="14">
        <v>13624</v>
      </c>
      <c r="E32" s="14">
        <v>12492</v>
      </c>
      <c r="F32" s="14" t="s">
        <v>1033</v>
      </c>
      <c r="G32" s="14">
        <v>4324</v>
      </c>
      <c r="H32" s="14">
        <v>27695</v>
      </c>
      <c r="I32" s="14">
        <v>27800</v>
      </c>
      <c r="J32" s="14" t="s">
        <v>1033</v>
      </c>
      <c r="K32" s="14">
        <v>16718</v>
      </c>
      <c r="L32" s="14">
        <v>17785.871999999999</v>
      </c>
      <c r="M32" s="14">
        <v>17994.173699999999</v>
      </c>
      <c r="N32" s="14">
        <v>18088</v>
      </c>
      <c r="O32" s="14">
        <v>17971</v>
      </c>
      <c r="P32" s="14">
        <v>17833</v>
      </c>
      <c r="Q32" s="14">
        <v>17663</v>
      </c>
      <c r="R32" s="14">
        <v>17270</v>
      </c>
      <c r="S32" s="14">
        <v>16763</v>
      </c>
      <c r="T32" s="14">
        <v>16063</v>
      </c>
      <c r="U32" s="14">
        <v>15397</v>
      </c>
      <c r="V32" s="14">
        <v>14898</v>
      </c>
      <c r="W32" s="14">
        <v>14522</v>
      </c>
      <c r="X32" s="14">
        <v>13879</v>
      </c>
      <c r="Y32" s="14">
        <v>11913</v>
      </c>
      <c r="Z32" s="14">
        <v>11590</v>
      </c>
      <c r="AA32" s="14">
        <v>11199</v>
      </c>
    </row>
    <row r="33" spans="1:27" x14ac:dyDescent="0.25">
      <c r="A33" s="11" t="s">
        <v>635</v>
      </c>
      <c r="B33" s="11" t="s">
        <v>636</v>
      </c>
      <c r="C33" s="14">
        <v>13489</v>
      </c>
      <c r="D33" s="14">
        <v>13893.7431</v>
      </c>
      <c r="E33" s="14">
        <v>14368.101000000001</v>
      </c>
      <c r="F33" s="14">
        <v>14805</v>
      </c>
      <c r="G33" s="14">
        <v>13511</v>
      </c>
      <c r="H33" s="14">
        <v>14155.4822</v>
      </c>
      <c r="I33" s="14">
        <v>14476.1952</v>
      </c>
      <c r="J33" s="14">
        <v>15004</v>
      </c>
      <c r="K33" s="14">
        <v>13420</v>
      </c>
      <c r="L33" s="14">
        <v>14216.4804</v>
      </c>
      <c r="M33" s="14">
        <v>14476.235699999999</v>
      </c>
      <c r="N33" s="14">
        <v>14954</v>
      </c>
      <c r="O33" s="14">
        <v>14485</v>
      </c>
      <c r="P33" s="14">
        <v>14765</v>
      </c>
      <c r="Q33" s="14">
        <v>15006</v>
      </c>
      <c r="R33" s="14">
        <v>15495</v>
      </c>
      <c r="S33" s="14">
        <v>14514</v>
      </c>
      <c r="T33" s="14">
        <v>14832</v>
      </c>
      <c r="U33" s="14">
        <v>15283</v>
      </c>
      <c r="V33" s="14">
        <v>15629</v>
      </c>
      <c r="W33" s="14">
        <v>14662</v>
      </c>
      <c r="X33" s="14">
        <v>14986</v>
      </c>
      <c r="Y33" s="14">
        <v>15421</v>
      </c>
      <c r="Z33" s="14">
        <v>15758</v>
      </c>
      <c r="AA33" s="14">
        <v>14590</v>
      </c>
    </row>
    <row r="34" spans="1:27" x14ac:dyDescent="0.25">
      <c r="A34" s="11" t="s">
        <v>637</v>
      </c>
      <c r="B34" s="11" t="s">
        <v>638</v>
      </c>
      <c r="C34" s="14">
        <v>3742</v>
      </c>
      <c r="D34" s="14">
        <v>201.25700000000001</v>
      </c>
      <c r="E34" s="14">
        <v>0</v>
      </c>
      <c r="F34" s="14" t="s">
        <v>1033</v>
      </c>
      <c r="G34" s="14" t="s">
        <v>1033</v>
      </c>
      <c r="H34" s="14">
        <v>0</v>
      </c>
      <c r="I34" s="14">
        <v>0</v>
      </c>
      <c r="J34" s="14">
        <v>0</v>
      </c>
      <c r="K34" s="14">
        <v>0</v>
      </c>
      <c r="L34" s="14" t="s">
        <v>1033</v>
      </c>
      <c r="M34" s="14" t="s">
        <v>1033</v>
      </c>
      <c r="N34" s="14">
        <v>0</v>
      </c>
      <c r="O34" s="14">
        <v>0</v>
      </c>
      <c r="P34" s="14" t="s">
        <v>1033</v>
      </c>
      <c r="Q34" s="14">
        <v>12</v>
      </c>
      <c r="R34" s="14">
        <v>0</v>
      </c>
      <c r="S34" s="14">
        <v>0</v>
      </c>
      <c r="T34" s="14">
        <v>2023</v>
      </c>
      <c r="U34" s="14">
        <v>1664</v>
      </c>
      <c r="V34" s="14">
        <v>0</v>
      </c>
      <c r="W34" s="14">
        <v>2720</v>
      </c>
      <c r="X34" s="14">
        <v>2244</v>
      </c>
      <c r="Y34" s="14">
        <v>1938</v>
      </c>
      <c r="Z34" s="14">
        <v>3437</v>
      </c>
      <c r="AA34" s="14">
        <v>1885</v>
      </c>
    </row>
    <row r="35" spans="1:27" x14ac:dyDescent="0.25">
      <c r="A35" s="11" t="s">
        <v>639</v>
      </c>
      <c r="B35" s="11" t="s">
        <v>640</v>
      </c>
      <c r="C35" s="14">
        <v>59933</v>
      </c>
      <c r="D35" s="14">
        <v>82502.968500000003</v>
      </c>
      <c r="E35" s="14">
        <v>72073.828500000003</v>
      </c>
      <c r="F35" s="14">
        <v>50330</v>
      </c>
      <c r="G35" s="14">
        <v>40079</v>
      </c>
      <c r="H35" s="14">
        <v>33821.898399999998</v>
      </c>
      <c r="I35" s="14">
        <v>35062.978000000003</v>
      </c>
      <c r="J35" s="14">
        <v>28036</v>
      </c>
      <c r="K35" s="14">
        <v>119142</v>
      </c>
      <c r="L35" s="14">
        <v>41589.739099999999</v>
      </c>
      <c r="M35" s="14">
        <v>46458.957199999997</v>
      </c>
      <c r="N35" s="14">
        <v>43033</v>
      </c>
      <c r="O35" s="14">
        <v>77037</v>
      </c>
      <c r="P35" s="14">
        <v>104157</v>
      </c>
      <c r="Q35" s="14">
        <v>134581</v>
      </c>
      <c r="R35" s="14">
        <v>38317</v>
      </c>
      <c r="S35" s="14">
        <v>38593</v>
      </c>
      <c r="T35" s="14">
        <v>30107</v>
      </c>
      <c r="U35" s="14">
        <v>24191</v>
      </c>
      <c r="V35" s="14">
        <v>26128</v>
      </c>
      <c r="W35" s="14">
        <v>21932</v>
      </c>
      <c r="X35" s="14">
        <v>23521</v>
      </c>
      <c r="Y35" s="14">
        <v>22063</v>
      </c>
      <c r="Z35" s="14">
        <v>22272</v>
      </c>
      <c r="AA35" s="14">
        <v>23937</v>
      </c>
    </row>
    <row r="36" spans="1:27" x14ac:dyDescent="0.25">
      <c r="A36" s="11" t="s">
        <v>641</v>
      </c>
      <c r="B36" s="11" t="s">
        <v>642</v>
      </c>
      <c r="C36" s="14" t="s">
        <v>1033</v>
      </c>
      <c r="D36" s="14" t="s">
        <v>1033</v>
      </c>
      <c r="E36" s="14" t="s">
        <v>1033</v>
      </c>
      <c r="F36" s="14">
        <v>0</v>
      </c>
      <c r="G36" s="14" t="s">
        <v>1033</v>
      </c>
      <c r="H36" s="14" t="s">
        <v>1033</v>
      </c>
      <c r="I36" s="14">
        <v>0</v>
      </c>
      <c r="J36" s="14" t="s">
        <v>1033</v>
      </c>
      <c r="K36" s="14" t="s">
        <v>1033</v>
      </c>
      <c r="L36" s="14" t="s">
        <v>1033</v>
      </c>
      <c r="M36" s="14" t="s">
        <v>1033</v>
      </c>
      <c r="N36" s="14">
        <v>0</v>
      </c>
      <c r="O36" s="14" t="s">
        <v>1033</v>
      </c>
      <c r="P36" s="14" t="s">
        <v>1033</v>
      </c>
      <c r="Q36" s="14">
        <v>0</v>
      </c>
      <c r="R36" s="14">
        <v>0</v>
      </c>
      <c r="S36" s="14" t="s">
        <v>1033</v>
      </c>
      <c r="T36" s="14" t="s">
        <v>1033</v>
      </c>
      <c r="U36" s="14">
        <v>0</v>
      </c>
      <c r="V36" s="14">
        <v>0</v>
      </c>
      <c r="W36" s="14" t="s">
        <v>1033</v>
      </c>
      <c r="X36" s="14" t="s">
        <v>1033</v>
      </c>
      <c r="Y36" s="14">
        <v>0</v>
      </c>
      <c r="Z36" s="14">
        <v>0</v>
      </c>
      <c r="AA36" s="14">
        <v>0</v>
      </c>
    </row>
    <row r="37" spans="1:27" x14ac:dyDescent="0.25">
      <c r="A37" s="11" t="s">
        <v>643</v>
      </c>
      <c r="B37" s="11" t="s">
        <v>644</v>
      </c>
      <c r="C37" s="14">
        <v>32515</v>
      </c>
      <c r="D37" s="14">
        <v>7731.9169000000002</v>
      </c>
      <c r="E37" s="14">
        <v>7641.0204999999996</v>
      </c>
      <c r="F37" s="14">
        <v>38675</v>
      </c>
      <c r="G37" s="14">
        <v>15199</v>
      </c>
      <c r="H37" s="14">
        <v>7762.53</v>
      </c>
      <c r="I37" s="14">
        <v>8009.7263000000003</v>
      </c>
      <c r="J37" s="14">
        <v>43225</v>
      </c>
      <c r="K37" s="14">
        <v>21954</v>
      </c>
      <c r="L37" s="14">
        <v>45754.121599999999</v>
      </c>
      <c r="M37" s="14">
        <v>39337.917500000003</v>
      </c>
      <c r="N37" s="14">
        <v>31746</v>
      </c>
      <c r="O37" s="14">
        <v>14665</v>
      </c>
      <c r="P37" s="14">
        <v>17080</v>
      </c>
      <c r="Q37" s="14">
        <v>25047</v>
      </c>
      <c r="R37" s="14">
        <v>31821</v>
      </c>
      <c r="S37" s="14">
        <v>39608</v>
      </c>
      <c r="T37" s="14">
        <v>38645</v>
      </c>
      <c r="U37" s="14">
        <v>35428</v>
      </c>
      <c r="V37" s="14">
        <v>39567</v>
      </c>
      <c r="W37" s="14">
        <v>47138</v>
      </c>
      <c r="X37" s="14">
        <v>42166</v>
      </c>
      <c r="Y37" s="14">
        <v>41178</v>
      </c>
      <c r="Z37" s="14">
        <v>42714</v>
      </c>
      <c r="AA37" s="14">
        <v>45038</v>
      </c>
    </row>
    <row r="38" spans="1:27" x14ac:dyDescent="0.25">
      <c r="A38" s="7" t="s">
        <v>65</v>
      </c>
      <c r="B38" s="7" t="s">
        <v>66</v>
      </c>
      <c r="C38" s="20">
        <v>1729280</v>
      </c>
      <c r="D38" s="20">
        <v>1783581.1784000001</v>
      </c>
      <c r="E38" s="20">
        <v>1795305.5882999999</v>
      </c>
      <c r="F38" s="20">
        <v>1787904</v>
      </c>
      <c r="G38" s="20">
        <v>1917900</v>
      </c>
      <c r="H38" s="20">
        <v>1802363.0895</v>
      </c>
      <c r="I38" s="20">
        <v>1803695.2135999999</v>
      </c>
      <c r="J38" s="20">
        <v>1850879</v>
      </c>
      <c r="K38" s="20">
        <v>2035427</v>
      </c>
      <c r="L38" s="20">
        <v>2033315.6011999999</v>
      </c>
      <c r="M38" s="20">
        <v>2033008.0985000001</v>
      </c>
      <c r="N38" s="20">
        <v>2070072</v>
      </c>
      <c r="O38" s="20">
        <v>2130031</v>
      </c>
      <c r="P38" s="20">
        <v>2191378</v>
      </c>
      <c r="Q38" s="20">
        <v>2298368</v>
      </c>
      <c r="R38" s="20">
        <v>2274859</v>
      </c>
      <c r="S38" s="20">
        <v>2395399</v>
      </c>
      <c r="T38" s="20">
        <v>2435013</v>
      </c>
      <c r="U38" s="20">
        <v>2420031</v>
      </c>
      <c r="V38" s="20">
        <v>2471209</v>
      </c>
      <c r="W38" s="20">
        <v>2552759</v>
      </c>
      <c r="X38" s="20">
        <v>2524481</v>
      </c>
      <c r="Y38" s="20">
        <v>2509263</v>
      </c>
      <c r="Z38" s="20">
        <v>2598663</v>
      </c>
      <c r="AA38" s="20">
        <v>2635909</v>
      </c>
    </row>
    <row r="39" spans="1:27" x14ac:dyDescent="0.25">
      <c r="A39" s="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x14ac:dyDescent="0.25">
      <c r="A40" s="7" t="s">
        <v>645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x14ac:dyDescent="0.25">
      <c r="A41" s="11" t="s">
        <v>646</v>
      </c>
      <c r="B41" s="11" t="s">
        <v>647</v>
      </c>
      <c r="C41" s="14">
        <v>433849</v>
      </c>
      <c r="D41" s="14">
        <v>472228.64980000001</v>
      </c>
      <c r="E41" s="14">
        <v>499130.01610000001</v>
      </c>
      <c r="F41" s="14">
        <v>520283</v>
      </c>
      <c r="G41" s="14">
        <v>541002</v>
      </c>
      <c r="H41" s="14">
        <v>531773.11880000005</v>
      </c>
      <c r="I41" s="14">
        <v>513916.36599999998</v>
      </c>
      <c r="J41" s="14">
        <v>528051</v>
      </c>
      <c r="K41" s="14">
        <v>570690</v>
      </c>
      <c r="L41" s="14">
        <v>592056.14210000006</v>
      </c>
      <c r="M41" s="14">
        <v>591050.98400000005</v>
      </c>
      <c r="N41" s="14">
        <v>597782</v>
      </c>
      <c r="O41" s="14">
        <v>603364</v>
      </c>
      <c r="P41" s="14">
        <v>643394</v>
      </c>
      <c r="Q41" s="14">
        <v>675678</v>
      </c>
      <c r="R41" s="14">
        <v>678923</v>
      </c>
      <c r="S41" s="14">
        <v>697414</v>
      </c>
      <c r="T41" s="14">
        <v>705265</v>
      </c>
      <c r="U41" s="14">
        <v>698455</v>
      </c>
      <c r="V41" s="14">
        <v>722181</v>
      </c>
      <c r="W41" s="14">
        <v>773797</v>
      </c>
      <c r="X41" s="14">
        <v>777250</v>
      </c>
      <c r="Y41" s="14">
        <v>742978</v>
      </c>
      <c r="Z41" s="14">
        <v>813139</v>
      </c>
      <c r="AA41" s="14">
        <v>810025</v>
      </c>
    </row>
    <row r="42" spans="1:27" x14ac:dyDescent="0.25">
      <c r="A42" s="11" t="s">
        <v>648</v>
      </c>
      <c r="B42" s="11" t="s">
        <v>649</v>
      </c>
      <c r="C42" s="14">
        <v>301575</v>
      </c>
      <c r="D42" s="14">
        <v>293532.8946</v>
      </c>
      <c r="E42" s="14">
        <v>278158.64360000001</v>
      </c>
      <c r="F42" s="14">
        <v>266519</v>
      </c>
      <c r="G42" s="14">
        <v>254952</v>
      </c>
      <c r="H42" s="14">
        <v>246402.2807</v>
      </c>
      <c r="I42" s="14">
        <v>249589.46309999999</v>
      </c>
      <c r="J42" s="14">
        <v>240151</v>
      </c>
      <c r="K42" s="14">
        <v>234985</v>
      </c>
      <c r="L42" s="14">
        <v>251627.58780000001</v>
      </c>
      <c r="M42" s="14">
        <v>260008.48869999999</v>
      </c>
      <c r="N42" s="14">
        <v>279155</v>
      </c>
      <c r="O42" s="14">
        <v>282985</v>
      </c>
      <c r="P42" s="14">
        <v>293154</v>
      </c>
      <c r="Q42" s="14">
        <v>321095</v>
      </c>
      <c r="R42" s="14">
        <v>340196</v>
      </c>
      <c r="S42" s="14">
        <v>325317</v>
      </c>
      <c r="T42" s="14">
        <v>350578</v>
      </c>
      <c r="U42" s="14">
        <v>375464</v>
      </c>
      <c r="V42" s="14">
        <v>365479</v>
      </c>
      <c r="W42" s="14">
        <v>364086</v>
      </c>
      <c r="X42" s="14">
        <v>371775</v>
      </c>
      <c r="Y42" s="14">
        <v>379541</v>
      </c>
      <c r="Z42" s="14">
        <v>389273</v>
      </c>
      <c r="AA42" s="14">
        <v>393688</v>
      </c>
    </row>
    <row r="43" spans="1:27" x14ac:dyDescent="0.25">
      <c r="A43" s="11" t="s">
        <v>650</v>
      </c>
      <c r="B43" s="11" t="s">
        <v>651</v>
      </c>
      <c r="C43" s="14">
        <v>301575</v>
      </c>
      <c r="D43" s="14">
        <v>293532.8946</v>
      </c>
      <c r="E43" s="14">
        <v>278158.64360000001</v>
      </c>
      <c r="F43" s="14">
        <v>266519</v>
      </c>
      <c r="G43" s="14">
        <v>254952</v>
      </c>
      <c r="H43" s="14">
        <v>246402.2807</v>
      </c>
      <c r="I43" s="14">
        <v>249589.46309999999</v>
      </c>
      <c r="J43" s="14">
        <v>240151</v>
      </c>
      <c r="K43" s="14">
        <v>234985</v>
      </c>
      <c r="L43" s="14">
        <v>251627.58780000001</v>
      </c>
      <c r="M43" s="14">
        <v>260008.48869999999</v>
      </c>
      <c r="N43" s="14">
        <v>279155</v>
      </c>
      <c r="O43" s="14">
        <v>282985</v>
      </c>
      <c r="P43" s="14">
        <v>293154</v>
      </c>
      <c r="Q43" s="14">
        <v>321095</v>
      </c>
      <c r="R43" s="14">
        <v>340196</v>
      </c>
      <c r="S43" s="14">
        <v>325317</v>
      </c>
      <c r="T43" s="14">
        <v>350578</v>
      </c>
      <c r="U43" s="14">
        <v>375464</v>
      </c>
      <c r="V43" s="14">
        <v>365479</v>
      </c>
      <c r="W43" s="14">
        <v>364086</v>
      </c>
      <c r="X43" s="14">
        <v>371775</v>
      </c>
      <c r="Y43" s="14">
        <v>379541</v>
      </c>
      <c r="Z43" s="14">
        <v>389273</v>
      </c>
      <c r="AA43" s="14">
        <v>393688</v>
      </c>
    </row>
    <row r="44" spans="1:27" x14ac:dyDescent="0.25">
      <c r="A44" s="11" t="s">
        <v>652</v>
      </c>
      <c r="B44" s="11" t="s">
        <v>653</v>
      </c>
      <c r="C44" s="14">
        <v>37568</v>
      </c>
      <c r="D44" s="14">
        <v>35386.336199999998</v>
      </c>
      <c r="E44" s="14">
        <v>35815.416700000002</v>
      </c>
      <c r="F44" s="14">
        <v>34910</v>
      </c>
      <c r="G44" s="14">
        <v>34576</v>
      </c>
      <c r="H44" s="14">
        <v>31906.654999999999</v>
      </c>
      <c r="I44" s="14">
        <v>29785.892599999999</v>
      </c>
      <c r="J44" s="14">
        <v>30823</v>
      </c>
      <c r="K44" s="14">
        <v>30353</v>
      </c>
      <c r="L44" s="14">
        <v>21507.132600000001</v>
      </c>
      <c r="M44" s="14">
        <v>21852.300500000001</v>
      </c>
      <c r="N44" s="14">
        <v>20255</v>
      </c>
      <c r="O44" s="14">
        <v>30620</v>
      </c>
      <c r="P44" s="14">
        <v>40248</v>
      </c>
      <c r="Q44" s="14">
        <v>40189</v>
      </c>
      <c r="R44" s="14">
        <v>33643</v>
      </c>
      <c r="S44" s="14">
        <v>49700</v>
      </c>
      <c r="T44" s="14">
        <v>49275</v>
      </c>
      <c r="U44" s="14">
        <v>50687</v>
      </c>
      <c r="V44" s="14">
        <v>45840</v>
      </c>
      <c r="W44" s="14">
        <v>39431</v>
      </c>
      <c r="X44" s="14">
        <v>39407</v>
      </c>
      <c r="Y44" s="14">
        <v>39237</v>
      </c>
      <c r="Z44" s="14">
        <v>39595</v>
      </c>
      <c r="AA44" s="14">
        <v>39706</v>
      </c>
    </row>
    <row r="45" spans="1:27" x14ac:dyDescent="0.25">
      <c r="A45" s="11" t="s">
        <v>654</v>
      </c>
      <c r="B45" s="11" t="s">
        <v>62</v>
      </c>
      <c r="C45" s="14">
        <v>772992</v>
      </c>
      <c r="D45" s="14">
        <v>801147.88060000003</v>
      </c>
      <c r="E45" s="14">
        <v>813104.07640000002</v>
      </c>
      <c r="F45" s="14">
        <v>821712</v>
      </c>
      <c r="G45" s="14">
        <v>830530</v>
      </c>
      <c r="H45" s="14">
        <v>810082.05440000002</v>
      </c>
      <c r="I45" s="14">
        <v>793291.72160000005</v>
      </c>
      <c r="J45" s="14">
        <v>799025</v>
      </c>
      <c r="K45" s="14">
        <v>836028</v>
      </c>
      <c r="L45" s="14">
        <v>865190.86259999999</v>
      </c>
      <c r="M45" s="14">
        <v>872911.77320000005</v>
      </c>
      <c r="N45" s="14">
        <v>897192</v>
      </c>
      <c r="O45" s="14">
        <v>916969</v>
      </c>
      <c r="P45" s="14">
        <v>976796</v>
      </c>
      <c r="Q45" s="14">
        <v>1036962</v>
      </c>
      <c r="R45" s="14">
        <v>1052762</v>
      </c>
      <c r="S45" s="14">
        <v>1072431</v>
      </c>
      <c r="T45" s="14">
        <v>1105118</v>
      </c>
      <c r="U45" s="14">
        <v>1124606</v>
      </c>
      <c r="V45" s="14">
        <v>1133500</v>
      </c>
      <c r="W45" s="14">
        <v>1177314</v>
      </c>
      <c r="X45" s="14">
        <v>1188432</v>
      </c>
      <c r="Y45" s="14">
        <v>1161756</v>
      </c>
      <c r="Z45" s="14">
        <v>1242007</v>
      </c>
      <c r="AA45" s="14">
        <v>1243419</v>
      </c>
    </row>
    <row r="46" spans="1:27" x14ac:dyDescent="0.25">
      <c r="A46" s="11" t="s">
        <v>655</v>
      </c>
      <c r="B46" s="11" t="s">
        <v>656</v>
      </c>
      <c r="C46" s="14">
        <v>380080</v>
      </c>
      <c r="D46" s="14">
        <v>400584.14120000001</v>
      </c>
      <c r="E46" s="14">
        <v>374814.0624</v>
      </c>
      <c r="F46" s="14">
        <v>339691</v>
      </c>
      <c r="G46" s="14">
        <v>490774</v>
      </c>
      <c r="H46" s="14">
        <v>402202.5931</v>
      </c>
      <c r="I46" s="14">
        <v>391175.14169999998</v>
      </c>
      <c r="J46" s="14">
        <v>368581</v>
      </c>
      <c r="K46" s="14">
        <v>485606</v>
      </c>
      <c r="L46" s="14">
        <v>442586.01270000002</v>
      </c>
      <c r="M46" s="14">
        <v>434636.4461</v>
      </c>
      <c r="N46" s="14">
        <v>464208</v>
      </c>
      <c r="O46" s="14">
        <v>473678</v>
      </c>
      <c r="P46" s="14">
        <v>496632</v>
      </c>
      <c r="Q46" s="14">
        <v>523267</v>
      </c>
      <c r="R46" s="14">
        <v>494888</v>
      </c>
      <c r="S46" s="14">
        <v>563011</v>
      </c>
      <c r="T46" s="14">
        <v>570001</v>
      </c>
      <c r="U46" s="14">
        <v>528156</v>
      </c>
      <c r="V46" s="14">
        <v>534342</v>
      </c>
      <c r="W46" s="14">
        <v>532180</v>
      </c>
      <c r="X46" s="14">
        <v>534786</v>
      </c>
      <c r="Y46" s="14">
        <v>526911</v>
      </c>
      <c r="Z46" s="14">
        <v>546017</v>
      </c>
      <c r="AA46" s="14">
        <v>536250</v>
      </c>
    </row>
    <row r="47" spans="1:27" x14ac:dyDescent="0.25">
      <c r="A47" s="11" t="s">
        <v>657</v>
      </c>
      <c r="B47" s="11" t="s">
        <v>658</v>
      </c>
      <c r="C47" s="14">
        <v>354254</v>
      </c>
      <c r="D47" s="14">
        <v>353218.65870000003</v>
      </c>
      <c r="E47" s="14">
        <v>352629.20429999998</v>
      </c>
      <c r="F47" s="14">
        <v>317192</v>
      </c>
      <c r="G47" s="14">
        <v>470720</v>
      </c>
      <c r="H47" s="14">
        <v>382671.67680000002</v>
      </c>
      <c r="I47" s="14">
        <v>374346.52260000003</v>
      </c>
      <c r="J47" s="14">
        <v>342710</v>
      </c>
      <c r="K47" s="14">
        <v>465547</v>
      </c>
      <c r="L47" s="14">
        <v>427301.36300000001</v>
      </c>
      <c r="M47" s="14">
        <v>417009.16220000002</v>
      </c>
      <c r="N47" s="14">
        <v>441801</v>
      </c>
      <c r="O47" s="14">
        <v>455313</v>
      </c>
      <c r="P47" s="14">
        <v>478628</v>
      </c>
      <c r="Q47" s="14">
        <v>504926</v>
      </c>
      <c r="R47" s="14">
        <v>469157</v>
      </c>
      <c r="S47" s="14">
        <v>538422</v>
      </c>
      <c r="T47" s="14">
        <v>542220</v>
      </c>
      <c r="U47" s="14">
        <v>502715</v>
      </c>
      <c r="V47" s="14">
        <v>512146</v>
      </c>
      <c r="W47" s="14">
        <v>508326</v>
      </c>
      <c r="X47" s="14">
        <v>508892</v>
      </c>
      <c r="Y47" s="14">
        <v>503267</v>
      </c>
      <c r="Z47" s="14">
        <v>518918</v>
      </c>
      <c r="AA47" s="14">
        <v>509361</v>
      </c>
    </row>
    <row r="48" spans="1:27" x14ac:dyDescent="0.25">
      <c r="A48" s="11" t="s">
        <v>659</v>
      </c>
      <c r="B48" s="11" t="s">
        <v>660</v>
      </c>
      <c r="C48" s="14">
        <v>25826</v>
      </c>
      <c r="D48" s="14">
        <v>47365.482600000003</v>
      </c>
      <c r="E48" s="14">
        <v>22184.858100000001</v>
      </c>
      <c r="F48" s="14">
        <v>22499</v>
      </c>
      <c r="G48" s="14">
        <v>20054</v>
      </c>
      <c r="H48" s="14">
        <v>19530.9162</v>
      </c>
      <c r="I48" s="14">
        <v>16828.6191</v>
      </c>
      <c r="J48" s="14">
        <v>25871</v>
      </c>
      <c r="K48" s="14">
        <v>20059</v>
      </c>
      <c r="L48" s="14">
        <v>15284.6497</v>
      </c>
      <c r="M48" s="14">
        <v>17627.283899999999</v>
      </c>
      <c r="N48" s="14">
        <v>22407</v>
      </c>
      <c r="O48" s="14">
        <v>18365</v>
      </c>
      <c r="P48" s="14">
        <v>18004</v>
      </c>
      <c r="Q48" s="14">
        <v>18341</v>
      </c>
      <c r="R48" s="14">
        <v>25731</v>
      </c>
      <c r="S48" s="14">
        <v>24589</v>
      </c>
      <c r="T48" s="14">
        <v>27781</v>
      </c>
      <c r="U48" s="14">
        <v>25441</v>
      </c>
      <c r="V48" s="14">
        <v>22196</v>
      </c>
      <c r="W48" s="14">
        <v>23854</v>
      </c>
      <c r="X48" s="14">
        <v>25894</v>
      </c>
      <c r="Y48" s="14">
        <v>23644</v>
      </c>
      <c r="Z48" s="14">
        <v>27099</v>
      </c>
      <c r="AA48" s="14">
        <v>26889</v>
      </c>
    </row>
    <row r="49" spans="1:27" x14ac:dyDescent="0.25">
      <c r="A49" s="11" t="s">
        <v>661</v>
      </c>
      <c r="B49" s="11" t="s">
        <v>662</v>
      </c>
      <c r="C49" s="14">
        <v>70098</v>
      </c>
      <c r="D49" s="14">
        <v>71772.247600000002</v>
      </c>
      <c r="E49" s="14">
        <v>79463.937300000005</v>
      </c>
      <c r="F49" s="14">
        <v>70682</v>
      </c>
      <c r="G49" s="14">
        <v>81231</v>
      </c>
      <c r="H49" s="14">
        <v>71487.7166</v>
      </c>
      <c r="I49" s="14">
        <v>73143.960200000001</v>
      </c>
      <c r="J49" s="14">
        <v>94190</v>
      </c>
      <c r="K49" s="14">
        <v>98789</v>
      </c>
      <c r="L49" s="14">
        <v>96318.1158</v>
      </c>
      <c r="M49" s="14">
        <v>89937.946100000001</v>
      </c>
      <c r="N49" s="14">
        <v>87550</v>
      </c>
      <c r="O49" s="14">
        <v>83307</v>
      </c>
      <c r="P49" s="14">
        <v>75453</v>
      </c>
      <c r="Q49" s="14">
        <v>75214</v>
      </c>
      <c r="R49" s="14">
        <v>66779</v>
      </c>
      <c r="S49" s="14">
        <v>66206</v>
      </c>
      <c r="T49" s="14">
        <v>75070</v>
      </c>
      <c r="U49" s="14">
        <v>68704</v>
      </c>
      <c r="V49" s="14">
        <v>104370</v>
      </c>
      <c r="W49" s="14">
        <v>101187</v>
      </c>
      <c r="X49" s="14">
        <v>90228</v>
      </c>
      <c r="Y49" s="14">
        <v>88486</v>
      </c>
      <c r="Z49" s="14">
        <v>89931</v>
      </c>
      <c r="AA49" s="14">
        <v>89303</v>
      </c>
    </row>
    <row r="50" spans="1:27" x14ac:dyDescent="0.25">
      <c r="A50" s="11" t="s">
        <v>663</v>
      </c>
      <c r="B50" s="11" t="s">
        <v>664</v>
      </c>
      <c r="C50" s="14" t="s">
        <v>1033</v>
      </c>
      <c r="D50" s="14" t="s">
        <v>1033</v>
      </c>
      <c r="E50" s="14" t="s">
        <v>1033</v>
      </c>
      <c r="F50" s="14" t="s">
        <v>1033</v>
      </c>
      <c r="G50" s="14">
        <v>8495</v>
      </c>
      <c r="H50" s="14" t="s">
        <v>1033</v>
      </c>
      <c r="I50" s="14" t="s">
        <v>1033</v>
      </c>
      <c r="J50" s="14" t="s">
        <v>1033</v>
      </c>
      <c r="K50" s="14">
        <v>7695</v>
      </c>
      <c r="L50" s="14">
        <v>7406.9911000000002</v>
      </c>
      <c r="M50" s="14">
        <v>7099.0236000000004</v>
      </c>
      <c r="N50" s="14">
        <v>6771</v>
      </c>
      <c r="O50" s="14">
        <v>6437</v>
      </c>
      <c r="P50" s="14">
        <v>4104</v>
      </c>
      <c r="Q50" s="14">
        <v>4046</v>
      </c>
      <c r="R50" s="14">
        <v>3947</v>
      </c>
      <c r="S50" s="14">
        <v>4118</v>
      </c>
      <c r="T50" s="14">
        <v>4342</v>
      </c>
      <c r="U50" s="14">
        <v>4485</v>
      </c>
      <c r="V50" s="14">
        <v>4577</v>
      </c>
      <c r="W50" s="14">
        <v>4266</v>
      </c>
      <c r="X50" s="14">
        <v>4234</v>
      </c>
      <c r="Y50" s="14">
        <v>4508</v>
      </c>
      <c r="Z50" s="14">
        <v>4717</v>
      </c>
      <c r="AA50" s="14">
        <v>4831</v>
      </c>
    </row>
    <row r="51" spans="1:27" x14ac:dyDescent="0.25">
      <c r="A51" s="11" t="s">
        <v>665</v>
      </c>
      <c r="B51" s="11" t="s">
        <v>666</v>
      </c>
      <c r="C51" s="14">
        <v>70098</v>
      </c>
      <c r="D51" s="14">
        <v>71772.247600000002</v>
      </c>
      <c r="E51" s="14">
        <v>79463.937300000005</v>
      </c>
      <c r="F51" s="14">
        <v>70682</v>
      </c>
      <c r="G51" s="14">
        <v>72736</v>
      </c>
      <c r="H51" s="14">
        <v>71487.7166</v>
      </c>
      <c r="I51" s="14">
        <v>73143.960200000001</v>
      </c>
      <c r="J51" s="14">
        <v>94190</v>
      </c>
      <c r="K51" s="14">
        <v>91094</v>
      </c>
      <c r="L51" s="14">
        <v>88911.1247</v>
      </c>
      <c r="M51" s="14">
        <v>82838.922500000001</v>
      </c>
      <c r="N51" s="14">
        <v>80779</v>
      </c>
      <c r="O51" s="14">
        <v>76870</v>
      </c>
      <c r="P51" s="14">
        <v>71349</v>
      </c>
      <c r="Q51" s="14">
        <v>71168</v>
      </c>
      <c r="R51" s="14">
        <v>62832</v>
      </c>
      <c r="S51" s="14">
        <v>62088</v>
      </c>
      <c r="T51" s="14">
        <v>70728</v>
      </c>
      <c r="U51" s="14">
        <v>64219</v>
      </c>
      <c r="V51" s="14">
        <v>99793</v>
      </c>
      <c r="W51" s="14">
        <v>96921</v>
      </c>
      <c r="X51" s="14">
        <v>85994</v>
      </c>
      <c r="Y51" s="14">
        <v>83978</v>
      </c>
      <c r="Z51" s="14">
        <v>85214</v>
      </c>
      <c r="AA51" s="14">
        <v>84472</v>
      </c>
    </row>
    <row r="52" spans="1:27" x14ac:dyDescent="0.25">
      <c r="A52" s="11" t="s">
        <v>667</v>
      </c>
      <c r="B52" s="11" t="s">
        <v>668</v>
      </c>
      <c r="C52" s="14" t="s">
        <v>1033</v>
      </c>
      <c r="D52" s="14" t="s">
        <v>1033</v>
      </c>
      <c r="E52" s="14" t="s">
        <v>1033</v>
      </c>
      <c r="F52" s="14">
        <v>3202</v>
      </c>
      <c r="G52" s="14" t="s">
        <v>1033</v>
      </c>
      <c r="H52" s="14" t="s">
        <v>1033</v>
      </c>
      <c r="I52" s="14" t="s">
        <v>1033</v>
      </c>
      <c r="J52" s="14">
        <v>3363</v>
      </c>
      <c r="K52" s="14" t="s">
        <v>1033</v>
      </c>
      <c r="L52" s="14">
        <v>7041.8357999999998</v>
      </c>
      <c r="M52" s="14">
        <v>8014.2266</v>
      </c>
      <c r="N52" s="14">
        <v>9550</v>
      </c>
      <c r="O52" s="14" t="s">
        <v>1033</v>
      </c>
      <c r="P52" s="14" t="s">
        <v>1033</v>
      </c>
      <c r="Q52" s="14" t="s">
        <v>1033</v>
      </c>
      <c r="R52" s="14">
        <v>11399</v>
      </c>
      <c r="S52" s="14" t="s">
        <v>1033</v>
      </c>
      <c r="T52" s="14" t="s">
        <v>1033</v>
      </c>
      <c r="U52" s="14" t="s">
        <v>1033</v>
      </c>
      <c r="V52" s="14">
        <v>12646</v>
      </c>
      <c r="W52" s="14" t="s">
        <v>1033</v>
      </c>
      <c r="X52" s="14" t="s">
        <v>1033</v>
      </c>
      <c r="Y52" s="14" t="s">
        <v>1033</v>
      </c>
      <c r="Z52" s="14" t="s">
        <v>1033</v>
      </c>
      <c r="AA52" s="14" t="s">
        <v>1033</v>
      </c>
    </row>
    <row r="53" spans="1:27" x14ac:dyDescent="0.25">
      <c r="A53" s="11" t="s">
        <v>669</v>
      </c>
      <c r="B53" s="11" t="s">
        <v>670</v>
      </c>
      <c r="C53" s="14">
        <v>0</v>
      </c>
      <c r="D53" s="14">
        <v>0</v>
      </c>
      <c r="E53" s="14">
        <v>897.36339999999996</v>
      </c>
      <c r="F53" s="14">
        <v>1618</v>
      </c>
      <c r="G53" s="14" t="s">
        <v>1033</v>
      </c>
      <c r="H53" s="14">
        <v>2241.8964999999998</v>
      </c>
      <c r="I53" s="14">
        <v>2693.7505999999998</v>
      </c>
      <c r="J53" s="14">
        <v>3346</v>
      </c>
      <c r="K53" s="14" t="s">
        <v>1033</v>
      </c>
      <c r="L53" s="14" t="s">
        <v>1033</v>
      </c>
      <c r="M53" s="14" t="s">
        <v>1033</v>
      </c>
      <c r="N53" s="14" t="s">
        <v>1033</v>
      </c>
      <c r="O53" s="14" t="s">
        <v>1033</v>
      </c>
      <c r="P53" s="14" t="s">
        <v>1033</v>
      </c>
      <c r="Q53" s="14" t="s">
        <v>1033</v>
      </c>
      <c r="R53" s="14" t="s">
        <v>1033</v>
      </c>
      <c r="S53" s="14" t="s">
        <v>1033</v>
      </c>
      <c r="T53" s="14" t="s">
        <v>1033</v>
      </c>
      <c r="U53" s="14" t="s">
        <v>1033</v>
      </c>
      <c r="V53" s="14" t="s">
        <v>1033</v>
      </c>
      <c r="W53" s="14" t="s">
        <v>1033</v>
      </c>
      <c r="X53" s="14" t="s">
        <v>1033</v>
      </c>
      <c r="Y53" s="14" t="s">
        <v>1033</v>
      </c>
      <c r="Z53" s="14" t="s">
        <v>1033</v>
      </c>
      <c r="AA53" s="14" t="s">
        <v>1033</v>
      </c>
    </row>
    <row r="54" spans="1:27" x14ac:dyDescent="0.25">
      <c r="A54" s="11" t="s">
        <v>671</v>
      </c>
      <c r="B54" s="11" t="s">
        <v>672</v>
      </c>
      <c r="C54" s="14">
        <v>50574</v>
      </c>
      <c r="D54" s="14">
        <v>58754.137000000002</v>
      </c>
      <c r="E54" s="14">
        <v>50121.1227</v>
      </c>
      <c r="F54" s="14">
        <v>49087</v>
      </c>
      <c r="G54" s="14">
        <v>24508</v>
      </c>
      <c r="H54" s="14">
        <v>20011.032800000001</v>
      </c>
      <c r="I54" s="14">
        <v>21636.977299999999</v>
      </c>
      <c r="J54" s="14">
        <v>29013</v>
      </c>
      <c r="K54" s="14">
        <v>22855</v>
      </c>
      <c r="L54" s="14">
        <v>27172.365099999999</v>
      </c>
      <c r="M54" s="14">
        <v>32486.938999999998</v>
      </c>
      <c r="N54" s="14">
        <v>29120</v>
      </c>
      <c r="O54" s="14">
        <v>23836</v>
      </c>
      <c r="P54" s="14">
        <v>24428</v>
      </c>
      <c r="Q54" s="14">
        <v>26483</v>
      </c>
      <c r="R54" s="14">
        <v>21534</v>
      </c>
      <c r="S54" s="14">
        <v>22128</v>
      </c>
      <c r="T54" s="14">
        <v>21520</v>
      </c>
      <c r="U54" s="14">
        <v>18128</v>
      </c>
      <c r="V54" s="14">
        <v>22130</v>
      </c>
      <c r="W54" s="14">
        <v>14694</v>
      </c>
      <c r="X54" s="14">
        <v>9414</v>
      </c>
      <c r="Y54" s="14">
        <v>7775</v>
      </c>
      <c r="Z54" s="14">
        <v>8283</v>
      </c>
      <c r="AA54" s="14">
        <v>9748</v>
      </c>
    </row>
    <row r="55" spans="1:27" x14ac:dyDescent="0.25">
      <c r="A55" s="11" t="s">
        <v>673</v>
      </c>
      <c r="B55" s="11" t="s">
        <v>674</v>
      </c>
      <c r="C55" s="14">
        <v>258046</v>
      </c>
      <c r="D55" s="14">
        <v>242978.28099999999</v>
      </c>
      <c r="E55" s="14">
        <v>259534.15650000001</v>
      </c>
      <c r="F55" s="14">
        <v>276808</v>
      </c>
      <c r="G55" s="14">
        <v>260715</v>
      </c>
      <c r="H55" s="14">
        <v>267015.4325</v>
      </c>
      <c r="I55" s="14">
        <v>284813.47960000002</v>
      </c>
      <c r="J55" s="14">
        <v>316121</v>
      </c>
      <c r="K55" s="14">
        <v>348058</v>
      </c>
      <c r="L55" s="14">
        <v>361758.3701</v>
      </c>
      <c r="M55" s="14">
        <v>351110.09399999998</v>
      </c>
      <c r="N55" s="14">
        <v>343420</v>
      </c>
      <c r="O55" s="14">
        <v>379671</v>
      </c>
      <c r="P55" s="14">
        <v>375455</v>
      </c>
      <c r="Q55" s="14">
        <v>383174</v>
      </c>
      <c r="R55" s="14">
        <v>374636</v>
      </c>
      <c r="S55" s="14">
        <v>409995</v>
      </c>
      <c r="T55" s="14">
        <v>421018</v>
      </c>
      <c r="U55" s="14">
        <v>427251</v>
      </c>
      <c r="V55" s="14">
        <v>415793</v>
      </c>
      <c r="W55" s="14">
        <v>461249</v>
      </c>
      <c r="X55" s="14">
        <v>450213</v>
      </c>
      <c r="Y55" s="14">
        <v>463392</v>
      </c>
      <c r="Z55" s="14">
        <v>460212</v>
      </c>
      <c r="AA55" s="14">
        <v>492758</v>
      </c>
    </row>
    <row r="56" spans="1:27" x14ac:dyDescent="0.25">
      <c r="A56" s="7" t="s">
        <v>115</v>
      </c>
      <c r="B56" s="7" t="s">
        <v>116</v>
      </c>
      <c r="C56" s="20">
        <v>1531790</v>
      </c>
      <c r="D56" s="20">
        <v>1575236.6875</v>
      </c>
      <c r="E56" s="20">
        <v>1577934.7187999999</v>
      </c>
      <c r="F56" s="20">
        <v>1562800</v>
      </c>
      <c r="G56" s="20">
        <v>1687758</v>
      </c>
      <c r="H56" s="20">
        <v>1573040.7257999999</v>
      </c>
      <c r="I56" s="20">
        <v>1566755.0311</v>
      </c>
      <c r="J56" s="20">
        <v>1613639</v>
      </c>
      <c r="K56" s="20">
        <v>1791336</v>
      </c>
      <c r="L56" s="20">
        <v>1800067.5619999999</v>
      </c>
      <c r="M56" s="20">
        <v>1789097.425</v>
      </c>
      <c r="N56" s="20">
        <v>1831040</v>
      </c>
      <c r="O56" s="20">
        <v>1877461</v>
      </c>
      <c r="P56" s="20">
        <v>1948764</v>
      </c>
      <c r="Q56" s="20">
        <v>2045100</v>
      </c>
      <c r="R56" s="20">
        <v>2025654</v>
      </c>
      <c r="S56" s="20">
        <v>2133771</v>
      </c>
      <c r="T56" s="20">
        <v>2192727</v>
      </c>
      <c r="U56" s="20">
        <v>2166845</v>
      </c>
      <c r="V56" s="20">
        <v>2222781</v>
      </c>
      <c r="W56" s="20">
        <v>2286624</v>
      </c>
      <c r="X56" s="20">
        <v>2273073</v>
      </c>
      <c r="Y56" s="20">
        <v>2248320</v>
      </c>
      <c r="Z56" s="20">
        <v>2346450</v>
      </c>
      <c r="AA56" s="20">
        <v>2371478</v>
      </c>
    </row>
    <row r="57" spans="1:27" x14ac:dyDescent="0.25">
      <c r="A57" s="11" t="s">
        <v>675</v>
      </c>
      <c r="B57" s="11" t="s">
        <v>169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</row>
    <row r="58" spans="1:27" x14ac:dyDescent="0.25">
      <c r="A58" s="11" t="s">
        <v>676</v>
      </c>
      <c r="B58" s="11" t="s">
        <v>677</v>
      </c>
      <c r="C58" s="14">
        <v>63035</v>
      </c>
      <c r="D58" s="14">
        <v>63217.441400000003</v>
      </c>
      <c r="E58" s="14">
        <v>63409.905400000003</v>
      </c>
      <c r="F58" s="14">
        <v>63188</v>
      </c>
      <c r="G58" s="14">
        <v>62799</v>
      </c>
      <c r="H58" s="14">
        <v>63218.773000000001</v>
      </c>
      <c r="I58" s="14">
        <v>63429.935400000002</v>
      </c>
      <c r="J58" s="14">
        <v>63249</v>
      </c>
      <c r="K58" s="14">
        <v>63169</v>
      </c>
      <c r="L58" s="14">
        <v>63403.0242</v>
      </c>
      <c r="M58" s="14">
        <v>63595.084499999997</v>
      </c>
      <c r="N58" s="14">
        <v>63395</v>
      </c>
      <c r="O58" s="14">
        <v>63372</v>
      </c>
      <c r="P58" s="14">
        <v>63677</v>
      </c>
      <c r="Q58" s="14">
        <v>64012</v>
      </c>
      <c r="R58" s="14">
        <v>62636</v>
      </c>
      <c r="S58" s="14">
        <v>62602</v>
      </c>
      <c r="T58" s="14">
        <v>62852</v>
      </c>
      <c r="U58" s="14">
        <v>63015</v>
      </c>
      <c r="V58" s="14">
        <v>62872</v>
      </c>
      <c r="W58" s="14">
        <v>62704</v>
      </c>
      <c r="X58" s="14">
        <v>63109</v>
      </c>
      <c r="Y58" s="14">
        <v>62824</v>
      </c>
      <c r="Z58" s="14">
        <v>56814</v>
      </c>
      <c r="AA58" s="14">
        <v>56536</v>
      </c>
    </row>
    <row r="59" spans="1:27" x14ac:dyDescent="0.25">
      <c r="A59" s="11" t="s">
        <v>678</v>
      </c>
      <c r="B59" s="11" t="s">
        <v>679</v>
      </c>
      <c r="C59" s="14">
        <v>14944</v>
      </c>
      <c r="D59" s="14">
        <v>14901.1119</v>
      </c>
      <c r="E59" s="14">
        <v>14901.338900000001</v>
      </c>
      <c r="F59" s="14">
        <v>14919</v>
      </c>
      <c r="G59" s="14">
        <v>14936</v>
      </c>
      <c r="H59" s="14">
        <v>14936.077600000001</v>
      </c>
      <c r="I59" s="14">
        <v>14939.223099999999</v>
      </c>
      <c r="J59" s="14">
        <v>14957</v>
      </c>
      <c r="K59" s="14">
        <v>14969</v>
      </c>
      <c r="L59" s="14">
        <v>14940.9391</v>
      </c>
      <c r="M59" s="14">
        <v>14937.695599999999</v>
      </c>
      <c r="N59" s="14">
        <v>14955</v>
      </c>
      <c r="O59" s="14">
        <v>14968</v>
      </c>
      <c r="P59" s="14">
        <v>14968</v>
      </c>
      <c r="Q59" s="14">
        <v>14971</v>
      </c>
      <c r="R59" s="14">
        <v>14988</v>
      </c>
      <c r="S59" s="14">
        <v>15002</v>
      </c>
      <c r="T59" s="14">
        <v>14877</v>
      </c>
      <c r="U59" s="14">
        <v>14733</v>
      </c>
      <c r="V59" s="14">
        <v>14711</v>
      </c>
      <c r="W59" s="14">
        <v>14726</v>
      </c>
      <c r="X59" s="14">
        <v>14719</v>
      </c>
      <c r="Y59" s="14">
        <v>14681</v>
      </c>
      <c r="Z59" s="14">
        <v>14674</v>
      </c>
      <c r="AA59" s="14">
        <v>14667</v>
      </c>
    </row>
    <row r="60" spans="1:27" x14ac:dyDescent="0.25">
      <c r="A60" s="11" t="s">
        <v>680</v>
      </c>
      <c r="B60" s="11" t="s">
        <v>681</v>
      </c>
      <c r="C60" s="14">
        <v>48091</v>
      </c>
      <c r="D60" s="14">
        <v>48316.3295</v>
      </c>
      <c r="E60" s="14">
        <v>48508.566599999998</v>
      </c>
      <c r="F60" s="14">
        <v>48269</v>
      </c>
      <c r="G60" s="14">
        <v>47863</v>
      </c>
      <c r="H60" s="14">
        <v>48282.695500000002</v>
      </c>
      <c r="I60" s="14">
        <v>48490.712299999999</v>
      </c>
      <c r="J60" s="14">
        <v>48292</v>
      </c>
      <c r="K60" s="14">
        <v>48200</v>
      </c>
      <c r="L60" s="14">
        <v>48462.085099999997</v>
      </c>
      <c r="M60" s="14">
        <v>48657.388899999998</v>
      </c>
      <c r="N60" s="14">
        <v>48440</v>
      </c>
      <c r="O60" s="14">
        <v>48404</v>
      </c>
      <c r="P60" s="14">
        <v>48709</v>
      </c>
      <c r="Q60" s="14">
        <v>49041</v>
      </c>
      <c r="R60" s="14">
        <v>47648</v>
      </c>
      <c r="S60" s="14">
        <v>47600</v>
      </c>
      <c r="T60" s="14">
        <v>47975</v>
      </c>
      <c r="U60" s="14">
        <v>48282</v>
      </c>
      <c r="V60" s="14">
        <v>48161</v>
      </c>
      <c r="W60" s="14">
        <v>47978</v>
      </c>
      <c r="X60" s="14">
        <v>48390</v>
      </c>
      <c r="Y60" s="14">
        <v>48143</v>
      </c>
      <c r="Z60" s="14">
        <v>42140</v>
      </c>
      <c r="AA60" s="14">
        <v>41869</v>
      </c>
    </row>
    <row r="61" spans="1:27" x14ac:dyDescent="0.25">
      <c r="A61" s="11" t="s">
        <v>682</v>
      </c>
      <c r="B61" s="11" t="s">
        <v>683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 t="s">
        <v>1033</v>
      </c>
      <c r="V61" s="14">
        <v>0</v>
      </c>
      <c r="W61" s="14">
        <v>0</v>
      </c>
      <c r="X61" s="14">
        <v>0</v>
      </c>
      <c r="Y61" s="14" t="s">
        <v>1033</v>
      </c>
      <c r="Z61" s="14">
        <v>0</v>
      </c>
      <c r="AA61" s="14">
        <v>0</v>
      </c>
    </row>
    <row r="62" spans="1:27" x14ac:dyDescent="0.25">
      <c r="A62" s="11" t="s">
        <v>684</v>
      </c>
      <c r="B62" s="11" t="s">
        <v>685</v>
      </c>
      <c r="C62" s="14">
        <v>135052</v>
      </c>
      <c r="D62" s="14">
        <v>120909.8855</v>
      </c>
      <c r="E62" s="14">
        <v>119733.67570000001</v>
      </c>
      <c r="F62" s="14">
        <v>149281</v>
      </c>
      <c r="G62" s="14">
        <v>156903</v>
      </c>
      <c r="H62" s="14">
        <v>139558.1912</v>
      </c>
      <c r="I62" s="14">
        <v>138647.35310000001</v>
      </c>
      <c r="J62" s="14">
        <v>165124</v>
      </c>
      <c r="K62" s="14">
        <v>173542</v>
      </c>
      <c r="L62" s="14">
        <v>166031.3738</v>
      </c>
      <c r="M62" s="14">
        <v>176338.8273</v>
      </c>
      <c r="N62" s="14">
        <v>145218</v>
      </c>
      <c r="O62" s="14">
        <v>157190</v>
      </c>
      <c r="P62" s="14">
        <v>146515</v>
      </c>
      <c r="Q62" s="14">
        <v>158872</v>
      </c>
      <c r="R62" s="14">
        <v>155928</v>
      </c>
      <c r="S62" s="14">
        <v>169189</v>
      </c>
      <c r="T62" s="14">
        <v>156193</v>
      </c>
      <c r="U62" s="14">
        <v>169388</v>
      </c>
      <c r="V62" s="14">
        <v>170319</v>
      </c>
      <c r="W62" s="14">
        <v>184028</v>
      </c>
      <c r="X62" s="14">
        <v>158987</v>
      </c>
      <c r="Y62" s="14">
        <v>170551</v>
      </c>
      <c r="Z62" s="14">
        <v>165336</v>
      </c>
      <c r="AA62" s="14">
        <v>179427</v>
      </c>
    </row>
    <row r="63" spans="1:27" x14ac:dyDescent="0.25">
      <c r="A63" s="11" t="s">
        <v>686</v>
      </c>
      <c r="B63" s="11" t="s">
        <v>687</v>
      </c>
      <c r="C63" s="14">
        <v>-2874</v>
      </c>
      <c r="D63" s="14">
        <v>21773.845799999999</v>
      </c>
      <c r="E63" s="14">
        <v>31507.954600000001</v>
      </c>
      <c r="F63" s="14">
        <v>9773</v>
      </c>
      <c r="G63" s="14">
        <v>7532</v>
      </c>
      <c r="H63" s="14">
        <v>23520.352599999998</v>
      </c>
      <c r="I63" s="14">
        <v>31965.670399999999</v>
      </c>
      <c r="J63" s="14">
        <v>5861</v>
      </c>
      <c r="K63" s="14">
        <v>4306</v>
      </c>
      <c r="L63" s="14">
        <v>1093.3668</v>
      </c>
      <c r="M63" s="14">
        <v>1148.0719999999999</v>
      </c>
      <c r="N63" s="14">
        <v>27430</v>
      </c>
      <c r="O63" s="14">
        <v>28828</v>
      </c>
      <c r="P63" s="14">
        <v>29233</v>
      </c>
      <c r="Q63" s="14">
        <v>27200</v>
      </c>
      <c r="R63" s="14">
        <v>30789</v>
      </c>
      <c r="S63" s="14">
        <v>30059</v>
      </c>
      <c r="T63" s="14">
        <v>23780</v>
      </c>
      <c r="U63" s="14">
        <v>21420</v>
      </c>
      <c r="V63" s="14">
        <v>16218</v>
      </c>
      <c r="W63" s="14">
        <v>20324</v>
      </c>
      <c r="X63" s="14">
        <v>30787</v>
      </c>
      <c r="Y63" s="14">
        <v>29428</v>
      </c>
      <c r="Z63" s="14">
        <v>26940</v>
      </c>
      <c r="AA63" s="14">
        <v>25169</v>
      </c>
    </row>
    <row r="64" spans="1:27" x14ac:dyDescent="0.25">
      <c r="A64" s="7" t="s">
        <v>688</v>
      </c>
      <c r="B64" s="7" t="s">
        <v>689</v>
      </c>
      <c r="C64" s="20">
        <v>195213</v>
      </c>
      <c r="D64" s="20">
        <v>205901.1727</v>
      </c>
      <c r="E64" s="20">
        <v>214651.53570000001</v>
      </c>
      <c r="F64" s="20">
        <v>222242</v>
      </c>
      <c r="G64" s="20">
        <v>227234</v>
      </c>
      <c r="H64" s="20">
        <v>226297.3168</v>
      </c>
      <c r="I64" s="20">
        <v>234042.95879999999</v>
      </c>
      <c r="J64" s="20">
        <v>234234</v>
      </c>
      <c r="K64" s="20">
        <v>241017</v>
      </c>
      <c r="L64" s="20">
        <v>230527.7648</v>
      </c>
      <c r="M64" s="20">
        <v>241081.98379999999</v>
      </c>
      <c r="N64" s="20">
        <v>236043</v>
      </c>
      <c r="O64" s="20">
        <v>249390</v>
      </c>
      <c r="P64" s="20">
        <v>239425</v>
      </c>
      <c r="Q64" s="20">
        <v>250084</v>
      </c>
      <c r="R64" s="20">
        <v>249353</v>
      </c>
      <c r="S64" s="20">
        <v>261850</v>
      </c>
      <c r="T64" s="20">
        <v>242825</v>
      </c>
      <c r="U64" s="20">
        <v>253823</v>
      </c>
      <c r="V64" s="20">
        <v>249409</v>
      </c>
      <c r="W64" s="20">
        <v>267056</v>
      </c>
      <c r="X64" s="20">
        <v>252883</v>
      </c>
      <c r="Y64" s="20">
        <v>262803</v>
      </c>
      <c r="Z64" s="20">
        <v>249090</v>
      </c>
      <c r="AA64" s="20">
        <v>261132</v>
      </c>
    </row>
    <row r="65" spans="1:27" x14ac:dyDescent="0.25">
      <c r="A65" s="11" t="s">
        <v>690</v>
      </c>
      <c r="B65" s="11" t="s">
        <v>171</v>
      </c>
      <c r="C65" s="14">
        <v>2277</v>
      </c>
      <c r="D65" s="14">
        <v>2443.3182999999999</v>
      </c>
      <c r="E65" s="14">
        <v>2719.3337999999999</v>
      </c>
      <c r="F65" s="14">
        <v>2862</v>
      </c>
      <c r="G65" s="14">
        <v>2908</v>
      </c>
      <c r="H65" s="14">
        <v>3025.0468000000001</v>
      </c>
      <c r="I65" s="14">
        <v>2897.2237</v>
      </c>
      <c r="J65" s="14">
        <v>3006</v>
      </c>
      <c r="K65" s="14">
        <v>3074</v>
      </c>
      <c r="L65" s="14">
        <v>2720.2743999999998</v>
      </c>
      <c r="M65" s="14">
        <v>2828.6896999999999</v>
      </c>
      <c r="N65" s="14">
        <v>2989</v>
      </c>
      <c r="O65" s="14">
        <v>3180</v>
      </c>
      <c r="P65" s="14">
        <v>3189</v>
      </c>
      <c r="Q65" s="14">
        <v>3184</v>
      </c>
      <c r="R65" s="14">
        <v>-148</v>
      </c>
      <c r="S65" s="14">
        <v>-222</v>
      </c>
      <c r="T65" s="14">
        <v>-539</v>
      </c>
      <c r="U65" s="14">
        <v>-637</v>
      </c>
      <c r="V65" s="14">
        <v>-981</v>
      </c>
      <c r="W65" s="14">
        <v>-921</v>
      </c>
      <c r="X65" s="14">
        <v>-1475</v>
      </c>
      <c r="Y65" s="14">
        <v>-1860</v>
      </c>
      <c r="Z65" s="14">
        <v>3123</v>
      </c>
      <c r="AA65" s="14">
        <v>3299</v>
      </c>
    </row>
    <row r="66" spans="1:27" x14ac:dyDescent="0.25">
      <c r="A66" s="7" t="s">
        <v>117</v>
      </c>
      <c r="B66" s="7" t="s">
        <v>118</v>
      </c>
      <c r="C66" s="20">
        <v>197490</v>
      </c>
      <c r="D66" s="20">
        <v>208344.49100000001</v>
      </c>
      <c r="E66" s="20">
        <v>217370.8695</v>
      </c>
      <c r="F66" s="20">
        <v>225104</v>
      </c>
      <c r="G66" s="20">
        <v>230142</v>
      </c>
      <c r="H66" s="20">
        <v>229322.36369999999</v>
      </c>
      <c r="I66" s="20">
        <v>236940.1825</v>
      </c>
      <c r="J66" s="20">
        <v>237240</v>
      </c>
      <c r="K66" s="20">
        <v>244091</v>
      </c>
      <c r="L66" s="20">
        <v>233248.0392</v>
      </c>
      <c r="M66" s="20">
        <v>243910.6735</v>
      </c>
      <c r="N66" s="20">
        <v>239032</v>
      </c>
      <c r="O66" s="20">
        <v>252570</v>
      </c>
      <c r="P66" s="20">
        <v>242614</v>
      </c>
      <c r="Q66" s="20">
        <v>253268</v>
      </c>
      <c r="R66" s="20">
        <v>249205</v>
      </c>
      <c r="S66" s="20">
        <v>261628</v>
      </c>
      <c r="T66" s="20">
        <v>242286</v>
      </c>
      <c r="U66" s="20">
        <v>253186</v>
      </c>
      <c r="V66" s="20">
        <v>248428</v>
      </c>
      <c r="W66" s="20">
        <v>266135</v>
      </c>
      <c r="X66" s="20">
        <v>251408</v>
      </c>
      <c r="Y66" s="20">
        <v>260943</v>
      </c>
      <c r="Z66" s="20">
        <v>252213</v>
      </c>
      <c r="AA66" s="20">
        <v>264431</v>
      </c>
    </row>
    <row r="67" spans="1:27" x14ac:dyDescent="0.25">
      <c r="A67" s="7" t="s">
        <v>691</v>
      </c>
      <c r="B67" s="7" t="s">
        <v>692</v>
      </c>
      <c r="C67" s="20">
        <v>1729280</v>
      </c>
      <c r="D67" s="20">
        <v>1783581.1784000001</v>
      </c>
      <c r="E67" s="20">
        <v>1795305.5882999999</v>
      </c>
      <c r="F67" s="20">
        <v>1787904</v>
      </c>
      <c r="G67" s="20">
        <v>1917900</v>
      </c>
      <c r="H67" s="20">
        <v>1802363.0895</v>
      </c>
      <c r="I67" s="20">
        <v>1803695.2135999999</v>
      </c>
      <c r="J67" s="20">
        <v>1850879</v>
      </c>
      <c r="K67" s="20">
        <v>2035427</v>
      </c>
      <c r="L67" s="20">
        <v>2033315.6011999999</v>
      </c>
      <c r="M67" s="20">
        <v>2033008.0985000001</v>
      </c>
      <c r="N67" s="20">
        <v>2070072</v>
      </c>
      <c r="O67" s="20">
        <v>2130031</v>
      </c>
      <c r="P67" s="20">
        <v>2191378</v>
      </c>
      <c r="Q67" s="20">
        <v>2298368</v>
      </c>
      <c r="R67" s="20">
        <v>2274859</v>
      </c>
      <c r="S67" s="20">
        <v>2395399</v>
      </c>
      <c r="T67" s="20">
        <v>2435013</v>
      </c>
      <c r="U67" s="20">
        <v>2420031</v>
      </c>
      <c r="V67" s="20">
        <v>2471209</v>
      </c>
      <c r="W67" s="20">
        <v>2552759</v>
      </c>
      <c r="X67" s="20">
        <v>2524481</v>
      </c>
      <c r="Y67" s="20">
        <v>2509263</v>
      </c>
      <c r="Z67" s="20">
        <v>2598663</v>
      </c>
      <c r="AA67" s="20">
        <v>2635909</v>
      </c>
    </row>
    <row r="68" spans="1:27" x14ac:dyDescent="0.25">
      <c r="A68" s="7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x14ac:dyDescent="0.25">
      <c r="A69" s="7" t="s">
        <v>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x14ac:dyDescent="0.25">
      <c r="A70" s="11" t="s">
        <v>340</v>
      </c>
      <c r="B70" s="11" t="s">
        <v>341</v>
      </c>
      <c r="C70" s="13" t="s">
        <v>342</v>
      </c>
      <c r="D70" s="13" t="s">
        <v>342</v>
      </c>
      <c r="E70" s="13" t="s">
        <v>342</v>
      </c>
      <c r="F70" s="13" t="s">
        <v>342</v>
      </c>
      <c r="G70" s="13" t="s">
        <v>342</v>
      </c>
      <c r="H70" s="13" t="s">
        <v>342</v>
      </c>
      <c r="I70" s="13" t="s">
        <v>342</v>
      </c>
      <c r="J70" s="13" t="s">
        <v>342</v>
      </c>
      <c r="K70" s="13" t="s">
        <v>342</v>
      </c>
      <c r="L70" s="13" t="s">
        <v>342</v>
      </c>
      <c r="M70" s="13" t="s">
        <v>342</v>
      </c>
      <c r="N70" s="13" t="s">
        <v>342</v>
      </c>
      <c r="O70" s="13" t="s">
        <v>342</v>
      </c>
      <c r="P70" s="13" t="s">
        <v>342</v>
      </c>
      <c r="Q70" s="13" t="s">
        <v>342</v>
      </c>
      <c r="R70" s="13" t="s">
        <v>342</v>
      </c>
      <c r="S70" s="13" t="s">
        <v>342</v>
      </c>
      <c r="T70" s="13" t="s">
        <v>342</v>
      </c>
      <c r="U70" s="13" t="s">
        <v>342</v>
      </c>
      <c r="V70" s="13" t="s">
        <v>342</v>
      </c>
      <c r="W70" s="13" t="s">
        <v>342</v>
      </c>
      <c r="X70" s="13" t="s">
        <v>342</v>
      </c>
      <c r="Y70" s="13" t="s">
        <v>342</v>
      </c>
      <c r="Z70" s="13" t="s">
        <v>342</v>
      </c>
      <c r="AA70" s="13" t="s">
        <v>342</v>
      </c>
    </row>
    <row r="71" spans="1:27" x14ac:dyDescent="0.25">
      <c r="A71" s="11" t="s">
        <v>693</v>
      </c>
      <c r="B71" s="11" t="s">
        <v>120</v>
      </c>
      <c r="C71" s="14">
        <v>2883.5</v>
      </c>
      <c r="D71" s="14">
        <v>2883.4566</v>
      </c>
      <c r="E71" s="14">
        <v>2883.4566</v>
      </c>
      <c r="F71" s="14">
        <v>2846.8443000000002</v>
      </c>
      <c r="G71" s="14">
        <v>2883.5</v>
      </c>
      <c r="H71" s="14">
        <v>2883.4566</v>
      </c>
      <c r="I71" s="14">
        <v>2883.4566</v>
      </c>
      <c r="J71" s="14">
        <v>2857.4385000000002</v>
      </c>
      <c r="K71" s="14">
        <v>2883.5</v>
      </c>
      <c r="L71" s="14">
        <v>2883.4566</v>
      </c>
      <c r="M71" s="14">
        <v>2883.4566</v>
      </c>
      <c r="N71" s="14">
        <v>2857.1005</v>
      </c>
      <c r="O71" s="14">
        <v>2883.4566</v>
      </c>
      <c r="P71" s="14">
        <v>2883.4566</v>
      </c>
      <c r="Q71" s="14">
        <v>2883.4566</v>
      </c>
      <c r="R71" s="14">
        <v>2866.4162000000001</v>
      </c>
      <c r="S71" s="14">
        <v>2883.4566</v>
      </c>
      <c r="T71" s="14">
        <v>2883.4566</v>
      </c>
      <c r="U71" s="14">
        <v>2813.1565999999998</v>
      </c>
      <c r="V71" s="14">
        <v>2787.3714</v>
      </c>
      <c r="W71" s="14">
        <v>2813.1565999999998</v>
      </c>
      <c r="X71" s="14">
        <v>2813.1565999999998</v>
      </c>
      <c r="Y71" s="14">
        <v>2778.6235000000001</v>
      </c>
      <c r="Z71" s="14">
        <v>2813.1565999999998</v>
      </c>
      <c r="AA71" s="14">
        <v>2813.1565999999998</v>
      </c>
    </row>
    <row r="72" spans="1:27" x14ac:dyDescent="0.25">
      <c r="A72" s="11" t="s">
        <v>694</v>
      </c>
      <c r="B72" s="11" t="s">
        <v>695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70.3</v>
      </c>
      <c r="V72" s="14">
        <v>0</v>
      </c>
      <c r="W72" s="14">
        <v>0</v>
      </c>
      <c r="X72" s="14">
        <v>0</v>
      </c>
      <c r="Y72" s="14">
        <v>34.533099999999997</v>
      </c>
      <c r="Z72" s="14">
        <v>0</v>
      </c>
      <c r="AA72" s="14">
        <v>0</v>
      </c>
    </row>
    <row r="73" spans="1:27" x14ac:dyDescent="0.25">
      <c r="A73" s="11" t="s">
        <v>696</v>
      </c>
      <c r="B73" s="11" t="s">
        <v>697</v>
      </c>
      <c r="C73" s="14" t="s">
        <v>1033</v>
      </c>
      <c r="D73" s="14" t="s">
        <v>1033</v>
      </c>
      <c r="E73" s="14" t="s">
        <v>1033</v>
      </c>
      <c r="F73" s="14">
        <v>3202</v>
      </c>
      <c r="G73" s="14" t="s">
        <v>1033</v>
      </c>
      <c r="H73" s="14" t="s">
        <v>1033</v>
      </c>
      <c r="I73" s="14" t="s">
        <v>1033</v>
      </c>
      <c r="J73" s="14">
        <v>3363</v>
      </c>
      <c r="K73" s="14" t="s">
        <v>1033</v>
      </c>
      <c r="L73" s="14">
        <v>7041.8357999999998</v>
      </c>
      <c r="M73" s="14">
        <v>8014.2266</v>
      </c>
      <c r="N73" s="14">
        <v>9550</v>
      </c>
      <c r="O73" s="14" t="s">
        <v>1033</v>
      </c>
      <c r="P73" s="14" t="s">
        <v>1033</v>
      </c>
      <c r="Q73" s="14" t="s">
        <v>1033</v>
      </c>
      <c r="R73" s="14">
        <v>11399</v>
      </c>
      <c r="S73" s="14" t="s">
        <v>1033</v>
      </c>
      <c r="T73" s="14" t="s">
        <v>1033</v>
      </c>
      <c r="U73" s="14" t="s">
        <v>1033</v>
      </c>
      <c r="V73" s="14">
        <v>12646</v>
      </c>
      <c r="W73" s="14" t="s">
        <v>1033</v>
      </c>
      <c r="X73" s="14" t="s">
        <v>1033</v>
      </c>
      <c r="Y73" s="14" t="s">
        <v>1033</v>
      </c>
      <c r="Z73" s="14">
        <v>13885</v>
      </c>
      <c r="AA73" s="14" t="s">
        <v>1033</v>
      </c>
    </row>
    <row r="74" spans="1:27" x14ac:dyDescent="0.25">
      <c r="A74" s="11" t="s">
        <v>698</v>
      </c>
      <c r="B74" s="11" t="s">
        <v>699</v>
      </c>
      <c r="C74" s="14" t="s">
        <v>1033</v>
      </c>
      <c r="D74" s="14" t="s">
        <v>1033</v>
      </c>
      <c r="E74" s="14" t="s">
        <v>1033</v>
      </c>
      <c r="F74" s="14">
        <v>25370</v>
      </c>
      <c r="G74" s="14" t="s">
        <v>1033</v>
      </c>
      <c r="H74" s="14" t="s">
        <v>1033</v>
      </c>
      <c r="I74" s="14" t="s">
        <v>1033</v>
      </c>
      <c r="J74" s="14">
        <v>33572</v>
      </c>
      <c r="K74" s="14" t="s">
        <v>1033</v>
      </c>
      <c r="L74" s="14" t="s">
        <v>1033</v>
      </c>
      <c r="M74" s="14" t="s">
        <v>1033</v>
      </c>
      <c r="N74" s="14" t="s">
        <v>1033</v>
      </c>
      <c r="O74" s="14" t="s">
        <v>1033</v>
      </c>
      <c r="P74" s="14" t="s">
        <v>1033</v>
      </c>
      <c r="Q74" s="14" t="s">
        <v>1033</v>
      </c>
      <c r="R74" s="14" t="s">
        <v>1033</v>
      </c>
      <c r="S74" s="14" t="s">
        <v>1033</v>
      </c>
      <c r="T74" s="14" t="s">
        <v>1033</v>
      </c>
      <c r="U74" s="14" t="s">
        <v>1033</v>
      </c>
      <c r="V74" s="14" t="s">
        <v>1033</v>
      </c>
      <c r="W74" s="14" t="s">
        <v>1033</v>
      </c>
      <c r="X74" s="14" t="s">
        <v>1033</v>
      </c>
      <c r="Y74" s="14" t="s">
        <v>1033</v>
      </c>
      <c r="Z74" s="14" t="s">
        <v>1033</v>
      </c>
      <c r="AA74" s="14" t="s">
        <v>1033</v>
      </c>
    </row>
    <row r="75" spans="1:27" x14ac:dyDescent="0.25">
      <c r="A75" s="11" t="s">
        <v>129</v>
      </c>
      <c r="B75" s="11" t="s">
        <v>130</v>
      </c>
      <c r="C75" s="15">
        <v>67.7</v>
      </c>
      <c r="D75" s="15">
        <v>71.407799999999995</v>
      </c>
      <c r="E75" s="15">
        <v>74.442400000000006</v>
      </c>
      <c r="F75" s="15">
        <v>78.066100000000006</v>
      </c>
      <c r="G75" s="15">
        <v>78.804900000000004</v>
      </c>
      <c r="H75" s="15">
        <v>78.481300000000005</v>
      </c>
      <c r="I75" s="15">
        <v>81.167500000000004</v>
      </c>
      <c r="J75" s="15">
        <v>81.973399999999998</v>
      </c>
      <c r="K75" s="15">
        <v>83.584900000000005</v>
      </c>
      <c r="L75" s="15">
        <v>79.948400000000007</v>
      </c>
      <c r="M75" s="15">
        <v>83.608699999999999</v>
      </c>
      <c r="N75" s="15">
        <v>82.616299999999995</v>
      </c>
      <c r="O75" s="15">
        <v>86.489900000000006</v>
      </c>
      <c r="P75" s="15">
        <v>83.034000000000006</v>
      </c>
      <c r="Q75" s="15">
        <v>86.730599999999995</v>
      </c>
      <c r="R75" s="15">
        <v>86.991200000000006</v>
      </c>
      <c r="S75" s="15">
        <v>90.811099999999996</v>
      </c>
      <c r="T75" s="15">
        <v>84.213200000000001</v>
      </c>
      <c r="U75" s="15">
        <v>90.227099999999993</v>
      </c>
      <c r="V75" s="15">
        <v>89.478200000000001</v>
      </c>
      <c r="W75" s="15">
        <v>94.931100000000001</v>
      </c>
      <c r="X75" s="15">
        <v>89.893000000000001</v>
      </c>
      <c r="Y75" s="15">
        <v>94.580299999999994</v>
      </c>
      <c r="Z75" s="15">
        <v>88.544700000000006</v>
      </c>
      <c r="AA75" s="15">
        <v>92.825299999999999</v>
      </c>
    </row>
    <row r="76" spans="1:27" x14ac:dyDescent="0.25">
      <c r="A76" s="11" t="s">
        <v>133</v>
      </c>
      <c r="B76" s="11" t="s">
        <v>134</v>
      </c>
      <c r="C76" s="14">
        <v>2708692</v>
      </c>
      <c r="D76" s="14">
        <v>2878778</v>
      </c>
      <c r="E76" s="14">
        <v>2981568</v>
      </c>
      <c r="F76" s="14">
        <v>2975753</v>
      </c>
      <c r="G76" s="14">
        <v>3074928</v>
      </c>
      <c r="H76" s="14">
        <v>3101420</v>
      </c>
      <c r="I76" s="14">
        <v>3157683</v>
      </c>
      <c r="J76" s="14">
        <v>3144794</v>
      </c>
      <c r="K76" s="14">
        <v>3208835</v>
      </c>
      <c r="L76" s="14">
        <v>3128108</v>
      </c>
      <c r="M76" s="14">
        <v>3161180</v>
      </c>
      <c r="N76" s="14">
        <v>3214060</v>
      </c>
      <c r="O76" s="14">
        <v>3355852</v>
      </c>
      <c r="P76" s="14">
        <v>3764002</v>
      </c>
      <c r="Q76" s="14">
        <v>3853637</v>
      </c>
      <c r="R76" s="14">
        <v>3957801</v>
      </c>
      <c r="S76" s="14">
        <v>4142599</v>
      </c>
      <c r="T76" s="14">
        <v>4291332</v>
      </c>
      <c r="U76" s="14">
        <v>4437289</v>
      </c>
      <c r="V76" s="14">
        <v>4495930</v>
      </c>
      <c r="W76" s="14">
        <v>4718961</v>
      </c>
      <c r="X76" s="14">
        <v>4893737</v>
      </c>
      <c r="Y76" s="14">
        <v>5068957</v>
      </c>
      <c r="Z76" s="14">
        <v>5196669</v>
      </c>
      <c r="AA76" s="14">
        <v>5385820</v>
      </c>
    </row>
    <row r="77" spans="1:27" x14ac:dyDescent="0.25">
      <c r="A77" s="11" t="s">
        <v>700</v>
      </c>
      <c r="B77" s="11" t="s">
        <v>138</v>
      </c>
      <c r="C77" s="14">
        <v>13212</v>
      </c>
      <c r="D77" s="14">
        <v>9253.8588</v>
      </c>
      <c r="E77" s="14">
        <v>6660.3597</v>
      </c>
      <c r="F77" s="14">
        <v>8931</v>
      </c>
      <c r="G77" s="14">
        <v>9788</v>
      </c>
      <c r="H77" s="14">
        <v>11201.9018</v>
      </c>
      <c r="I77" s="14">
        <v>9956.2662999999993</v>
      </c>
      <c r="J77" s="14">
        <v>8506</v>
      </c>
      <c r="K77" s="14">
        <v>8440</v>
      </c>
      <c r="L77" s="14">
        <v>8898.0887999999995</v>
      </c>
      <c r="M77" s="14">
        <v>9258.6646999999994</v>
      </c>
      <c r="N77" s="14">
        <v>9973</v>
      </c>
      <c r="O77" s="14">
        <v>10013</v>
      </c>
      <c r="P77" s="14">
        <v>10299</v>
      </c>
      <c r="Q77" s="14">
        <v>10342</v>
      </c>
      <c r="R77" s="14">
        <v>10890</v>
      </c>
      <c r="S77" s="14">
        <v>9875</v>
      </c>
      <c r="T77" s="14">
        <v>11184</v>
      </c>
      <c r="U77" s="14">
        <v>11348</v>
      </c>
      <c r="V77" s="14">
        <v>11125</v>
      </c>
      <c r="W77" s="14">
        <v>11102</v>
      </c>
      <c r="X77" s="14">
        <v>13484</v>
      </c>
      <c r="Y77" s="14">
        <v>16754</v>
      </c>
      <c r="Z77" s="14">
        <v>17839</v>
      </c>
      <c r="AA77" s="14">
        <v>18262</v>
      </c>
    </row>
    <row r="78" spans="1:27" x14ac:dyDescent="0.25">
      <c r="A78" s="11" t="s">
        <v>111</v>
      </c>
      <c r="B78" s="11" t="s">
        <v>112</v>
      </c>
      <c r="C78" s="14">
        <v>1399200</v>
      </c>
      <c r="D78" s="14">
        <v>1449210.352</v>
      </c>
      <c r="E78" s="14">
        <v>1477073.2985</v>
      </c>
      <c r="F78" s="14">
        <v>1481005</v>
      </c>
      <c r="G78" s="14">
        <v>1712824</v>
      </c>
      <c r="H78" s="14">
        <v>1511593.3732</v>
      </c>
      <c r="I78" s="14">
        <v>1557407.0020999999</v>
      </c>
      <c r="J78" s="14">
        <v>1588670</v>
      </c>
      <c r="K78" s="14">
        <v>1606712</v>
      </c>
      <c r="L78" s="14">
        <v>1766165.7512000001</v>
      </c>
      <c r="M78" s="14">
        <v>1790179.0045</v>
      </c>
      <c r="N78" s="14">
        <v>1791145</v>
      </c>
      <c r="O78" s="14">
        <v>1767223</v>
      </c>
      <c r="P78" s="14">
        <v>1781248</v>
      </c>
      <c r="Q78" s="14">
        <v>1890008</v>
      </c>
      <c r="R78" s="14">
        <v>2025884</v>
      </c>
      <c r="S78" s="14">
        <v>2120696</v>
      </c>
      <c r="T78" s="14">
        <v>2150800</v>
      </c>
      <c r="U78" s="14">
        <v>2118094</v>
      </c>
      <c r="V78" s="14">
        <v>2179194</v>
      </c>
      <c r="W78" s="14">
        <v>2193294</v>
      </c>
      <c r="X78" s="14">
        <v>2187001</v>
      </c>
      <c r="Y78" s="14">
        <v>2222219</v>
      </c>
      <c r="Z78" s="14">
        <v>2316293</v>
      </c>
      <c r="AA78" s="14">
        <v>2344226</v>
      </c>
    </row>
    <row r="79" spans="1:27" x14ac:dyDescent="0.25">
      <c r="A79" s="11" t="s">
        <v>701</v>
      </c>
      <c r="B79" s="11" t="s">
        <v>150</v>
      </c>
      <c r="C79" s="15">
        <v>2.1488999999999998</v>
      </c>
      <c r="D79" s="15">
        <v>1.9863</v>
      </c>
      <c r="E79" s="15">
        <v>1.9859</v>
      </c>
      <c r="F79" s="15">
        <v>1.8117000000000001</v>
      </c>
      <c r="G79" s="15">
        <v>1.6415</v>
      </c>
      <c r="H79" s="15">
        <v>1.7838000000000001</v>
      </c>
      <c r="I79" s="15">
        <v>1.7756000000000001</v>
      </c>
      <c r="J79" s="15">
        <v>1.9262999999999999</v>
      </c>
      <c r="K79" s="15">
        <v>1.8846000000000001</v>
      </c>
      <c r="L79" s="15">
        <v>2.0964</v>
      </c>
      <c r="M79" s="15">
        <v>2.2351000000000001</v>
      </c>
      <c r="N79" s="15">
        <v>2.3161</v>
      </c>
      <c r="O79" s="15">
        <v>2.2892000000000001</v>
      </c>
      <c r="P79" s="15">
        <v>2.3311000000000002</v>
      </c>
      <c r="Q79" s="15">
        <v>2.3532999999999999</v>
      </c>
      <c r="R79" s="15">
        <v>2.4127999999999998</v>
      </c>
      <c r="S79" s="15">
        <v>2.3691</v>
      </c>
      <c r="T79" s="15">
        <v>2.3576000000000001</v>
      </c>
      <c r="U79" s="15">
        <v>2.3527999999999998</v>
      </c>
      <c r="V79" s="15">
        <v>2.3677999999999999</v>
      </c>
      <c r="W79" s="15">
        <v>2.3147000000000002</v>
      </c>
      <c r="X79" s="15">
        <v>2.3336000000000001</v>
      </c>
      <c r="Y79" s="15">
        <v>2.298</v>
      </c>
      <c r="Z79" s="15">
        <v>2.3191000000000002</v>
      </c>
      <c r="AA79" s="15">
        <v>2.2726000000000002</v>
      </c>
    </row>
    <row r="80" spans="1:27" x14ac:dyDescent="0.25">
      <c r="A80" s="11" t="s">
        <v>702</v>
      </c>
      <c r="B80" s="11" t="s">
        <v>703</v>
      </c>
      <c r="C80" s="14">
        <v>-3742</v>
      </c>
      <c r="D80" s="14">
        <v>-201.25700000000001</v>
      </c>
      <c r="E80" s="14">
        <v>897.36339999999996</v>
      </c>
      <c r="F80" s="14">
        <v>1618</v>
      </c>
      <c r="G80" s="14">
        <v>0</v>
      </c>
      <c r="H80" s="14">
        <v>2241.8964999999998</v>
      </c>
      <c r="I80" s="14">
        <v>2693.7505999999998</v>
      </c>
      <c r="J80" s="14">
        <v>3346</v>
      </c>
      <c r="K80" s="14">
        <v>0</v>
      </c>
      <c r="L80" s="14" t="s">
        <v>1033</v>
      </c>
      <c r="M80" s="14" t="s">
        <v>1033</v>
      </c>
      <c r="N80" s="14">
        <v>0</v>
      </c>
      <c r="O80" s="14">
        <v>0</v>
      </c>
      <c r="P80" s="14" t="s">
        <v>1033</v>
      </c>
      <c r="Q80" s="14">
        <v>-12</v>
      </c>
      <c r="R80" s="14">
        <v>0</v>
      </c>
      <c r="S80" s="14">
        <v>0</v>
      </c>
      <c r="T80" s="14">
        <v>-2023</v>
      </c>
      <c r="U80" s="14">
        <v>-1664</v>
      </c>
      <c r="V80" s="14">
        <v>0</v>
      </c>
      <c r="W80" s="14">
        <v>-2720</v>
      </c>
      <c r="X80" s="14">
        <v>-2244</v>
      </c>
      <c r="Y80" s="14">
        <v>-1938</v>
      </c>
      <c r="Z80" s="14">
        <v>-3437</v>
      </c>
      <c r="AA80" s="14">
        <v>-1885</v>
      </c>
    </row>
    <row r="81" spans="1:27" x14ac:dyDescent="0.25">
      <c r="A81" s="11" t="s">
        <v>704</v>
      </c>
      <c r="B81" s="11" t="s">
        <v>705</v>
      </c>
      <c r="C81" s="14">
        <v>789321</v>
      </c>
      <c r="D81" s="14">
        <v>801275.61970000004</v>
      </c>
      <c r="E81" s="14">
        <v>768252.0601</v>
      </c>
      <c r="F81" s="14">
        <v>711802</v>
      </c>
      <c r="G81" s="14">
        <v>861533</v>
      </c>
      <c r="H81" s="14">
        <v>751999.24529999995</v>
      </c>
      <c r="I81" s="14">
        <v>743694.45759999997</v>
      </c>
      <c r="J81" s="14">
        <v>733745</v>
      </c>
      <c r="K81" s="14">
        <v>849733</v>
      </c>
      <c r="L81" s="14">
        <v>812038.84889999998</v>
      </c>
      <c r="M81" s="14">
        <v>806435.1814</v>
      </c>
      <c r="N81" s="14">
        <v>851168</v>
      </c>
      <c r="O81" s="14">
        <v>870590</v>
      </c>
      <c r="P81" s="14">
        <v>905487</v>
      </c>
      <c r="Q81" s="14">
        <v>959765</v>
      </c>
      <c r="R81" s="14">
        <v>935506</v>
      </c>
      <c r="S81" s="14">
        <v>1004234</v>
      </c>
      <c r="T81" s="14">
        <v>1044924</v>
      </c>
      <c r="U81" s="14">
        <v>1023011</v>
      </c>
      <c r="V81" s="14">
        <v>1050031</v>
      </c>
      <c r="W81" s="14">
        <v>1036884</v>
      </c>
      <c r="X81" s="14">
        <v>1036196</v>
      </c>
      <c r="Y81" s="14">
        <v>1034175</v>
      </c>
      <c r="Z81" s="14">
        <v>1064816</v>
      </c>
      <c r="AA81" s="14">
        <v>1058947</v>
      </c>
    </row>
    <row r="82" spans="1:27" x14ac:dyDescent="0.25">
      <c r="A82" s="11" t="s">
        <v>706</v>
      </c>
      <c r="B82" s="11" t="s">
        <v>707</v>
      </c>
      <c r="C82" s="14">
        <v>347424</v>
      </c>
      <c r="D82" s="14">
        <v>354878.93099999998</v>
      </c>
      <c r="E82" s="14">
        <v>340518.80050000001</v>
      </c>
      <c r="F82" s="14">
        <v>285859</v>
      </c>
      <c r="G82" s="14">
        <v>344736</v>
      </c>
      <c r="H82" s="14">
        <v>351036.95409999997</v>
      </c>
      <c r="I82" s="14">
        <v>385404.93150000001</v>
      </c>
      <c r="J82" s="14">
        <v>348526</v>
      </c>
      <c r="K82" s="14">
        <v>443186</v>
      </c>
      <c r="L82" s="14">
        <v>369365.94620000001</v>
      </c>
      <c r="M82" s="14">
        <v>359962.20449999999</v>
      </c>
      <c r="N82" s="14">
        <v>402397</v>
      </c>
      <c r="O82" s="14">
        <v>430498</v>
      </c>
      <c r="P82" s="14">
        <v>419489</v>
      </c>
      <c r="Q82" s="14">
        <v>467681</v>
      </c>
      <c r="R82" s="14">
        <v>394238</v>
      </c>
      <c r="S82" s="14">
        <v>414361</v>
      </c>
      <c r="T82" s="14">
        <v>439360</v>
      </c>
      <c r="U82" s="14">
        <v>453926</v>
      </c>
      <c r="V82" s="14">
        <v>496699</v>
      </c>
      <c r="W82" s="14">
        <v>453991</v>
      </c>
      <c r="X82" s="14">
        <v>439545</v>
      </c>
      <c r="Y82" s="14">
        <v>470321</v>
      </c>
      <c r="Z82" s="14">
        <v>483981</v>
      </c>
      <c r="AA82" s="14">
        <v>489770</v>
      </c>
    </row>
    <row r="83" spans="1:27" x14ac:dyDescent="0.25">
      <c r="A83" s="11" t="s">
        <v>708</v>
      </c>
      <c r="B83" s="11" t="s">
        <v>152</v>
      </c>
      <c r="C83" s="15">
        <v>18.8965</v>
      </c>
      <c r="D83" s="15">
        <v>17.541</v>
      </c>
      <c r="E83" s="15">
        <v>16.7742</v>
      </c>
      <c r="F83" s="15">
        <v>14.668699999999999</v>
      </c>
      <c r="G83" s="15">
        <v>14.1717</v>
      </c>
      <c r="H83" s="15">
        <v>14.800599999999999</v>
      </c>
      <c r="I83" s="15">
        <v>14.2422</v>
      </c>
      <c r="J83" s="15">
        <v>15.355600000000001</v>
      </c>
      <c r="K83" s="15">
        <v>15.9108</v>
      </c>
      <c r="L83" s="15">
        <v>17.602499999999999</v>
      </c>
      <c r="M83" s="15">
        <v>18.048400000000001</v>
      </c>
      <c r="N83" s="15">
        <v>19.310700000000001</v>
      </c>
      <c r="O83" s="15">
        <v>19.4438</v>
      </c>
      <c r="P83" s="15">
        <v>20.956099999999999</v>
      </c>
      <c r="Q83" s="15">
        <v>20.753</v>
      </c>
      <c r="R83" s="15">
        <v>21.5976</v>
      </c>
      <c r="S83" s="15">
        <v>20.971399999999999</v>
      </c>
      <c r="T83" s="15">
        <v>22.617699999999999</v>
      </c>
      <c r="U83" s="15">
        <v>22.0307</v>
      </c>
      <c r="V83" s="15">
        <v>22.530999999999999</v>
      </c>
      <c r="W83" s="15">
        <v>21.6553</v>
      </c>
      <c r="X83" s="15">
        <v>23.3476</v>
      </c>
      <c r="Y83" s="15">
        <v>21.926100000000002</v>
      </c>
      <c r="Z83" s="15">
        <v>23.585999999999999</v>
      </c>
      <c r="AA83" s="15">
        <v>22.3246</v>
      </c>
    </row>
    <row r="84" spans="1:27" x14ac:dyDescent="0.25">
      <c r="A84" s="11" t="s">
        <v>709</v>
      </c>
      <c r="B84" s="11" t="s">
        <v>156</v>
      </c>
      <c r="C84" s="15">
        <v>9.9343000000000004</v>
      </c>
      <c r="D84" s="15">
        <v>9.4939</v>
      </c>
      <c r="E84" s="15">
        <v>9.9880999999999993</v>
      </c>
      <c r="F84" s="15">
        <v>11.101699999999999</v>
      </c>
      <c r="G84" s="15">
        <v>10.3972</v>
      </c>
      <c r="H84" s="15">
        <v>9.8333999999999993</v>
      </c>
      <c r="I84" s="15">
        <v>10.262600000000001</v>
      </c>
      <c r="J84" s="15">
        <v>11.375299999999999</v>
      </c>
      <c r="K84" s="15">
        <v>9.9186999999999994</v>
      </c>
      <c r="L84" s="15">
        <v>9.3531999999999993</v>
      </c>
      <c r="M84" s="15">
        <v>9.8759999999999994</v>
      </c>
      <c r="N84" s="15">
        <v>9.4414999999999996</v>
      </c>
      <c r="O84" s="15">
        <v>9.8164999999999996</v>
      </c>
      <c r="P84" s="15">
        <v>9.0784000000000002</v>
      </c>
      <c r="Q84" s="15">
        <v>9.1270000000000007</v>
      </c>
      <c r="R84" s="15">
        <v>9.2012</v>
      </c>
      <c r="S84" s="15">
        <v>9.2806999999999995</v>
      </c>
      <c r="T84" s="15">
        <v>8.3567999999999998</v>
      </c>
      <c r="U84" s="15">
        <v>8.8547999999999991</v>
      </c>
      <c r="V84" s="15">
        <v>8.5017999999999994</v>
      </c>
      <c r="W84" s="15">
        <v>8.9435000000000002</v>
      </c>
      <c r="X84" s="15">
        <v>8.5028000000000006</v>
      </c>
      <c r="Y84" s="15">
        <v>9.0394000000000005</v>
      </c>
      <c r="Z84" s="15">
        <v>8.2052999999999994</v>
      </c>
      <c r="AA84" s="15">
        <v>8.5639000000000003</v>
      </c>
    </row>
    <row r="85" spans="1:27" x14ac:dyDescent="0.25">
      <c r="A85" s="11" t="s">
        <v>710</v>
      </c>
      <c r="B85" s="11" t="s">
        <v>158</v>
      </c>
      <c r="C85" s="15">
        <v>20.459800000000001</v>
      </c>
      <c r="D85" s="15">
        <v>18.5458</v>
      </c>
      <c r="E85" s="15">
        <v>19.390499999999999</v>
      </c>
      <c r="F85" s="15">
        <v>20.938300000000002</v>
      </c>
      <c r="G85" s="15">
        <v>22.275099999999998</v>
      </c>
      <c r="H85" s="15">
        <v>20.071000000000002</v>
      </c>
      <c r="I85" s="15">
        <v>21.1738</v>
      </c>
      <c r="J85" s="15">
        <v>24.133800000000001</v>
      </c>
      <c r="K85" s="15">
        <v>23.872900000000001</v>
      </c>
      <c r="L85" s="15">
        <v>22.365300000000001</v>
      </c>
      <c r="M85" s="15">
        <v>23.909700000000001</v>
      </c>
      <c r="N85" s="15">
        <v>22.4267</v>
      </c>
      <c r="O85" s="15">
        <v>22.5305</v>
      </c>
      <c r="P85" s="15">
        <v>21.339600000000001</v>
      </c>
      <c r="Q85" s="15">
        <v>22.723500000000001</v>
      </c>
      <c r="R85" s="15">
        <v>21.683900000000001</v>
      </c>
      <c r="S85" s="15">
        <v>22.669799999999999</v>
      </c>
      <c r="T85" s="15">
        <v>20.223600000000001</v>
      </c>
      <c r="U85" s="15">
        <v>21.1007</v>
      </c>
      <c r="V85" s="15">
        <v>20.1309</v>
      </c>
      <c r="W85" s="15">
        <v>22.105799999999999</v>
      </c>
      <c r="X85" s="15">
        <v>20.74</v>
      </c>
      <c r="Y85" s="15">
        <v>21.654900000000001</v>
      </c>
      <c r="Z85" s="15">
        <v>20.066099999999999</v>
      </c>
      <c r="AA85" s="15">
        <v>19.932099999999998</v>
      </c>
    </row>
    <row r="86" spans="1:27" x14ac:dyDescent="0.25">
      <c r="A86" s="11" t="s">
        <v>711</v>
      </c>
      <c r="B86" s="11" t="s">
        <v>81</v>
      </c>
      <c r="C86" s="15">
        <v>17.84</v>
      </c>
      <c r="D86" s="15">
        <v>18.36</v>
      </c>
      <c r="E86" s="15">
        <v>19.86</v>
      </c>
      <c r="F86" s="15">
        <v>19.239999999999998</v>
      </c>
      <c r="G86" s="15">
        <v>20.81</v>
      </c>
      <c r="H86" s="15">
        <v>20.99</v>
      </c>
      <c r="I86" s="15">
        <v>20.92</v>
      </c>
      <c r="J86" s="15">
        <v>23.78</v>
      </c>
      <c r="K86" s="15">
        <v>24.85</v>
      </c>
      <c r="L86" s="15">
        <v>22.33</v>
      </c>
      <c r="M86" s="15">
        <v>22.55</v>
      </c>
      <c r="N86" s="15">
        <v>22.47</v>
      </c>
      <c r="O86" s="15">
        <v>21.73</v>
      </c>
      <c r="P86" s="15">
        <v>21.42</v>
      </c>
      <c r="Q86" s="15">
        <v>21.84</v>
      </c>
      <c r="R86" s="15">
        <v>20.45</v>
      </c>
      <c r="S86" s="15">
        <v>21.02</v>
      </c>
      <c r="T86" s="15">
        <v>20</v>
      </c>
      <c r="U86" s="15">
        <v>19</v>
      </c>
      <c r="V86" s="15">
        <v>21.56</v>
      </c>
      <c r="W86" s="15">
        <v>22.66</v>
      </c>
      <c r="X86" s="15">
        <v>21.52</v>
      </c>
      <c r="Y86" s="15">
        <v>22.1</v>
      </c>
      <c r="Z86" s="15">
        <v>19.66</v>
      </c>
      <c r="AA86" s="15">
        <v>19.329999999999998</v>
      </c>
    </row>
    <row r="87" spans="1:27" x14ac:dyDescent="0.25">
      <c r="A87" s="11" t="s">
        <v>712</v>
      </c>
      <c r="B87" s="11" t="s">
        <v>83</v>
      </c>
      <c r="C87" s="15">
        <v>18.95</v>
      </c>
      <c r="D87" s="15">
        <v>19.66</v>
      </c>
      <c r="E87" s="15">
        <v>21.12</v>
      </c>
      <c r="F87" s="15">
        <v>20.2</v>
      </c>
      <c r="G87" s="15">
        <v>21.7</v>
      </c>
      <c r="H87" s="15">
        <v>21.92</v>
      </c>
      <c r="I87" s="15">
        <v>21.86</v>
      </c>
      <c r="J87" s="15">
        <v>24.69</v>
      </c>
      <c r="K87" s="15">
        <v>25.89</v>
      </c>
      <c r="L87" s="15">
        <v>22.86</v>
      </c>
      <c r="M87" s="15">
        <v>23.02</v>
      </c>
      <c r="N87" s="15">
        <v>22.86</v>
      </c>
      <c r="O87" s="15">
        <v>22.07</v>
      </c>
      <c r="P87" s="15">
        <v>21.73</v>
      </c>
      <c r="Q87" s="15">
        <v>22.15</v>
      </c>
      <c r="R87" s="15">
        <v>20.69</v>
      </c>
      <c r="S87" s="15">
        <v>21.26</v>
      </c>
      <c r="T87" s="15">
        <v>20.22</v>
      </c>
      <c r="U87" s="15">
        <v>19.23</v>
      </c>
      <c r="V87" s="15">
        <v>21.78</v>
      </c>
      <c r="W87" s="15">
        <v>22.87</v>
      </c>
      <c r="X87" s="15">
        <v>21.72</v>
      </c>
      <c r="Y87" s="15">
        <v>22.31</v>
      </c>
      <c r="Z87" s="15">
        <v>20.059999999999999</v>
      </c>
      <c r="AA87" s="15">
        <v>19.739999999999998</v>
      </c>
    </row>
    <row r="88" spans="1:27" x14ac:dyDescent="0.25">
      <c r="A88" s="11" t="s">
        <v>713</v>
      </c>
      <c r="B88" s="11" t="s">
        <v>714</v>
      </c>
      <c r="C88" s="15" t="s">
        <v>1033</v>
      </c>
      <c r="D88" s="15" t="s">
        <v>1033</v>
      </c>
      <c r="E88" s="15" t="s">
        <v>1033</v>
      </c>
      <c r="F88" s="15" t="s">
        <v>1033</v>
      </c>
      <c r="G88" s="15">
        <v>29626</v>
      </c>
      <c r="H88" s="15" t="s">
        <v>1033</v>
      </c>
      <c r="I88" s="15" t="s">
        <v>1033</v>
      </c>
      <c r="J88" s="15" t="s">
        <v>1033</v>
      </c>
      <c r="K88" s="15" t="s">
        <v>1033</v>
      </c>
      <c r="L88" s="15" t="s">
        <v>1033</v>
      </c>
      <c r="M88" s="15" t="s">
        <v>1033</v>
      </c>
      <c r="N88" s="15" t="s">
        <v>1033</v>
      </c>
      <c r="O88" s="15" t="s">
        <v>1033</v>
      </c>
      <c r="P88" s="15" t="s">
        <v>1033</v>
      </c>
      <c r="Q88" s="15" t="s">
        <v>1033</v>
      </c>
      <c r="R88" s="15" t="s">
        <v>1033</v>
      </c>
      <c r="S88" s="15" t="s">
        <v>1033</v>
      </c>
      <c r="T88" s="15" t="s">
        <v>1033</v>
      </c>
      <c r="U88" s="15" t="s">
        <v>1033</v>
      </c>
      <c r="V88" s="15" t="s">
        <v>1033</v>
      </c>
      <c r="W88" s="15" t="s">
        <v>1033</v>
      </c>
      <c r="X88" s="15" t="s">
        <v>1033</v>
      </c>
      <c r="Y88" s="15" t="s">
        <v>1033</v>
      </c>
      <c r="Z88" s="15" t="s">
        <v>1033</v>
      </c>
      <c r="AA88" s="15" t="s">
        <v>1033</v>
      </c>
    </row>
    <row r="89" spans="1:27" x14ac:dyDescent="0.25">
      <c r="A89" s="8" t="s">
        <v>84</v>
      </c>
      <c r="B89" s="8"/>
      <c r="C89" s="8" t="s">
        <v>3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85"/>
  <sheetViews>
    <sheetView workbookViewId="0">
      <selection activeCell="K21" sqref="K21"/>
    </sheetView>
  </sheetViews>
  <sheetFormatPr baseColWidth="10"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x14ac:dyDescent="0.25">
      <c r="A2" s="9" t="s">
        <v>364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86</v>
      </c>
      <c r="B4" s="4"/>
      <c r="C4" s="5" t="s">
        <v>365</v>
      </c>
      <c r="D4" s="5" t="s">
        <v>562</v>
      </c>
      <c r="E4" s="5" t="s">
        <v>6</v>
      </c>
      <c r="F4" s="5" t="s">
        <v>7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</row>
    <row r="5" spans="1:26" x14ac:dyDescent="0.25">
      <c r="A5" s="10" t="s">
        <v>31</v>
      </c>
      <c r="B5" s="10"/>
      <c r="C5" s="6" t="s">
        <v>366</v>
      </c>
      <c r="D5" s="6" t="s">
        <v>563</v>
      </c>
      <c r="E5" s="6" t="s">
        <v>32</v>
      </c>
      <c r="F5" s="6" t="s">
        <v>33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44</v>
      </c>
      <c r="O5" s="6" t="s">
        <v>45</v>
      </c>
      <c r="P5" s="6" t="s">
        <v>46</v>
      </c>
      <c r="Q5" s="6" t="s">
        <v>47</v>
      </c>
      <c r="R5" s="6" t="s">
        <v>48</v>
      </c>
      <c r="S5" s="6" t="s">
        <v>49</v>
      </c>
      <c r="T5" s="6" t="s">
        <v>50</v>
      </c>
      <c r="U5" s="6" t="s">
        <v>51</v>
      </c>
      <c r="V5" s="6" t="s">
        <v>52</v>
      </c>
      <c r="W5" s="6" t="s">
        <v>53</v>
      </c>
      <c r="X5" s="6" t="s">
        <v>54</v>
      </c>
      <c r="Y5" s="6" t="s">
        <v>55</v>
      </c>
      <c r="Z5" s="6" t="s">
        <v>56</v>
      </c>
    </row>
    <row r="6" spans="1:26" x14ac:dyDescent="0.25">
      <c r="A6" s="7" t="s">
        <v>715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1" t="s">
        <v>448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7" t="s">
        <v>716</v>
      </c>
      <c r="B8" s="7" t="s">
        <v>717</v>
      </c>
      <c r="C8" s="20" t="s">
        <v>1033</v>
      </c>
      <c r="D8" s="20" t="s">
        <v>1033</v>
      </c>
      <c r="E8" s="20">
        <v>1481187</v>
      </c>
      <c r="F8" s="20">
        <v>1566225</v>
      </c>
      <c r="G8" s="20">
        <v>1690412</v>
      </c>
      <c r="H8" s="20">
        <v>1643243</v>
      </c>
      <c r="I8" s="20" t="s">
        <v>1033</v>
      </c>
      <c r="J8" s="20" t="s">
        <v>1033</v>
      </c>
      <c r="K8" s="20">
        <v>1801811</v>
      </c>
      <c r="L8" s="20">
        <v>1750425</v>
      </c>
      <c r="M8" s="20">
        <v>1845944</v>
      </c>
      <c r="N8" s="20">
        <v>1924643</v>
      </c>
      <c r="O8" s="20">
        <v>1980563</v>
      </c>
      <c r="P8" s="20">
        <v>2101150</v>
      </c>
      <c r="Q8" s="20">
        <v>2111690</v>
      </c>
      <c r="R8" s="20">
        <v>2154061</v>
      </c>
      <c r="S8" s="20">
        <v>2233901</v>
      </c>
      <c r="T8" s="20">
        <v>2218821</v>
      </c>
      <c r="U8" s="20">
        <v>2262414</v>
      </c>
      <c r="V8" s="20">
        <v>2306327</v>
      </c>
      <c r="W8" s="20">
        <v>2323678</v>
      </c>
      <c r="X8" s="20">
        <v>2314246</v>
      </c>
      <c r="Y8" s="20">
        <v>2378321</v>
      </c>
      <c r="Z8" s="20">
        <v>2415576</v>
      </c>
    </row>
    <row r="9" spans="1:26" x14ac:dyDescent="0.25">
      <c r="A9" s="7" t="s">
        <v>718</v>
      </c>
      <c r="B9" s="7" t="s">
        <v>719</v>
      </c>
      <c r="C9" s="20">
        <v>747084</v>
      </c>
      <c r="D9" s="20" t="s">
        <v>1033</v>
      </c>
      <c r="E9" s="20">
        <v>793030</v>
      </c>
      <c r="F9" s="20">
        <v>800891</v>
      </c>
      <c r="G9" s="20">
        <v>810935</v>
      </c>
      <c r="H9" s="20">
        <v>805746</v>
      </c>
      <c r="I9" s="20">
        <v>823204</v>
      </c>
      <c r="J9" s="20">
        <v>829338</v>
      </c>
      <c r="K9" s="20">
        <v>843187</v>
      </c>
      <c r="L9" s="20">
        <v>869664</v>
      </c>
      <c r="M9" s="20">
        <v>885299</v>
      </c>
      <c r="N9" s="20">
        <v>960171</v>
      </c>
      <c r="O9" s="20">
        <v>976758</v>
      </c>
      <c r="P9" s="20">
        <v>994817</v>
      </c>
      <c r="Q9" s="20" t="s">
        <v>1033</v>
      </c>
      <c r="R9" s="20">
        <v>1056942</v>
      </c>
      <c r="S9" s="20">
        <v>1105562</v>
      </c>
      <c r="T9" s="20">
        <v>1136685</v>
      </c>
      <c r="U9" s="20" t="s">
        <v>1033</v>
      </c>
      <c r="V9" s="20">
        <v>1199215</v>
      </c>
      <c r="W9" s="20">
        <v>1194075</v>
      </c>
      <c r="X9" s="20">
        <v>1216617</v>
      </c>
      <c r="Y9" s="20">
        <v>1286666</v>
      </c>
      <c r="Z9" s="20">
        <v>1273654</v>
      </c>
    </row>
    <row r="10" spans="1:26" x14ac:dyDescent="0.25">
      <c r="A10" s="7" t="s">
        <v>720</v>
      </c>
      <c r="B10" s="7" t="s">
        <v>721</v>
      </c>
      <c r="C10" s="20">
        <v>181071</v>
      </c>
      <c r="D10" s="20" t="s">
        <v>1033</v>
      </c>
      <c r="E10" s="20">
        <v>196744</v>
      </c>
      <c r="F10" s="20">
        <v>202171</v>
      </c>
      <c r="G10" s="20">
        <v>240665</v>
      </c>
      <c r="H10" s="20">
        <v>227212.5</v>
      </c>
      <c r="I10" s="20">
        <v>137035.5</v>
      </c>
      <c r="J10" s="20">
        <v>231171</v>
      </c>
      <c r="K10" s="20">
        <v>240665</v>
      </c>
      <c r="L10" s="20">
        <v>235243.5</v>
      </c>
      <c r="M10" s="20">
        <v>240575</v>
      </c>
      <c r="N10" s="20">
        <v>245801.5</v>
      </c>
      <c r="O10" s="20">
        <v>240823.5</v>
      </c>
      <c r="P10" s="20">
        <v>246150</v>
      </c>
      <c r="Q10" s="20" t="s">
        <v>1033</v>
      </c>
      <c r="R10" s="20">
        <v>261628</v>
      </c>
      <c r="S10" s="20">
        <v>242286</v>
      </c>
      <c r="T10" s="20">
        <v>253186</v>
      </c>
      <c r="U10" s="20" t="s">
        <v>1033</v>
      </c>
      <c r="V10" s="20">
        <v>266135</v>
      </c>
      <c r="W10" s="20">
        <v>251407</v>
      </c>
      <c r="X10" s="20">
        <v>260944</v>
      </c>
      <c r="Y10" s="20">
        <v>252213</v>
      </c>
      <c r="Z10" s="20">
        <v>264431</v>
      </c>
    </row>
    <row r="11" spans="1:26" x14ac:dyDescent="0.25">
      <c r="A11" s="7" t="s">
        <v>722</v>
      </c>
      <c r="B11" s="7" t="s">
        <v>723</v>
      </c>
      <c r="C11" s="21" t="s">
        <v>1033</v>
      </c>
      <c r="D11" s="21" t="s">
        <v>1033</v>
      </c>
      <c r="E11" s="21" t="s">
        <v>1033</v>
      </c>
      <c r="F11" s="21">
        <v>5</v>
      </c>
      <c r="G11" s="21">
        <v>4</v>
      </c>
      <c r="H11" s="21">
        <v>4.25</v>
      </c>
      <c r="I11" s="21">
        <v>4.5</v>
      </c>
      <c r="J11" s="21">
        <v>5.5</v>
      </c>
      <c r="K11" s="21">
        <v>6.5</v>
      </c>
      <c r="L11" s="21">
        <v>4.25</v>
      </c>
      <c r="M11" s="21">
        <v>9.25</v>
      </c>
      <c r="N11" s="21">
        <v>11.25</v>
      </c>
      <c r="O11" s="21">
        <v>11.25</v>
      </c>
      <c r="P11" s="21">
        <v>11.25</v>
      </c>
      <c r="Q11" s="21" t="s">
        <v>1033</v>
      </c>
      <c r="R11" s="21">
        <v>11</v>
      </c>
      <c r="S11" s="21">
        <v>11</v>
      </c>
      <c r="T11" s="21">
        <v>10.5</v>
      </c>
      <c r="U11" s="21" t="s">
        <v>1033</v>
      </c>
      <c r="V11" s="21">
        <v>9</v>
      </c>
      <c r="W11" s="21">
        <v>8</v>
      </c>
      <c r="X11" s="21">
        <v>7.5</v>
      </c>
      <c r="Y11" s="21" t="s">
        <v>1033</v>
      </c>
      <c r="Z11" s="21">
        <v>6.75</v>
      </c>
    </row>
    <row r="12" spans="1:26" x14ac:dyDescent="0.25">
      <c r="A12" s="11" t="s">
        <v>724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A13" s="11" t="s">
        <v>725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A14" s="11" t="s">
        <v>726</v>
      </c>
      <c r="B14" s="11" t="s">
        <v>727</v>
      </c>
      <c r="C14" s="14">
        <v>82676.500899999999</v>
      </c>
      <c r="D14" s="14" t="s">
        <v>1033</v>
      </c>
      <c r="E14" s="14">
        <v>57600</v>
      </c>
      <c r="F14" s="14">
        <v>46682.746099999997</v>
      </c>
      <c r="G14" s="14">
        <v>45420</v>
      </c>
      <c r="H14" s="14">
        <v>61566.0985</v>
      </c>
      <c r="I14" s="14">
        <v>61582.923600000002</v>
      </c>
      <c r="J14" s="14">
        <v>60932</v>
      </c>
      <c r="K14" s="14">
        <v>20935</v>
      </c>
      <c r="L14" s="14">
        <v>44356.504300000001</v>
      </c>
      <c r="M14" s="14">
        <v>37747.790300000001</v>
      </c>
      <c r="N14" s="14">
        <v>13385</v>
      </c>
      <c r="O14" s="14">
        <v>15774</v>
      </c>
      <c r="P14" s="14">
        <v>24022</v>
      </c>
      <c r="Q14" s="14">
        <v>17699.870699999999</v>
      </c>
      <c r="R14" s="14">
        <v>39016</v>
      </c>
      <c r="S14" s="14">
        <v>37759</v>
      </c>
      <c r="T14" s="14">
        <v>34628</v>
      </c>
      <c r="U14" s="14">
        <v>19012</v>
      </c>
      <c r="V14" s="14">
        <v>45634</v>
      </c>
      <c r="W14" s="14">
        <v>40777</v>
      </c>
      <c r="X14" s="14">
        <v>38023</v>
      </c>
      <c r="Y14" s="14">
        <v>39072</v>
      </c>
      <c r="Z14" s="14">
        <v>41147</v>
      </c>
    </row>
    <row r="15" spans="1:26" x14ac:dyDescent="0.25">
      <c r="A15" s="11" t="s">
        <v>728</v>
      </c>
      <c r="B15" s="11" t="s">
        <v>729</v>
      </c>
      <c r="C15" s="14">
        <v>555.44970000000001</v>
      </c>
      <c r="D15" s="14" t="s">
        <v>1033</v>
      </c>
      <c r="E15" s="14">
        <v>758</v>
      </c>
      <c r="F15" s="14">
        <v>1298.9458999999999</v>
      </c>
      <c r="G15" s="14">
        <v>832</v>
      </c>
      <c r="H15" s="14">
        <v>611.43150000000003</v>
      </c>
      <c r="I15" s="14">
        <v>959.80269999999996</v>
      </c>
      <c r="J15" s="14">
        <v>1026</v>
      </c>
      <c r="K15" s="14">
        <v>1019</v>
      </c>
      <c r="L15" s="14">
        <v>1397.6172999999999</v>
      </c>
      <c r="M15" s="14">
        <v>1590.1271999999999</v>
      </c>
      <c r="N15" s="14">
        <v>1280</v>
      </c>
      <c r="O15" s="14">
        <v>1306</v>
      </c>
      <c r="P15" s="14">
        <v>1025</v>
      </c>
      <c r="Q15" s="14">
        <v>938.26949999999999</v>
      </c>
      <c r="R15" s="14">
        <v>592</v>
      </c>
      <c r="S15" s="14">
        <v>886</v>
      </c>
      <c r="T15" s="14">
        <v>800</v>
      </c>
      <c r="U15" s="14">
        <v>1219</v>
      </c>
      <c r="V15" s="14">
        <v>1504</v>
      </c>
      <c r="W15" s="14">
        <v>1389</v>
      </c>
      <c r="X15" s="14">
        <v>1352</v>
      </c>
      <c r="Y15" s="14">
        <v>1297</v>
      </c>
      <c r="Z15" s="14">
        <v>1291</v>
      </c>
    </row>
    <row r="16" spans="1:26" x14ac:dyDescent="0.25">
      <c r="A16" s="11" t="s">
        <v>730</v>
      </c>
      <c r="B16" s="11" t="s">
        <v>731</v>
      </c>
      <c r="C16" s="14" t="s">
        <v>1033</v>
      </c>
      <c r="D16" s="14" t="s">
        <v>1033</v>
      </c>
      <c r="E16" s="14" t="s">
        <v>1033</v>
      </c>
      <c r="F16" s="14" t="s">
        <v>1033</v>
      </c>
      <c r="G16" s="14" t="s">
        <v>1033</v>
      </c>
      <c r="H16" s="14" t="s">
        <v>1033</v>
      </c>
      <c r="I16" s="14" t="s">
        <v>1033</v>
      </c>
      <c r="J16" s="14" t="s">
        <v>1033</v>
      </c>
      <c r="K16" s="14" t="s">
        <v>1033</v>
      </c>
      <c r="L16" s="14" t="s">
        <v>1033</v>
      </c>
      <c r="M16" s="14" t="s">
        <v>1033</v>
      </c>
      <c r="N16" s="14" t="s">
        <v>1033</v>
      </c>
      <c r="O16" s="14" t="s">
        <v>1033</v>
      </c>
      <c r="P16" s="14">
        <v>0</v>
      </c>
      <c r="Q16" s="14" t="s">
        <v>1033</v>
      </c>
      <c r="R16" s="14" t="s">
        <v>1033</v>
      </c>
      <c r="S16" s="14" t="s">
        <v>1033</v>
      </c>
      <c r="T16" s="14" t="s">
        <v>1033</v>
      </c>
      <c r="U16" s="14" t="s">
        <v>1033</v>
      </c>
      <c r="V16" s="14" t="s">
        <v>1033</v>
      </c>
      <c r="W16" s="14" t="s">
        <v>1033</v>
      </c>
      <c r="X16" s="14">
        <v>1803</v>
      </c>
      <c r="Y16" s="14">
        <v>2779</v>
      </c>
      <c r="Z16" s="14">
        <v>2600</v>
      </c>
    </row>
    <row r="17" spans="1:26" x14ac:dyDescent="0.25">
      <c r="A17" s="11" t="s">
        <v>732</v>
      </c>
      <c r="B17" s="11" t="s">
        <v>733</v>
      </c>
      <c r="C17" s="14">
        <v>18018.050500000001</v>
      </c>
      <c r="D17" s="14" t="s">
        <v>1033</v>
      </c>
      <c r="E17" s="14">
        <v>19833</v>
      </c>
      <c r="F17" s="14">
        <v>31151.1535</v>
      </c>
      <c r="G17" s="14">
        <v>32737</v>
      </c>
      <c r="H17" s="14">
        <v>20502.45</v>
      </c>
      <c r="I17" s="14">
        <v>20803.430499999999</v>
      </c>
      <c r="J17" s="14">
        <v>21451</v>
      </c>
      <c r="K17" s="14">
        <v>21070</v>
      </c>
      <c r="L17" s="14">
        <v>22132.750400000001</v>
      </c>
      <c r="M17" s="14">
        <v>22086.132300000001</v>
      </c>
      <c r="N17" s="14">
        <v>28860</v>
      </c>
      <c r="O17" s="14">
        <v>29799</v>
      </c>
      <c r="P17" s="14">
        <v>29602</v>
      </c>
      <c r="Q17" s="14">
        <v>30551.471300000001</v>
      </c>
      <c r="R17" s="14">
        <v>30674</v>
      </c>
      <c r="S17" s="14">
        <v>30760</v>
      </c>
      <c r="T17" s="14">
        <v>30966</v>
      </c>
      <c r="U17" s="14">
        <v>31913</v>
      </c>
      <c r="V17" s="14">
        <v>31921</v>
      </c>
      <c r="W17" s="14">
        <v>32139</v>
      </c>
      <c r="X17" s="14">
        <v>32098</v>
      </c>
      <c r="Y17" s="14">
        <v>35284</v>
      </c>
      <c r="Z17" s="14">
        <v>35188</v>
      </c>
    </row>
    <row r="18" spans="1:26" x14ac:dyDescent="0.25">
      <c r="A18" s="11" t="s">
        <v>734</v>
      </c>
      <c r="B18" s="11" t="s">
        <v>735</v>
      </c>
      <c r="C18" s="14">
        <v>1964.4166</v>
      </c>
      <c r="D18" s="14" t="s">
        <v>1033</v>
      </c>
      <c r="E18" s="14">
        <v>3742</v>
      </c>
      <c r="F18" s="14">
        <v>201.25700000000001</v>
      </c>
      <c r="G18" s="14" t="s">
        <v>1033</v>
      </c>
      <c r="H18" s="14">
        <v>0</v>
      </c>
      <c r="I18" s="14">
        <v>0</v>
      </c>
      <c r="J18" s="14">
        <v>0</v>
      </c>
      <c r="K18" s="14">
        <v>0</v>
      </c>
      <c r="L18" s="14" t="s">
        <v>1033</v>
      </c>
      <c r="M18" s="14" t="s">
        <v>1033</v>
      </c>
      <c r="N18" s="14">
        <v>0</v>
      </c>
      <c r="O18" s="14" t="s">
        <v>1033</v>
      </c>
      <c r="P18" s="14">
        <v>12</v>
      </c>
      <c r="Q18" s="14">
        <v>0</v>
      </c>
      <c r="R18" s="14">
        <v>0</v>
      </c>
      <c r="S18" s="14">
        <v>2023</v>
      </c>
      <c r="T18" s="14">
        <v>1664</v>
      </c>
      <c r="U18" s="14">
        <v>5244</v>
      </c>
      <c r="V18" s="14">
        <v>2720</v>
      </c>
      <c r="W18" s="14">
        <v>2244</v>
      </c>
      <c r="X18" s="14">
        <v>1938</v>
      </c>
      <c r="Y18" s="14" t="s">
        <v>1033</v>
      </c>
      <c r="Z18" s="14">
        <v>1885</v>
      </c>
    </row>
    <row r="19" spans="1:26" x14ac:dyDescent="0.25">
      <c r="A19" s="11" t="s">
        <v>736</v>
      </c>
      <c r="B19" s="11" t="s">
        <v>737</v>
      </c>
      <c r="C19" s="14" t="s">
        <v>1033</v>
      </c>
      <c r="D19" s="14" t="s">
        <v>1033</v>
      </c>
      <c r="E19" s="14" t="s">
        <v>1033</v>
      </c>
      <c r="F19" s="14" t="s">
        <v>1033</v>
      </c>
      <c r="G19" s="14" t="s">
        <v>1033</v>
      </c>
      <c r="H19" s="14" t="s">
        <v>1033</v>
      </c>
      <c r="I19" s="14" t="s">
        <v>1033</v>
      </c>
      <c r="J19" s="14" t="s">
        <v>1033</v>
      </c>
      <c r="K19" s="14">
        <v>16718</v>
      </c>
      <c r="L19" s="14">
        <v>17785.871999999999</v>
      </c>
      <c r="M19" s="14">
        <v>17994.173699999999</v>
      </c>
      <c r="N19" s="14">
        <v>17971</v>
      </c>
      <c r="O19" s="14">
        <v>17833</v>
      </c>
      <c r="P19" s="14">
        <v>17663</v>
      </c>
      <c r="Q19" s="14">
        <v>17269.947499999998</v>
      </c>
      <c r="R19" s="14">
        <v>16763</v>
      </c>
      <c r="S19" s="14">
        <v>16063</v>
      </c>
      <c r="T19" s="14">
        <v>15397</v>
      </c>
      <c r="U19" s="14">
        <v>14898</v>
      </c>
      <c r="V19" s="14">
        <v>14522</v>
      </c>
      <c r="W19" s="14">
        <v>13879</v>
      </c>
      <c r="X19" s="14">
        <v>11913</v>
      </c>
      <c r="Y19" s="14">
        <v>11590</v>
      </c>
      <c r="Z19" s="14">
        <v>11199</v>
      </c>
    </row>
    <row r="20" spans="1:26" x14ac:dyDescent="0.25">
      <c r="A20" s="11" t="s">
        <v>738</v>
      </c>
      <c r="B20" s="11" t="s">
        <v>739</v>
      </c>
      <c r="C20" s="14" t="s">
        <v>1033</v>
      </c>
      <c r="D20" s="14" t="s">
        <v>1033</v>
      </c>
      <c r="E20" s="14" t="s">
        <v>1033</v>
      </c>
      <c r="F20" s="14" t="s">
        <v>1033</v>
      </c>
      <c r="G20" s="14" t="s">
        <v>1033</v>
      </c>
      <c r="H20" s="14" t="s">
        <v>1033</v>
      </c>
      <c r="I20" s="14" t="s">
        <v>1033</v>
      </c>
      <c r="J20" s="14" t="s">
        <v>1033</v>
      </c>
      <c r="K20" s="14">
        <v>26720</v>
      </c>
      <c r="L20" s="14">
        <v>26724.632900000001</v>
      </c>
      <c r="M20" s="14">
        <v>26724.4735</v>
      </c>
      <c r="N20" s="14">
        <v>26710</v>
      </c>
      <c r="O20" s="14">
        <v>26691</v>
      </c>
      <c r="P20" s="14">
        <v>26697</v>
      </c>
      <c r="Q20" s="14">
        <v>26825.4326</v>
      </c>
      <c r="R20" s="14">
        <v>26823</v>
      </c>
      <c r="S20" s="14">
        <v>26859</v>
      </c>
      <c r="T20" s="14">
        <v>27978</v>
      </c>
      <c r="U20" s="14">
        <v>28067</v>
      </c>
      <c r="V20" s="14">
        <v>28034</v>
      </c>
      <c r="W20" s="14">
        <v>27905</v>
      </c>
      <c r="X20" s="14">
        <v>27644</v>
      </c>
      <c r="Y20" s="14">
        <v>27478</v>
      </c>
      <c r="Z20" s="14">
        <v>27511</v>
      </c>
    </row>
    <row r="21" spans="1:26" x14ac:dyDescent="0.25">
      <c r="A21" s="11" t="s">
        <v>740</v>
      </c>
      <c r="B21" s="11" t="s">
        <v>741</v>
      </c>
      <c r="C21" s="14" t="s">
        <v>1033</v>
      </c>
      <c r="D21" s="14" t="s">
        <v>1033</v>
      </c>
      <c r="E21" s="14">
        <v>175296</v>
      </c>
      <c r="F21" s="14">
        <v>179587.3492</v>
      </c>
      <c r="G21" s="14">
        <v>190566</v>
      </c>
      <c r="H21" s="14">
        <v>198091.10339999999</v>
      </c>
      <c r="I21" s="14">
        <v>199871.97169999999</v>
      </c>
      <c r="J21" s="14">
        <v>199858</v>
      </c>
      <c r="K21" s="14">
        <v>200911</v>
      </c>
      <c r="L21" s="14">
        <v>209378.86069999999</v>
      </c>
      <c r="M21" s="14">
        <v>219943.00200000001</v>
      </c>
      <c r="N21" s="14">
        <v>232678</v>
      </c>
      <c r="O21" s="14">
        <v>243497</v>
      </c>
      <c r="P21" s="14">
        <v>250953</v>
      </c>
      <c r="Q21" s="14">
        <v>255279.8193</v>
      </c>
      <c r="R21" s="14">
        <v>257922</v>
      </c>
      <c r="S21" s="14">
        <v>263611</v>
      </c>
      <c r="T21" s="14">
        <v>268808</v>
      </c>
      <c r="U21" s="14">
        <v>274790</v>
      </c>
      <c r="V21" s="14">
        <v>278692</v>
      </c>
      <c r="W21" s="14">
        <v>284847</v>
      </c>
      <c r="X21" s="14">
        <v>290407</v>
      </c>
      <c r="Y21" s="14">
        <v>294016</v>
      </c>
      <c r="Z21" s="14">
        <v>297910</v>
      </c>
    </row>
    <row r="22" spans="1:26" x14ac:dyDescent="0.25">
      <c r="A22" s="11" t="s">
        <v>742</v>
      </c>
      <c r="B22" s="11" t="s">
        <v>743</v>
      </c>
      <c r="C22" s="14">
        <v>225564.62789999999</v>
      </c>
      <c r="D22" s="14" t="s">
        <v>1033</v>
      </c>
      <c r="E22" s="14">
        <v>238956</v>
      </c>
      <c r="F22" s="14">
        <v>243834.37729999999</v>
      </c>
      <c r="G22" s="14">
        <v>260030</v>
      </c>
      <c r="H22" s="14">
        <v>252900.61319999999</v>
      </c>
      <c r="I22" s="14">
        <v>260758.9768</v>
      </c>
      <c r="J22" s="14">
        <v>258201</v>
      </c>
      <c r="K22" s="14">
        <v>257355</v>
      </c>
      <c r="L22" s="14">
        <v>267006.45850000001</v>
      </c>
      <c r="M22" s="14">
        <v>270042.97580000001</v>
      </c>
      <c r="N22" s="14">
        <v>291713</v>
      </c>
      <c r="O22" s="14">
        <v>310181</v>
      </c>
      <c r="P22" s="14">
        <v>316085</v>
      </c>
      <c r="Q22" s="14">
        <v>335756.01789999998</v>
      </c>
      <c r="R22" s="14">
        <v>357106</v>
      </c>
      <c r="S22" s="14">
        <v>360187</v>
      </c>
      <c r="T22" s="14">
        <v>399459</v>
      </c>
      <c r="U22" s="14">
        <v>400772</v>
      </c>
      <c r="V22" s="14">
        <v>409632</v>
      </c>
      <c r="W22" s="14">
        <v>423023</v>
      </c>
      <c r="X22" s="14">
        <v>437769</v>
      </c>
      <c r="Y22" s="14">
        <v>436130</v>
      </c>
      <c r="Z22" s="14">
        <v>435082</v>
      </c>
    </row>
    <row r="23" spans="1:26" x14ac:dyDescent="0.25">
      <c r="A23" s="11" t="s">
        <v>744</v>
      </c>
      <c r="B23" s="11" t="s">
        <v>745</v>
      </c>
      <c r="C23" s="14">
        <v>213131.43770000001</v>
      </c>
      <c r="D23" s="14" t="s">
        <v>1033</v>
      </c>
      <c r="E23" s="14">
        <v>204963</v>
      </c>
      <c r="F23" s="14">
        <v>231114.1061</v>
      </c>
      <c r="G23" s="14">
        <v>236274</v>
      </c>
      <c r="H23" s="14">
        <v>231709.7549</v>
      </c>
      <c r="I23" s="14">
        <v>234479.23269999999</v>
      </c>
      <c r="J23" s="14">
        <v>233594</v>
      </c>
      <c r="K23" s="14">
        <v>230875</v>
      </c>
      <c r="L23" s="14">
        <v>222510.8621</v>
      </c>
      <c r="M23" s="14">
        <v>215500.91759999999</v>
      </c>
      <c r="N23" s="14">
        <v>201972</v>
      </c>
      <c r="O23" s="14">
        <v>188577</v>
      </c>
      <c r="P23" s="14">
        <v>217042</v>
      </c>
      <c r="Q23" s="14">
        <v>222017.7482</v>
      </c>
      <c r="R23" s="14">
        <v>230955</v>
      </c>
      <c r="S23" s="14">
        <v>222090</v>
      </c>
      <c r="T23" s="14">
        <v>213788</v>
      </c>
      <c r="U23" s="14">
        <v>201079</v>
      </c>
      <c r="V23" s="14">
        <v>187613</v>
      </c>
      <c r="W23" s="14">
        <v>178873</v>
      </c>
      <c r="X23" s="14">
        <v>165534</v>
      </c>
      <c r="Y23" s="14">
        <v>199502</v>
      </c>
      <c r="Z23" s="14">
        <v>223413</v>
      </c>
    </row>
    <row r="24" spans="1:26" x14ac:dyDescent="0.25">
      <c r="A24" s="11" t="s">
        <v>746</v>
      </c>
      <c r="B24" s="11" t="s">
        <v>747</v>
      </c>
      <c r="C24" s="14">
        <v>285822</v>
      </c>
      <c r="D24" s="14" t="s">
        <v>1033</v>
      </c>
      <c r="E24" s="14">
        <v>325490</v>
      </c>
      <c r="F24" s="14">
        <v>329139.40870000003</v>
      </c>
      <c r="G24" s="14">
        <v>326007</v>
      </c>
      <c r="H24" s="14">
        <v>316575.03389999998</v>
      </c>
      <c r="I24" s="14">
        <v>326412.63520000002</v>
      </c>
      <c r="J24" s="14">
        <v>333265</v>
      </c>
      <c r="K24" s="14">
        <v>330501</v>
      </c>
      <c r="L24" s="14">
        <v>338130.95939999999</v>
      </c>
      <c r="M24" s="14">
        <v>338113.95360000001</v>
      </c>
      <c r="N24" s="14">
        <v>365726</v>
      </c>
      <c r="O24" s="14">
        <v>377552</v>
      </c>
      <c r="P24" s="14">
        <v>400321</v>
      </c>
      <c r="Q24" s="14">
        <v>406094.23869999999</v>
      </c>
      <c r="R24" s="14">
        <v>414530</v>
      </c>
      <c r="S24" s="14">
        <v>441209</v>
      </c>
      <c r="T24" s="14">
        <v>453431</v>
      </c>
      <c r="U24" s="14">
        <v>484013</v>
      </c>
      <c r="V24" s="14">
        <v>488996</v>
      </c>
      <c r="W24" s="14">
        <v>487369</v>
      </c>
      <c r="X24" s="14">
        <v>491128</v>
      </c>
      <c r="Y24" s="14">
        <v>512713</v>
      </c>
      <c r="Z24" s="14">
        <v>508905</v>
      </c>
    </row>
    <row r="25" spans="1:26" x14ac:dyDescent="0.25">
      <c r="A25" s="11" t="s">
        <v>748</v>
      </c>
      <c r="B25" s="11" t="s">
        <v>749</v>
      </c>
      <c r="C25" s="14">
        <v>332571.45449999999</v>
      </c>
      <c r="D25" s="14" t="s">
        <v>1033</v>
      </c>
      <c r="E25" s="14" t="s">
        <v>1033</v>
      </c>
      <c r="F25" s="14" t="s">
        <v>1033</v>
      </c>
      <c r="G25" s="14" t="s">
        <v>1033</v>
      </c>
      <c r="H25" s="14" t="s">
        <v>1033</v>
      </c>
      <c r="I25" s="14" t="s">
        <v>1033</v>
      </c>
      <c r="J25" s="14" t="s">
        <v>1033</v>
      </c>
      <c r="K25" s="14" t="s">
        <v>1033</v>
      </c>
      <c r="L25" s="14" t="s">
        <v>1033</v>
      </c>
      <c r="M25" s="14" t="s">
        <v>1033</v>
      </c>
      <c r="N25" s="14" t="s">
        <v>1033</v>
      </c>
      <c r="O25" s="14" t="s">
        <v>1033</v>
      </c>
      <c r="P25" s="14" t="s">
        <v>1033</v>
      </c>
      <c r="Q25" s="14" t="s">
        <v>1033</v>
      </c>
      <c r="R25" s="14" t="s">
        <v>1033</v>
      </c>
      <c r="S25" s="14" t="s">
        <v>1033</v>
      </c>
      <c r="T25" s="14" t="s">
        <v>1033</v>
      </c>
      <c r="U25" s="14" t="s">
        <v>1033</v>
      </c>
      <c r="V25" s="14" t="s">
        <v>1033</v>
      </c>
      <c r="W25" s="14" t="s">
        <v>1033</v>
      </c>
      <c r="X25" s="14" t="s">
        <v>1033</v>
      </c>
      <c r="Y25" s="14" t="s">
        <v>1033</v>
      </c>
      <c r="Z25" s="14" t="s">
        <v>1033</v>
      </c>
    </row>
    <row r="26" spans="1:26" x14ac:dyDescent="0.25">
      <c r="A26" s="11" t="s">
        <v>750</v>
      </c>
      <c r="B26" s="11" t="s">
        <v>751</v>
      </c>
      <c r="C26" s="14">
        <v>121589.3073</v>
      </c>
      <c r="D26" s="14" t="s">
        <v>1033</v>
      </c>
      <c r="E26" s="14">
        <v>121589</v>
      </c>
      <c r="F26" s="14">
        <v>119830.35159999999</v>
      </c>
      <c r="G26" s="14">
        <v>118545</v>
      </c>
      <c r="H26" s="14">
        <v>121873.12850000001</v>
      </c>
      <c r="I26" s="14">
        <v>122701.3766</v>
      </c>
      <c r="J26" s="14">
        <v>124893</v>
      </c>
      <c r="K26" s="14">
        <v>127464</v>
      </c>
      <c r="L26" s="14">
        <v>134326.86069999999</v>
      </c>
      <c r="M26" s="14">
        <v>141203.2255</v>
      </c>
      <c r="N26" s="14">
        <v>154305</v>
      </c>
      <c r="O26" s="14">
        <v>164711</v>
      </c>
      <c r="P26" s="14">
        <v>171773</v>
      </c>
      <c r="Q26" s="14">
        <v>180083.52650000001</v>
      </c>
      <c r="R26" s="14">
        <v>182995</v>
      </c>
      <c r="S26" s="14">
        <v>191669</v>
      </c>
      <c r="T26" s="14">
        <v>201258</v>
      </c>
      <c r="U26" s="14">
        <v>208741</v>
      </c>
      <c r="V26" s="14">
        <v>215687</v>
      </c>
      <c r="W26" s="14">
        <v>224940</v>
      </c>
      <c r="X26" s="14">
        <v>235553</v>
      </c>
      <c r="Y26" s="14">
        <v>245002</v>
      </c>
      <c r="Z26" s="14">
        <v>250321</v>
      </c>
    </row>
    <row r="27" spans="1:26" x14ac:dyDescent="0.25">
      <c r="A27" s="11" t="s">
        <v>752</v>
      </c>
      <c r="B27" s="11" t="s">
        <v>753</v>
      </c>
      <c r="C27" s="14">
        <v>157829.7113</v>
      </c>
      <c r="D27" s="14" t="s">
        <v>1033</v>
      </c>
      <c r="E27" s="14">
        <v>161588</v>
      </c>
      <c r="F27" s="14">
        <v>162832.08739999999</v>
      </c>
      <c r="G27" s="14">
        <v>160234</v>
      </c>
      <c r="H27" s="14">
        <v>160332.98050000001</v>
      </c>
      <c r="I27" s="14">
        <v>166029.41959999999</v>
      </c>
      <c r="J27" s="14">
        <v>160407</v>
      </c>
      <c r="K27" s="14">
        <v>164076</v>
      </c>
      <c r="L27" s="14">
        <v>173381.29269999999</v>
      </c>
      <c r="M27" s="14">
        <v>171089.50779999999</v>
      </c>
      <c r="N27" s="14">
        <v>185012</v>
      </c>
      <c r="O27" s="14">
        <v>168770</v>
      </c>
      <c r="P27" s="14">
        <v>179174</v>
      </c>
      <c r="Q27" s="14">
        <v>179234.2556</v>
      </c>
      <c r="R27" s="14">
        <v>179980</v>
      </c>
      <c r="S27" s="14">
        <v>185871</v>
      </c>
      <c r="T27" s="14">
        <v>179496</v>
      </c>
      <c r="U27" s="14">
        <v>187743</v>
      </c>
      <c r="V27" s="14">
        <v>182044</v>
      </c>
      <c r="W27" s="14">
        <v>157125</v>
      </c>
      <c r="X27" s="14">
        <v>159603</v>
      </c>
      <c r="Y27" s="14">
        <v>190441</v>
      </c>
      <c r="Z27" s="14">
        <v>173206</v>
      </c>
    </row>
    <row r="28" spans="1:26" x14ac:dyDescent="0.25">
      <c r="A28" s="11" t="s">
        <v>754</v>
      </c>
      <c r="B28" s="11" t="s">
        <v>755</v>
      </c>
      <c r="C28" s="14">
        <v>18170.643100000001</v>
      </c>
      <c r="D28" s="14" t="s">
        <v>1033</v>
      </c>
      <c r="E28" s="14">
        <v>18504</v>
      </c>
      <c r="F28" s="14">
        <v>18554.522499999999</v>
      </c>
      <c r="G28" s="14">
        <v>19670</v>
      </c>
      <c r="H28" s="14">
        <v>18174.5579</v>
      </c>
      <c r="I28" s="14">
        <v>17297.249500000002</v>
      </c>
      <c r="J28" s="14">
        <v>16251</v>
      </c>
      <c r="K28" s="14">
        <v>16905</v>
      </c>
      <c r="L28" s="14">
        <v>17012.508399999999</v>
      </c>
      <c r="M28" s="14">
        <v>17451.455900000001</v>
      </c>
      <c r="N28" s="14">
        <v>18041</v>
      </c>
      <c r="O28" s="14">
        <v>18528</v>
      </c>
      <c r="P28" s="14">
        <v>19431</v>
      </c>
      <c r="Q28" s="14">
        <v>19857.0108</v>
      </c>
      <c r="R28" s="14">
        <v>19514</v>
      </c>
      <c r="S28" s="14">
        <v>20358</v>
      </c>
      <c r="T28" s="14">
        <v>20298</v>
      </c>
      <c r="U28" s="14">
        <v>20510</v>
      </c>
      <c r="V28" s="14">
        <v>20858</v>
      </c>
      <c r="W28" s="14">
        <v>21375</v>
      </c>
      <c r="X28" s="14">
        <v>24225</v>
      </c>
      <c r="Y28" s="14">
        <v>24097</v>
      </c>
      <c r="Z28" s="14">
        <v>25523</v>
      </c>
    </row>
    <row r="29" spans="1:26" x14ac:dyDescent="0.25">
      <c r="A29" s="11" t="s">
        <v>756</v>
      </c>
      <c r="B29" s="11" t="s">
        <v>757</v>
      </c>
      <c r="C29" s="14" t="s">
        <v>1033</v>
      </c>
      <c r="D29" s="14" t="s">
        <v>1033</v>
      </c>
      <c r="E29" s="14">
        <v>2810</v>
      </c>
      <c r="F29" s="14">
        <v>1928.2562</v>
      </c>
      <c r="G29" s="14">
        <v>102435</v>
      </c>
      <c r="H29" s="14">
        <v>2927.9090000000001</v>
      </c>
      <c r="I29" s="14">
        <v>2957.3321999999998</v>
      </c>
      <c r="J29" s="14">
        <v>4487</v>
      </c>
      <c r="K29" s="14" t="s">
        <v>1033</v>
      </c>
      <c r="L29" s="14">
        <v>53054.429199999999</v>
      </c>
      <c r="M29" s="14">
        <v>54793.597900000001</v>
      </c>
      <c r="N29" s="14" t="s">
        <v>1033</v>
      </c>
      <c r="O29" s="14" t="s">
        <v>1033</v>
      </c>
      <c r="P29" s="14" t="s">
        <v>1033</v>
      </c>
      <c r="Q29" s="14">
        <v>41605.5645</v>
      </c>
      <c r="R29" s="14">
        <v>64591</v>
      </c>
      <c r="S29" s="14">
        <v>52948</v>
      </c>
      <c r="T29" s="14">
        <v>5377</v>
      </c>
      <c r="U29" s="14">
        <v>4002</v>
      </c>
      <c r="V29" s="14">
        <v>4699</v>
      </c>
      <c r="W29" s="14">
        <v>2000</v>
      </c>
      <c r="X29" s="14">
        <v>3500</v>
      </c>
      <c r="Y29" s="14">
        <v>2950</v>
      </c>
      <c r="Z29" s="14">
        <v>900</v>
      </c>
    </row>
    <row r="30" spans="1:26" x14ac:dyDescent="0.25">
      <c r="A30" s="11" t="s">
        <v>758</v>
      </c>
      <c r="B30" s="11" t="s">
        <v>759</v>
      </c>
      <c r="C30" s="14">
        <v>5784</v>
      </c>
      <c r="D30" s="14" t="s">
        <v>1033</v>
      </c>
      <c r="E30" s="14">
        <v>9067</v>
      </c>
      <c r="F30" s="14">
        <v>9501.9454000000005</v>
      </c>
      <c r="G30" s="14">
        <v>8445</v>
      </c>
      <c r="H30" s="14">
        <v>8873.3377</v>
      </c>
      <c r="I30" s="14">
        <v>8188.2443999999996</v>
      </c>
      <c r="J30" s="14">
        <v>10916</v>
      </c>
      <c r="K30" s="14">
        <v>16739</v>
      </c>
      <c r="L30" s="14">
        <v>17134.625</v>
      </c>
      <c r="M30" s="14">
        <v>17966.7366</v>
      </c>
      <c r="N30" s="14">
        <v>19236</v>
      </c>
      <c r="O30" s="14">
        <v>22028</v>
      </c>
      <c r="P30" s="14">
        <v>21577</v>
      </c>
      <c r="Q30" s="14" t="s">
        <v>1033</v>
      </c>
      <c r="R30" s="14">
        <v>24947</v>
      </c>
      <c r="S30" s="14">
        <v>26735</v>
      </c>
      <c r="T30" s="14">
        <v>37315</v>
      </c>
      <c r="U30" s="14">
        <v>39171</v>
      </c>
      <c r="V30" s="14">
        <v>37496</v>
      </c>
      <c r="W30" s="14">
        <v>43551</v>
      </c>
      <c r="X30" s="14">
        <v>43961</v>
      </c>
      <c r="Y30" s="14">
        <v>48645</v>
      </c>
      <c r="Z30" s="14">
        <v>44579</v>
      </c>
    </row>
    <row r="31" spans="1:26" x14ac:dyDescent="0.25">
      <c r="A31" s="11" t="s">
        <v>760</v>
      </c>
      <c r="B31" s="11" t="s">
        <v>761</v>
      </c>
      <c r="C31" s="14">
        <v>146656.57180000001</v>
      </c>
      <c r="D31" s="14" t="s">
        <v>1033</v>
      </c>
      <c r="E31" s="14">
        <v>156631</v>
      </c>
      <c r="F31" s="14">
        <v>169514.2139</v>
      </c>
      <c r="G31" s="14">
        <v>207858</v>
      </c>
      <c r="H31" s="14">
        <v>215381.603</v>
      </c>
      <c r="I31" s="14">
        <v>233050.48069999999</v>
      </c>
      <c r="J31" s="14">
        <v>258562</v>
      </c>
      <c r="K31" s="14">
        <v>282726</v>
      </c>
      <c r="L31" s="14">
        <v>298350.98210000002</v>
      </c>
      <c r="M31" s="14">
        <v>307127.47659999999</v>
      </c>
      <c r="N31" s="14">
        <v>320482</v>
      </c>
      <c r="O31" s="14">
        <v>313037</v>
      </c>
      <c r="P31" s="14">
        <v>333083</v>
      </c>
      <c r="Q31" s="14">
        <v>338577.35070000001</v>
      </c>
      <c r="R31" s="14">
        <v>346510</v>
      </c>
      <c r="S31" s="14">
        <v>353397</v>
      </c>
      <c r="T31" s="14">
        <v>353651</v>
      </c>
      <c r="U31" s="14">
        <v>374822</v>
      </c>
      <c r="V31" s="14">
        <v>383598</v>
      </c>
      <c r="W31" s="14">
        <v>383109</v>
      </c>
      <c r="X31" s="14">
        <v>391186</v>
      </c>
      <c r="Y31" s="14">
        <v>387089</v>
      </c>
      <c r="Z31" s="14">
        <v>409010</v>
      </c>
    </row>
    <row r="32" spans="1:26" x14ac:dyDescent="0.25">
      <c r="A32" s="11" t="s">
        <v>762</v>
      </c>
      <c r="B32" s="11" t="s">
        <v>763</v>
      </c>
      <c r="C32" s="14" t="s">
        <v>1033</v>
      </c>
      <c r="D32" s="14" t="s">
        <v>1033</v>
      </c>
      <c r="E32" s="14">
        <v>9701</v>
      </c>
      <c r="F32" s="14" t="s">
        <v>1033</v>
      </c>
      <c r="G32" s="14">
        <v>11012</v>
      </c>
      <c r="H32" s="14" t="s">
        <v>1033</v>
      </c>
      <c r="I32" s="14" t="s">
        <v>1033</v>
      </c>
      <c r="J32" s="14" t="s">
        <v>1033</v>
      </c>
      <c r="K32" s="14" t="s">
        <v>1033</v>
      </c>
      <c r="L32" s="14" t="s">
        <v>1033</v>
      </c>
      <c r="M32" s="14" t="s">
        <v>1033</v>
      </c>
      <c r="N32" s="14" t="s">
        <v>1033</v>
      </c>
      <c r="O32" s="14" t="s">
        <v>1033</v>
      </c>
      <c r="P32" s="14" t="s">
        <v>1033</v>
      </c>
      <c r="Q32" s="14" t="s">
        <v>1033</v>
      </c>
      <c r="R32" s="14" t="s">
        <v>1033</v>
      </c>
      <c r="S32" s="14" t="s">
        <v>1033</v>
      </c>
      <c r="T32" s="14" t="s">
        <v>1033</v>
      </c>
      <c r="U32" s="14" t="s">
        <v>1033</v>
      </c>
      <c r="V32" s="14" t="s">
        <v>1033</v>
      </c>
      <c r="W32" s="14" t="s">
        <v>1033</v>
      </c>
      <c r="X32" s="14" t="s">
        <v>1033</v>
      </c>
      <c r="Y32" s="14" t="s">
        <v>1033</v>
      </c>
      <c r="Z32" s="14" t="s">
        <v>1033</v>
      </c>
    </row>
    <row r="33" spans="1:26" x14ac:dyDescent="0.25">
      <c r="A33" s="11" t="s">
        <v>63</v>
      </c>
      <c r="B33" s="11" t="s">
        <v>764</v>
      </c>
      <c r="C33" s="14" t="s">
        <v>1033</v>
      </c>
      <c r="D33" s="14" t="s">
        <v>1033</v>
      </c>
      <c r="E33" s="14" t="s">
        <v>1033</v>
      </c>
      <c r="F33" s="14">
        <v>0.78739999999999999</v>
      </c>
      <c r="G33" s="14" t="s">
        <v>1033</v>
      </c>
      <c r="H33" s="14" t="s">
        <v>1033</v>
      </c>
      <c r="I33" s="14" t="s">
        <v>1033</v>
      </c>
      <c r="J33" s="14">
        <v>829339</v>
      </c>
      <c r="K33" s="14" t="s">
        <v>1033</v>
      </c>
      <c r="L33" s="14" t="s">
        <v>1033</v>
      </c>
      <c r="M33" s="14" t="s">
        <v>1033</v>
      </c>
      <c r="N33" s="14" t="s">
        <v>1033</v>
      </c>
      <c r="O33" s="14" t="s">
        <v>1033</v>
      </c>
      <c r="P33" s="14" t="s">
        <v>1033</v>
      </c>
      <c r="Q33" s="14" t="s">
        <v>1033</v>
      </c>
      <c r="R33" s="14">
        <v>1062985</v>
      </c>
      <c r="S33" s="14">
        <v>1112031</v>
      </c>
      <c r="T33" s="14">
        <v>1143392</v>
      </c>
      <c r="U33" s="14">
        <v>1194594</v>
      </c>
      <c r="V33" s="14">
        <v>1203088</v>
      </c>
      <c r="W33" s="14">
        <v>1198068</v>
      </c>
      <c r="X33" s="14">
        <v>1224444</v>
      </c>
      <c r="Y33" s="14">
        <v>1286666</v>
      </c>
      <c r="Z33" s="14">
        <v>1282381</v>
      </c>
    </row>
    <row r="34" spans="1:26" x14ac:dyDescent="0.25">
      <c r="A34" s="11" t="s">
        <v>109</v>
      </c>
      <c r="B34" s="11" t="s">
        <v>765</v>
      </c>
      <c r="C34" s="14">
        <v>728912.86789999995</v>
      </c>
      <c r="D34" s="14" t="s">
        <v>1033</v>
      </c>
      <c r="E34" s="14">
        <v>774525</v>
      </c>
      <c r="F34" s="14">
        <v>782336.61970000004</v>
      </c>
      <c r="G34" s="14">
        <v>796453</v>
      </c>
      <c r="H34" s="14">
        <v>787571.02610000002</v>
      </c>
      <c r="I34" s="14">
        <v>805906.39800000004</v>
      </c>
      <c r="J34" s="14">
        <v>813088</v>
      </c>
      <c r="K34" s="14">
        <v>831187</v>
      </c>
      <c r="L34" s="14">
        <v>854241.1888</v>
      </c>
      <c r="M34" s="14">
        <v>869611.87670000002</v>
      </c>
      <c r="N34" s="14">
        <v>947927</v>
      </c>
      <c r="O34" s="14">
        <v>964112</v>
      </c>
      <c r="P34" s="14">
        <v>1007528</v>
      </c>
      <c r="Q34" s="14">
        <v>1025600.2482</v>
      </c>
      <c r="R34" s="14">
        <v>1043471</v>
      </c>
      <c r="S34" s="14">
        <v>1091766</v>
      </c>
      <c r="T34" s="14">
        <v>1123184</v>
      </c>
      <c r="U34" s="14">
        <v>1177292</v>
      </c>
      <c r="V34" s="14">
        <v>1185447</v>
      </c>
      <c r="W34" s="14">
        <v>1180184</v>
      </c>
      <c r="X34" s="14">
        <v>1200288</v>
      </c>
      <c r="Y34" s="14">
        <v>1271626</v>
      </c>
      <c r="Z34" s="14">
        <v>1256858</v>
      </c>
    </row>
    <row r="35" spans="1:26" x14ac:dyDescent="0.25">
      <c r="A35" s="11" t="s">
        <v>65</v>
      </c>
      <c r="B35" s="11" t="s">
        <v>766</v>
      </c>
      <c r="C35" s="14">
        <v>1583650.9498999999</v>
      </c>
      <c r="D35" s="14" t="s">
        <v>1033</v>
      </c>
      <c r="E35" s="14">
        <v>1729280</v>
      </c>
      <c r="F35" s="14">
        <v>1783581.1784000001</v>
      </c>
      <c r="G35" s="14">
        <v>1917900</v>
      </c>
      <c r="H35" s="14">
        <v>1802363.0895</v>
      </c>
      <c r="I35" s="14">
        <v>1803695.2135999999</v>
      </c>
      <c r="J35" s="14">
        <v>1850879</v>
      </c>
      <c r="K35" s="14">
        <v>2035427</v>
      </c>
      <c r="L35" s="14">
        <v>2033315.6011999999</v>
      </c>
      <c r="M35" s="14">
        <v>2033008.0985000001</v>
      </c>
      <c r="N35" s="14">
        <v>2130031</v>
      </c>
      <c r="O35" s="14">
        <v>2191378</v>
      </c>
      <c r="P35" s="14">
        <v>2298368</v>
      </c>
      <c r="Q35" s="14">
        <v>2274859.3099000002</v>
      </c>
      <c r="R35" s="14">
        <v>2395399</v>
      </c>
      <c r="S35" s="14">
        <v>2435013</v>
      </c>
      <c r="T35" s="14">
        <v>2420031</v>
      </c>
      <c r="U35" s="14">
        <v>2471209</v>
      </c>
      <c r="V35" s="14">
        <v>2552759</v>
      </c>
      <c r="W35" s="14">
        <v>2524481</v>
      </c>
      <c r="X35" s="14">
        <v>2509263</v>
      </c>
      <c r="Y35" s="14">
        <v>2598663</v>
      </c>
      <c r="Z35" s="14">
        <v>2635909</v>
      </c>
    </row>
    <row r="36" spans="1:26" x14ac:dyDescent="0.25">
      <c r="A36" s="11" t="s">
        <v>767</v>
      </c>
      <c r="B36" s="11" t="s">
        <v>768</v>
      </c>
      <c r="C36" s="14">
        <v>69728.631099999999</v>
      </c>
      <c r="D36" s="14" t="s">
        <v>1033</v>
      </c>
      <c r="E36" s="14">
        <v>86631</v>
      </c>
      <c r="F36" s="14">
        <v>52419.205999999998</v>
      </c>
      <c r="G36" s="14">
        <v>40230</v>
      </c>
      <c r="H36" s="14">
        <v>51211.198199999999</v>
      </c>
      <c r="I36" s="14">
        <v>47852.455199999997</v>
      </c>
      <c r="J36" s="14">
        <v>34701</v>
      </c>
      <c r="K36" s="14">
        <v>56269</v>
      </c>
      <c r="L36" s="14">
        <v>69338.672399999996</v>
      </c>
      <c r="M36" s="14">
        <v>48377.051700000004</v>
      </c>
      <c r="N36" s="14">
        <v>56944</v>
      </c>
      <c r="O36" s="14">
        <v>50746</v>
      </c>
      <c r="P36" s="14">
        <v>53523</v>
      </c>
      <c r="Q36" s="14">
        <v>44932.067000000003</v>
      </c>
      <c r="R36" s="14">
        <v>58448</v>
      </c>
      <c r="S36" s="14">
        <v>67205</v>
      </c>
      <c r="T36" s="14">
        <v>71465</v>
      </c>
      <c r="U36" s="14">
        <v>56229</v>
      </c>
      <c r="V36" s="14">
        <v>82358</v>
      </c>
      <c r="W36" s="14">
        <v>59448</v>
      </c>
      <c r="X36" s="14">
        <v>59932</v>
      </c>
      <c r="Y36" s="14">
        <v>45049</v>
      </c>
      <c r="Z36" s="14">
        <v>63115</v>
      </c>
    </row>
    <row r="37" spans="1:26" x14ac:dyDescent="0.25">
      <c r="A37" s="11" t="s">
        <v>769</v>
      </c>
      <c r="B37" s="11" t="s">
        <v>770</v>
      </c>
      <c r="C37" s="14" t="s">
        <v>1033</v>
      </c>
      <c r="D37" s="14" t="s">
        <v>1033</v>
      </c>
      <c r="E37" s="14" t="s">
        <v>1033</v>
      </c>
      <c r="F37" s="14" t="s">
        <v>1033</v>
      </c>
      <c r="G37" s="14" t="s">
        <v>1033</v>
      </c>
      <c r="H37" s="14" t="s">
        <v>1033</v>
      </c>
      <c r="I37" s="14" t="s">
        <v>1033</v>
      </c>
      <c r="J37" s="14" t="s">
        <v>1033</v>
      </c>
      <c r="K37" s="14" t="s">
        <v>1033</v>
      </c>
      <c r="L37" s="14" t="s">
        <v>1033</v>
      </c>
      <c r="M37" s="14" t="s">
        <v>1033</v>
      </c>
      <c r="N37" s="14" t="s">
        <v>1033</v>
      </c>
      <c r="O37" s="14" t="s">
        <v>1033</v>
      </c>
      <c r="P37" s="14">
        <v>-167</v>
      </c>
      <c r="Q37" s="14" t="s">
        <v>1033</v>
      </c>
      <c r="R37" s="14" t="s">
        <v>1033</v>
      </c>
      <c r="S37" s="14" t="s">
        <v>1033</v>
      </c>
      <c r="T37" s="14" t="s">
        <v>1033</v>
      </c>
      <c r="U37" s="14" t="s">
        <v>1033</v>
      </c>
      <c r="V37" s="14" t="s">
        <v>1033</v>
      </c>
      <c r="W37" s="14" t="s">
        <v>1033</v>
      </c>
      <c r="X37" s="14" t="s">
        <v>1033</v>
      </c>
      <c r="Y37" s="14" t="s">
        <v>1033</v>
      </c>
      <c r="Z37" s="14" t="s">
        <v>1033</v>
      </c>
    </row>
    <row r="38" spans="1:26" x14ac:dyDescent="0.25">
      <c r="A38" s="11" t="s">
        <v>771</v>
      </c>
      <c r="B38" s="11" t="s">
        <v>772</v>
      </c>
      <c r="C38" s="14" t="s">
        <v>1033</v>
      </c>
      <c r="D38" s="14" t="s">
        <v>1033</v>
      </c>
      <c r="E38" s="14">
        <v>1292</v>
      </c>
      <c r="F38" s="14">
        <v>18414.435099999999</v>
      </c>
      <c r="G38" s="14">
        <v>609</v>
      </c>
      <c r="H38" s="14">
        <v>8750.1895000000004</v>
      </c>
      <c r="I38" s="14">
        <v>9020.8323999999993</v>
      </c>
      <c r="J38" s="14">
        <v>1095</v>
      </c>
      <c r="K38" s="14" t="s">
        <v>1033</v>
      </c>
      <c r="L38" s="14">
        <v>6558.7440999999999</v>
      </c>
      <c r="M38" s="14">
        <v>5749.5185000000001</v>
      </c>
      <c r="N38" s="14" t="s">
        <v>1033</v>
      </c>
      <c r="O38" s="14" t="s">
        <v>1033</v>
      </c>
      <c r="P38" s="14" t="s">
        <v>1033</v>
      </c>
      <c r="Q38" s="14">
        <v>4918.0376999999999</v>
      </c>
      <c r="R38" s="14" t="s">
        <v>1033</v>
      </c>
      <c r="S38" s="14" t="s">
        <v>1033</v>
      </c>
      <c r="T38" s="14" t="s">
        <v>1033</v>
      </c>
      <c r="U38" s="14" t="s">
        <v>1033</v>
      </c>
      <c r="V38" s="14" t="s">
        <v>1033</v>
      </c>
      <c r="W38" s="14" t="s">
        <v>1033</v>
      </c>
      <c r="X38" s="14" t="s">
        <v>1033</v>
      </c>
      <c r="Y38" s="14" t="s">
        <v>1033</v>
      </c>
      <c r="Z38" s="14" t="s">
        <v>1033</v>
      </c>
    </row>
    <row r="39" spans="1:26" x14ac:dyDescent="0.25">
      <c r="A39" s="11" t="s">
        <v>773</v>
      </c>
      <c r="B39" s="11" t="s">
        <v>774</v>
      </c>
      <c r="C39" s="14" t="s">
        <v>1033</v>
      </c>
      <c r="D39" s="14" t="s">
        <v>1033</v>
      </c>
      <c r="E39" s="14" t="s">
        <v>1033</v>
      </c>
      <c r="F39" s="14" t="s">
        <v>1033</v>
      </c>
      <c r="G39" s="14" t="s">
        <v>1033</v>
      </c>
      <c r="H39" s="14" t="s">
        <v>1033</v>
      </c>
      <c r="I39" s="14" t="s">
        <v>1033</v>
      </c>
      <c r="J39" s="14" t="s">
        <v>1033</v>
      </c>
      <c r="K39" s="14" t="s">
        <v>1033</v>
      </c>
      <c r="L39" s="14" t="s">
        <v>1033</v>
      </c>
      <c r="M39" s="14" t="s">
        <v>1033</v>
      </c>
      <c r="N39" s="14" t="s">
        <v>1033</v>
      </c>
      <c r="O39" s="14" t="s">
        <v>1033</v>
      </c>
      <c r="P39" s="14" t="s">
        <v>1033</v>
      </c>
      <c r="Q39" s="14">
        <v>13183.544599999999</v>
      </c>
      <c r="R39" s="14" t="s">
        <v>1033</v>
      </c>
      <c r="S39" s="14" t="s">
        <v>1033</v>
      </c>
      <c r="T39" s="14" t="s">
        <v>1033</v>
      </c>
      <c r="U39" s="14">
        <v>14091</v>
      </c>
      <c r="V39" s="14" t="s">
        <v>1033</v>
      </c>
      <c r="W39" s="14" t="s">
        <v>1033</v>
      </c>
      <c r="X39" s="14" t="s">
        <v>1033</v>
      </c>
      <c r="Y39" s="14" t="s">
        <v>1033</v>
      </c>
      <c r="Z39" s="14" t="s">
        <v>1033</v>
      </c>
    </row>
    <row r="40" spans="1:26" x14ac:dyDescent="0.25">
      <c r="A40" s="11" t="s">
        <v>775</v>
      </c>
      <c r="B40" s="11" t="s">
        <v>776</v>
      </c>
      <c r="C40" s="14">
        <v>56121.102099999996</v>
      </c>
      <c r="D40" s="14" t="s">
        <v>1033</v>
      </c>
      <c r="E40" s="14">
        <v>90877</v>
      </c>
      <c r="F40" s="14">
        <v>106047.2562</v>
      </c>
      <c r="G40" s="14">
        <v>116389</v>
      </c>
      <c r="H40" s="14">
        <v>110852.1088</v>
      </c>
      <c r="I40" s="14">
        <v>67768.593800000002</v>
      </c>
      <c r="J40" s="14">
        <v>98842</v>
      </c>
      <c r="K40" s="14">
        <v>124571</v>
      </c>
      <c r="L40" s="14">
        <v>99208.717099999994</v>
      </c>
      <c r="M40" s="14">
        <v>91746.306200000006</v>
      </c>
      <c r="N40" s="14">
        <v>107251</v>
      </c>
      <c r="O40" s="14">
        <v>130568</v>
      </c>
      <c r="P40" s="14">
        <v>109223</v>
      </c>
      <c r="Q40" s="14">
        <v>100229.91529999999</v>
      </c>
      <c r="R40" s="14">
        <v>125072</v>
      </c>
      <c r="S40" s="14">
        <v>125894</v>
      </c>
      <c r="T40" s="14">
        <v>100108</v>
      </c>
      <c r="U40" s="14">
        <v>98704</v>
      </c>
      <c r="V40" s="14">
        <v>136906</v>
      </c>
      <c r="W40" s="14">
        <v>139682</v>
      </c>
      <c r="X40" s="14">
        <v>97537</v>
      </c>
      <c r="Y40" s="14">
        <v>100295</v>
      </c>
      <c r="Z40" s="14">
        <v>90150</v>
      </c>
    </row>
    <row r="41" spans="1:26" x14ac:dyDescent="0.25">
      <c r="A41" s="11" t="s">
        <v>777</v>
      </c>
      <c r="B41" s="11" t="s">
        <v>778</v>
      </c>
      <c r="C41" s="14">
        <v>14192.236500000001</v>
      </c>
      <c r="D41" s="14" t="s">
        <v>1033</v>
      </c>
      <c r="E41" s="14">
        <v>13489</v>
      </c>
      <c r="F41" s="14">
        <v>13893.7431</v>
      </c>
      <c r="G41" s="14">
        <v>13511</v>
      </c>
      <c r="H41" s="14">
        <v>14155.4822</v>
      </c>
      <c r="I41" s="14">
        <v>14476.1952</v>
      </c>
      <c r="J41" s="14">
        <v>15004</v>
      </c>
      <c r="K41" s="14">
        <v>13420</v>
      </c>
      <c r="L41" s="14">
        <v>14216.4804</v>
      </c>
      <c r="M41" s="14">
        <v>14476.235699999999</v>
      </c>
      <c r="N41" s="14">
        <v>14485</v>
      </c>
      <c r="O41" s="14">
        <v>14765</v>
      </c>
      <c r="P41" s="14">
        <v>15006</v>
      </c>
      <c r="Q41" s="14">
        <v>15495.233399999999</v>
      </c>
      <c r="R41" s="14">
        <v>14514</v>
      </c>
      <c r="S41" s="14">
        <v>14832</v>
      </c>
      <c r="T41" s="14">
        <v>15283</v>
      </c>
      <c r="U41" s="14">
        <v>15629</v>
      </c>
      <c r="V41" s="14">
        <v>14662</v>
      </c>
      <c r="W41" s="14">
        <v>14986</v>
      </c>
      <c r="X41" s="14">
        <v>15421</v>
      </c>
      <c r="Y41" s="14">
        <v>15758</v>
      </c>
      <c r="Z41" s="14">
        <v>14590</v>
      </c>
    </row>
    <row r="42" spans="1:26" x14ac:dyDescent="0.25">
      <c r="A42" s="11" t="s">
        <v>779</v>
      </c>
      <c r="B42" s="11" t="s">
        <v>780</v>
      </c>
      <c r="C42" s="14" t="s">
        <v>1033</v>
      </c>
      <c r="D42" s="14" t="s">
        <v>1033</v>
      </c>
      <c r="E42" s="14" t="s">
        <v>1033</v>
      </c>
      <c r="F42" s="14" t="s">
        <v>1033</v>
      </c>
      <c r="G42" s="14" t="s">
        <v>1033</v>
      </c>
      <c r="H42" s="14" t="s">
        <v>1033</v>
      </c>
      <c r="I42" s="14" t="s">
        <v>1033</v>
      </c>
      <c r="J42" s="14" t="s">
        <v>1033</v>
      </c>
      <c r="K42" s="14" t="s">
        <v>1033</v>
      </c>
      <c r="L42" s="14">
        <v>304.4194</v>
      </c>
      <c r="M42" s="14">
        <v>296.69029999999998</v>
      </c>
      <c r="N42" s="14" t="s">
        <v>1033</v>
      </c>
      <c r="O42" s="14" t="s">
        <v>1033</v>
      </c>
      <c r="P42" s="14" t="s">
        <v>1033</v>
      </c>
      <c r="Q42" s="14" t="s">
        <v>1033</v>
      </c>
      <c r="R42" s="14" t="s">
        <v>1033</v>
      </c>
      <c r="S42" s="14" t="s">
        <v>1033</v>
      </c>
      <c r="T42" s="14" t="s">
        <v>1033</v>
      </c>
      <c r="U42" s="14" t="s">
        <v>1033</v>
      </c>
      <c r="V42" s="14" t="s">
        <v>1033</v>
      </c>
      <c r="W42" s="14">
        <v>72</v>
      </c>
      <c r="X42" s="14" t="s">
        <v>1033</v>
      </c>
      <c r="Y42" s="14" t="s">
        <v>1033</v>
      </c>
      <c r="Z42" s="14" t="s">
        <v>1033</v>
      </c>
    </row>
    <row r="43" spans="1:26" x14ac:dyDescent="0.25">
      <c r="A43" s="11" t="s">
        <v>781</v>
      </c>
      <c r="B43" s="11" t="s">
        <v>782</v>
      </c>
      <c r="C43" s="14" t="s">
        <v>1033</v>
      </c>
      <c r="D43" s="14" t="s">
        <v>1033</v>
      </c>
      <c r="E43" s="14" t="s">
        <v>1033</v>
      </c>
      <c r="F43" s="14">
        <v>0</v>
      </c>
      <c r="G43" s="14" t="s">
        <v>1033</v>
      </c>
      <c r="H43" s="14" t="s">
        <v>1033</v>
      </c>
      <c r="I43" s="14" t="s">
        <v>1033</v>
      </c>
      <c r="J43" s="14" t="s">
        <v>1033</v>
      </c>
      <c r="K43" s="14" t="s">
        <v>1033</v>
      </c>
      <c r="L43" s="14">
        <v>140.411</v>
      </c>
      <c r="M43" s="14">
        <v>105.54689999999999</v>
      </c>
      <c r="N43" s="14" t="s">
        <v>1033</v>
      </c>
      <c r="O43" s="14" t="s">
        <v>1033</v>
      </c>
      <c r="P43" s="14" t="s">
        <v>1033</v>
      </c>
      <c r="Q43" s="14">
        <v>25592.7382</v>
      </c>
      <c r="R43" s="14">
        <v>123</v>
      </c>
      <c r="S43" s="14">
        <v>134</v>
      </c>
      <c r="T43" s="14">
        <v>134</v>
      </c>
      <c r="U43" s="14">
        <v>136</v>
      </c>
      <c r="V43" s="14">
        <v>137</v>
      </c>
      <c r="W43" s="14">
        <v>236</v>
      </c>
      <c r="X43" s="14">
        <v>78</v>
      </c>
      <c r="Y43" s="14">
        <v>77</v>
      </c>
      <c r="Z43" s="14">
        <v>77</v>
      </c>
    </row>
    <row r="44" spans="1:26" x14ac:dyDescent="0.25">
      <c r="A44" s="11" t="s">
        <v>783</v>
      </c>
      <c r="B44" s="11" t="s">
        <v>784</v>
      </c>
      <c r="C44" s="14" t="s">
        <v>1033</v>
      </c>
      <c r="D44" s="14" t="s">
        <v>1033</v>
      </c>
      <c r="E44" s="14" t="s">
        <v>1033</v>
      </c>
      <c r="F44" s="14">
        <v>2383.9728</v>
      </c>
      <c r="G44" s="14" t="s">
        <v>1033</v>
      </c>
      <c r="H44" s="14">
        <v>648.34190000000001</v>
      </c>
      <c r="I44" s="14">
        <v>43.381900000000002</v>
      </c>
      <c r="J44" s="14" t="s">
        <v>1033</v>
      </c>
      <c r="K44" s="14">
        <v>1096</v>
      </c>
      <c r="L44" s="14">
        <v>1255.7089000000001</v>
      </c>
      <c r="M44" s="14">
        <v>1813.7139</v>
      </c>
      <c r="N44" s="14">
        <v>2958</v>
      </c>
      <c r="O44" s="14">
        <v>3762</v>
      </c>
      <c r="P44" s="14">
        <v>2984</v>
      </c>
      <c r="Q44" s="14">
        <v>4442.0451000000003</v>
      </c>
      <c r="R44" s="14">
        <v>4556</v>
      </c>
      <c r="S44" s="14">
        <v>2062</v>
      </c>
      <c r="T44" s="14">
        <v>2907</v>
      </c>
      <c r="U44" s="14">
        <v>1004</v>
      </c>
      <c r="V44" s="14">
        <v>2352</v>
      </c>
      <c r="W44" s="14">
        <v>3214</v>
      </c>
      <c r="X44" s="14">
        <v>3435</v>
      </c>
      <c r="Y44" s="14">
        <v>3002</v>
      </c>
      <c r="Z44" s="14">
        <v>2779</v>
      </c>
    </row>
    <row r="45" spans="1:26" x14ac:dyDescent="0.25">
      <c r="A45" s="11" t="s">
        <v>785</v>
      </c>
      <c r="B45" s="11" t="s">
        <v>786</v>
      </c>
      <c r="C45" s="14" t="s">
        <v>1033</v>
      </c>
      <c r="D45" s="14" t="s">
        <v>1033</v>
      </c>
      <c r="E45" s="14">
        <v>48940</v>
      </c>
      <c r="F45" s="14">
        <v>61704.560700000002</v>
      </c>
      <c r="G45" s="14">
        <v>28458</v>
      </c>
      <c r="H45" s="14">
        <v>24423.366999999998</v>
      </c>
      <c r="I45" s="14">
        <v>25998.763800000001</v>
      </c>
      <c r="J45" s="14">
        <v>26941</v>
      </c>
      <c r="K45" s="14">
        <v>118046</v>
      </c>
      <c r="L45" s="14">
        <v>33775.286099999998</v>
      </c>
      <c r="M45" s="14">
        <v>38895.724900000001</v>
      </c>
      <c r="N45" s="14">
        <v>74079</v>
      </c>
      <c r="O45" s="14">
        <v>100395</v>
      </c>
      <c r="P45" s="14">
        <v>131597</v>
      </c>
      <c r="Q45" s="14">
        <v>28956.945199999998</v>
      </c>
      <c r="R45" s="14">
        <v>34037</v>
      </c>
      <c r="S45" s="14">
        <v>28045</v>
      </c>
      <c r="T45" s="14">
        <v>21284</v>
      </c>
      <c r="U45" s="14">
        <v>25124</v>
      </c>
      <c r="V45" s="14">
        <v>19580</v>
      </c>
      <c r="W45" s="14">
        <v>20307</v>
      </c>
      <c r="X45" s="14">
        <v>18628</v>
      </c>
      <c r="Y45" s="14">
        <v>19270</v>
      </c>
      <c r="Z45" s="14">
        <v>21158</v>
      </c>
    </row>
    <row r="46" spans="1:26" x14ac:dyDescent="0.25">
      <c r="A46" s="11" t="s">
        <v>787</v>
      </c>
      <c r="B46" s="11" t="s">
        <v>788</v>
      </c>
      <c r="C46" s="14">
        <v>19461.250599999999</v>
      </c>
      <c r="D46" s="14" t="s">
        <v>1033</v>
      </c>
      <c r="E46" s="14">
        <v>18370</v>
      </c>
      <c r="F46" s="14">
        <v>20500.103899999998</v>
      </c>
      <c r="G46" s="14">
        <v>37981</v>
      </c>
      <c r="H46" s="14">
        <v>19151.515599999999</v>
      </c>
      <c r="I46" s="14">
        <v>18036.4143</v>
      </c>
      <c r="J46" s="14">
        <v>14956</v>
      </c>
      <c r="K46" s="14">
        <v>38118</v>
      </c>
      <c r="L46" s="14">
        <v>465.80169999999998</v>
      </c>
      <c r="M46" s="14">
        <v>322.05369999999999</v>
      </c>
      <c r="N46" s="14">
        <v>30223</v>
      </c>
      <c r="O46" s="14">
        <v>32994</v>
      </c>
      <c r="P46" s="14">
        <v>12660</v>
      </c>
      <c r="Q46" s="14">
        <v>1094.0184999999999</v>
      </c>
      <c r="R46" s="14">
        <v>4133</v>
      </c>
      <c r="S46" s="14">
        <v>925</v>
      </c>
      <c r="T46" s="14">
        <v>843</v>
      </c>
      <c r="U46" s="14">
        <v>876</v>
      </c>
      <c r="V46" s="14">
        <v>585</v>
      </c>
      <c r="W46" s="14">
        <v>808</v>
      </c>
      <c r="X46" s="14">
        <v>740</v>
      </c>
      <c r="Y46" s="14">
        <v>796</v>
      </c>
      <c r="Z46" s="14">
        <v>965</v>
      </c>
    </row>
    <row r="47" spans="1:26" x14ac:dyDescent="0.25">
      <c r="A47" s="11" t="s">
        <v>789</v>
      </c>
      <c r="B47" s="11" t="s">
        <v>790</v>
      </c>
      <c r="C47" s="14">
        <v>158.13470000000001</v>
      </c>
      <c r="D47" s="14" t="s">
        <v>1033</v>
      </c>
      <c r="E47" s="14">
        <v>161</v>
      </c>
      <c r="F47" s="14">
        <v>156.22489999999999</v>
      </c>
      <c r="G47" s="14">
        <v>2</v>
      </c>
      <c r="H47" s="14">
        <v>0</v>
      </c>
      <c r="I47" s="14">
        <v>0</v>
      </c>
      <c r="J47" s="14">
        <v>7999</v>
      </c>
      <c r="K47" s="14" t="s">
        <v>1033</v>
      </c>
      <c r="L47" s="14" t="s">
        <v>1033</v>
      </c>
      <c r="M47" s="14" t="s">
        <v>1033</v>
      </c>
      <c r="N47" s="14" t="s">
        <v>1033</v>
      </c>
      <c r="O47" s="14" t="s">
        <v>1033</v>
      </c>
      <c r="P47" s="14" t="s">
        <v>1033</v>
      </c>
      <c r="Q47" s="14" t="s">
        <v>1033</v>
      </c>
      <c r="R47" s="14" t="s">
        <v>1033</v>
      </c>
      <c r="S47" s="14" t="s">
        <v>1033</v>
      </c>
      <c r="T47" s="14" t="s">
        <v>1033</v>
      </c>
      <c r="U47" s="14" t="s">
        <v>1033</v>
      </c>
      <c r="V47" s="14" t="s">
        <v>1033</v>
      </c>
      <c r="W47" s="14">
        <v>0</v>
      </c>
      <c r="X47" s="14" t="s">
        <v>1033</v>
      </c>
      <c r="Y47" s="14" t="s">
        <v>1033</v>
      </c>
      <c r="Z47" s="14" t="s">
        <v>1033</v>
      </c>
    </row>
    <row r="48" spans="1:26" x14ac:dyDescent="0.25">
      <c r="A48" s="11" t="s">
        <v>791</v>
      </c>
      <c r="B48" s="11" t="s">
        <v>792</v>
      </c>
      <c r="C48" s="14">
        <v>6509.6719999999996</v>
      </c>
      <c r="D48" s="14" t="s">
        <v>1033</v>
      </c>
      <c r="E48" s="14">
        <v>53042</v>
      </c>
      <c r="F48" s="14">
        <v>82502.968500000003</v>
      </c>
      <c r="G48" s="14">
        <v>29068</v>
      </c>
      <c r="H48" s="14">
        <v>33821.898399999998</v>
      </c>
      <c r="I48" s="14">
        <v>9064.2142000000003</v>
      </c>
      <c r="J48" s="14" t="s">
        <v>1033</v>
      </c>
      <c r="K48" s="14">
        <v>119143</v>
      </c>
      <c r="L48" s="14">
        <v>41589.739099999999</v>
      </c>
      <c r="M48" s="14">
        <v>46458.957199999997</v>
      </c>
      <c r="N48" s="14">
        <v>77037</v>
      </c>
      <c r="O48" s="14">
        <v>104158</v>
      </c>
      <c r="P48" s="14">
        <v>134581</v>
      </c>
      <c r="Q48" s="14">
        <v>38317.027999999998</v>
      </c>
      <c r="R48" s="14">
        <v>33473</v>
      </c>
      <c r="S48" s="14">
        <v>25360</v>
      </c>
      <c r="T48" s="14">
        <v>20256</v>
      </c>
      <c r="U48" s="14">
        <v>22130</v>
      </c>
      <c r="V48" s="14">
        <v>18364</v>
      </c>
      <c r="W48" s="14">
        <v>19356</v>
      </c>
      <c r="X48" s="14">
        <v>18282</v>
      </c>
      <c r="Y48" s="14" t="s">
        <v>1033</v>
      </c>
      <c r="Z48" s="14">
        <v>19392</v>
      </c>
    </row>
    <row r="49" spans="1:26" x14ac:dyDescent="0.25">
      <c r="A49" s="11" t="s">
        <v>793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1" t="s">
        <v>794</v>
      </c>
      <c r="B50" s="11" t="s">
        <v>795</v>
      </c>
      <c r="C50" s="14">
        <v>598.42909999999995</v>
      </c>
      <c r="D50" s="14" t="s">
        <v>1033</v>
      </c>
      <c r="E50" s="14">
        <v>382</v>
      </c>
      <c r="F50" s="14">
        <v>462.16520000000003</v>
      </c>
      <c r="G50" s="14">
        <v>1307</v>
      </c>
      <c r="H50" s="14">
        <v>1259.8517999999999</v>
      </c>
      <c r="I50" s="14">
        <v>1247.6765</v>
      </c>
      <c r="J50" s="14">
        <v>1367</v>
      </c>
      <c r="K50" s="14">
        <v>1239</v>
      </c>
      <c r="L50" s="14">
        <v>1175.5432000000001</v>
      </c>
      <c r="M50" s="14">
        <v>1237.6935000000001</v>
      </c>
      <c r="N50" s="14">
        <v>1326</v>
      </c>
      <c r="O50" s="14">
        <v>1282</v>
      </c>
      <c r="P50" s="14">
        <v>1406</v>
      </c>
      <c r="Q50" s="14">
        <v>1534.5539000000001</v>
      </c>
      <c r="R50" s="14">
        <v>1392</v>
      </c>
      <c r="S50" s="14">
        <v>1756</v>
      </c>
      <c r="T50" s="14">
        <v>1437</v>
      </c>
      <c r="U50" s="14">
        <v>1225</v>
      </c>
      <c r="V50" s="14">
        <v>1244</v>
      </c>
      <c r="W50" s="14">
        <v>1357</v>
      </c>
      <c r="X50" s="14">
        <v>1261</v>
      </c>
      <c r="Y50" s="14">
        <v>1253</v>
      </c>
      <c r="Z50" s="14">
        <v>1264</v>
      </c>
    </row>
    <row r="51" spans="1:26" x14ac:dyDescent="0.25">
      <c r="A51" s="11" t="s">
        <v>796</v>
      </c>
      <c r="B51" s="11" t="s">
        <v>797</v>
      </c>
      <c r="C51" s="14">
        <v>373.67149999999998</v>
      </c>
      <c r="D51" s="14" t="s">
        <v>1033</v>
      </c>
      <c r="E51" s="14">
        <v>639</v>
      </c>
      <c r="F51" s="14">
        <v>279.81319999999999</v>
      </c>
      <c r="G51" s="14">
        <v>11406</v>
      </c>
      <c r="H51" s="14">
        <v>297.46420000000001</v>
      </c>
      <c r="I51" s="14">
        <v>433.17660000000001</v>
      </c>
      <c r="J51" s="14">
        <v>1380</v>
      </c>
      <c r="K51" s="14">
        <v>27915</v>
      </c>
      <c r="L51" s="14" t="s">
        <v>1033</v>
      </c>
      <c r="M51" s="14" t="s">
        <v>1033</v>
      </c>
      <c r="N51" s="14">
        <v>34168</v>
      </c>
      <c r="O51" s="14">
        <v>34667</v>
      </c>
      <c r="P51" s="14">
        <v>35521</v>
      </c>
      <c r="Q51" s="14" t="s">
        <v>1033</v>
      </c>
      <c r="R51" s="14">
        <v>33654</v>
      </c>
      <c r="S51" s="14">
        <v>27643</v>
      </c>
      <c r="T51" s="14">
        <v>24094</v>
      </c>
      <c r="U51" s="14">
        <v>13623</v>
      </c>
      <c r="V51" s="14">
        <v>18946</v>
      </c>
      <c r="W51" s="14">
        <v>24447</v>
      </c>
      <c r="X51" s="14">
        <v>26622</v>
      </c>
      <c r="Y51" s="14" t="s">
        <v>1033</v>
      </c>
      <c r="Z51" s="14">
        <v>21829</v>
      </c>
    </row>
    <row r="52" spans="1:26" x14ac:dyDescent="0.25">
      <c r="A52" s="11" t="s">
        <v>798</v>
      </c>
      <c r="B52" s="11" t="s">
        <v>799</v>
      </c>
      <c r="C52" s="14" t="s">
        <v>1033</v>
      </c>
      <c r="D52" s="14" t="s">
        <v>1033</v>
      </c>
      <c r="E52" s="14">
        <v>0</v>
      </c>
      <c r="F52" s="14">
        <v>0</v>
      </c>
      <c r="G52" s="14" t="s">
        <v>1033</v>
      </c>
      <c r="H52" s="14">
        <v>2241.8964999999998</v>
      </c>
      <c r="I52" s="14">
        <v>2693.7505999999998</v>
      </c>
      <c r="J52" s="14">
        <v>3346</v>
      </c>
      <c r="K52" s="14" t="s">
        <v>1033</v>
      </c>
      <c r="L52" s="14" t="s">
        <v>1033</v>
      </c>
      <c r="M52" s="14" t="s">
        <v>1033</v>
      </c>
      <c r="N52" s="14" t="s">
        <v>1033</v>
      </c>
      <c r="O52" s="14" t="s">
        <v>1033</v>
      </c>
      <c r="P52" s="14" t="s">
        <v>1033</v>
      </c>
      <c r="Q52" s="14" t="s">
        <v>1033</v>
      </c>
      <c r="R52" s="14" t="s">
        <v>1033</v>
      </c>
      <c r="S52" s="14" t="s">
        <v>1033</v>
      </c>
      <c r="T52" s="14" t="s">
        <v>1033</v>
      </c>
      <c r="U52" s="14" t="s">
        <v>1033</v>
      </c>
      <c r="V52" s="14" t="s">
        <v>1033</v>
      </c>
      <c r="W52" s="14" t="s">
        <v>1033</v>
      </c>
      <c r="X52" s="14" t="s">
        <v>1033</v>
      </c>
      <c r="Y52" s="14" t="s">
        <v>1033</v>
      </c>
      <c r="Z52" s="14" t="s">
        <v>1033</v>
      </c>
    </row>
    <row r="53" spans="1:26" x14ac:dyDescent="0.25">
      <c r="A53" s="11" t="s">
        <v>800</v>
      </c>
      <c r="B53" s="11" t="s">
        <v>801</v>
      </c>
      <c r="C53" s="14" t="s">
        <v>1033</v>
      </c>
      <c r="D53" s="14" t="s">
        <v>1033</v>
      </c>
      <c r="E53" s="14" t="s">
        <v>1033</v>
      </c>
      <c r="F53" s="14" t="s">
        <v>1033</v>
      </c>
      <c r="G53" s="14" t="s">
        <v>1033</v>
      </c>
      <c r="H53" s="14" t="s">
        <v>1033</v>
      </c>
      <c r="I53" s="14" t="s">
        <v>1033</v>
      </c>
      <c r="J53" s="14" t="s">
        <v>1033</v>
      </c>
      <c r="K53" s="14" t="s">
        <v>1033</v>
      </c>
      <c r="L53" s="14">
        <v>7041.8357999999998</v>
      </c>
      <c r="M53" s="14">
        <v>8014.2266</v>
      </c>
      <c r="N53" s="14" t="s">
        <v>1033</v>
      </c>
      <c r="O53" s="14" t="s">
        <v>1033</v>
      </c>
      <c r="P53" s="14" t="s">
        <v>1033</v>
      </c>
      <c r="Q53" s="14">
        <v>11398.763300000001</v>
      </c>
      <c r="R53" s="14" t="s">
        <v>1033</v>
      </c>
      <c r="S53" s="14" t="s">
        <v>1033</v>
      </c>
      <c r="T53" s="14" t="s">
        <v>1033</v>
      </c>
      <c r="U53" s="14">
        <v>12646</v>
      </c>
      <c r="V53" s="14" t="s">
        <v>1033</v>
      </c>
      <c r="W53" s="14" t="s">
        <v>1033</v>
      </c>
      <c r="X53" s="14" t="s">
        <v>1033</v>
      </c>
      <c r="Y53" s="14">
        <v>13885</v>
      </c>
      <c r="Z53" s="14" t="s">
        <v>1033</v>
      </c>
    </row>
    <row r="54" spans="1:26" x14ac:dyDescent="0.25">
      <c r="A54" s="11" t="s">
        <v>802</v>
      </c>
      <c r="B54" s="11" t="s">
        <v>803</v>
      </c>
      <c r="C54" s="14" t="s">
        <v>1033</v>
      </c>
      <c r="D54" s="14" t="s">
        <v>1033</v>
      </c>
      <c r="E54" s="14" t="s">
        <v>1033</v>
      </c>
      <c r="F54" s="14" t="s">
        <v>1033</v>
      </c>
      <c r="G54" s="14" t="s">
        <v>1033</v>
      </c>
      <c r="H54" s="14" t="s">
        <v>1033</v>
      </c>
      <c r="I54" s="14" t="s">
        <v>1033</v>
      </c>
      <c r="J54" s="14" t="s">
        <v>1033</v>
      </c>
      <c r="K54" s="14" t="s">
        <v>1033</v>
      </c>
      <c r="L54" s="14" t="s">
        <v>1033</v>
      </c>
      <c r="M54" s="14" t="s">
        <v>1033</v>
      </c>
      <c r="N54" s="14" t="s">
        <v>1033</v>
      </c>
      <c r="O54" s="14" t="s">
        <v>1033</v>
      </c>
      <c r="P54" s="14" t="s">
        <v>1033</v>
      </c>
      <c r="Q54" s="14" t="s">
        <v>1033</v>
      </c>
      <c r="R54" s="14" t="s">
        <v>1033</v>
      </c>
      <c r="S54" s="14" t="s">
        <v>1033</v>
      </c>
      <c r="T54" s="14" t="s">
        <v>1033</v>
      </c>
      <c r="U54" s="14" t="s">
        <v>1033</v>
      </c>
      <c r="V54" s="14" t="s">
        <v>1033</v>
      </c>
      <c r="W54" s="14" t="s">
        <v>1033</v>
      </c>
      <c r="X54" s="14">
        <v>2</v>
      </c>
      <c r="Y54" s="14" t="s">
        <v>1033</v>
      </c>
      <c r="Z54" s="14" t="s">
        <v>1033</v>
      </c>
    </row>
    <row r="55" spans="1:26" x14ac:dyDescent="0.25">
      <c r="A55" s="11" t="s">
        <v>804</v>
      </c>
      <c r="B55" s="11" t="s">
        <v>805</v>
      </c>
      <c r="C55" s="14">
        <v>2288.5151000000001</v>
      </c>
      <c r="D55" s="14" t="s">
        <v>1033</v>
      </c>
      <c r="E55" s="14">
        <v>2277</v>
      </c>
      <c r="F55" s="14">
        <v>2443.3182999999999</v>
      </c>
      <c r="G55" s="14">
        <v>2908</v>
      </c>
      <c r="H55" s="14">
        <v>3025.0468000000001</v>
      </c>
      <c r="I55" s="14">
        <v>2897.2237</v>
      </c>
      <c r="J55" s="14">
        <v>3006</v>
      </c>
      <c r="K55" s="14">
        <v>3074</v>
      </c>
      <c r="L55" s="14">
        <v>2720.2743999999998</v>
      </c>
      <c r="M55" s="14">
        <v>2828.6896999999999</v>
      </c>
      <c r="N55" s="14">
        <v>3180</v>
      </c>
      <c r="O55" s="14">
        <v>3189</v>
      </c>
      <c r="P55" s="14">
        <v>3184</v>
      </c>
      <c r="Q55" s="14">
        <v>-147.7157</v>
      </c>
      <c r="R55" s="14">
        <v>-222</v>
      </c>
      <c r="S55" s="14">
        <v>-539</v>
      </c>
      <c r="T55" s="14">
        <v>-637</v>
      </c>
      <c r="U55" s="14">
        <v>-982</v>
      </c>
      <c r="V55" s="14">
        <v>-921</v>
      </c>
      <c r="W55" s="14">
        <v>-1475</v>
      </c>
      <c r="X55" s="14">
        <v>-1860</v>
      </c>
      <c r="Y55" s="14">
        <v>3123</v>
      </c>
      <c r="Z55" s="14">
        <v>3299</v>
      </c>
    </row>
    <row r="56" spans="1:26" x14ac:dyDescent="0.25">
      <c r="A56" s="11" t="s">
        <v>806</v>
      </c>
      <c r="B56" s="11" t="s">
        <v>807</v>
      </c>
      <c r="C56" s="14">
        <v>14982.2258</v>
      </c>
      <c r="D56" s="14" t="s">
        <v>1033</v>
      </c>
      <c r="E56" s="14">
        <v>14944</v>
      </c>
      <c r="F56" s="14">
        <v>14901.1119</v>
      </c>
      <c r="G56" s="14">
        <v>14936</v>
      </c>
      <c r="H56" s="14">
        <v>14936.077600000001</v>
      </c>
      <c r="I56" s="14">
        <v>14939.223099999999</v>
      </c>
      <c r="J56" s="14">
        <v>14957</v>
      </c>
      <c r="K56" s="14">
        <v>14969</v>
      </c>
      <c r="L56" s="14">
        <v>14940.9391</v>
      </c>
      <c r="M56" s="14">
        <v>14937.695599999999</v>
      </c>
      <c r="N56" s="14">
        <v>14968</v>
      </c>
      <c r="O56" s="14">
        <v>14968</v>
      </c>
      <c r="P56" s="14">
        <v>14971</v>
      </c>
      <c r="Q56" s="14">
        <v>14987.962299999999</v>
      </c>
      <c r="R56" s="14">
        <v>15002</v>
      </c>
      <c r="S56" s="14">
        <v>14877</v>
      </c>
      <c r="T56" s="14">
        <v>14733</v>
      </c>
      <c r="U56" s="14">
        <v>14711</v>
      </c>
      <c r="V56" s="14">
        <v>14726</v>
      </c>
      <c r="W56" s="14">
        <v>14719</v>
      </c>
      <c r="X56" s="14">
        <v>14681</v>
      </c>
      <c r="Y56" s="14">
        <v>14674</v>
      </c>
      <c r="Z56" s="14">
        <v>14667</v>
      </c>
    </row>
    <row r="57" spans="1:26" x14ac:dyDescent="0.25">
      <c r="A57" s="11" t="s">
        <v>808</v>
      </c>
      <c r="B57" s="11" t="s">
        <v>809</v>
      </c>
      <c r="C57" s="14">
        <v>47973.144899999999</v>
      </c>
      <c r="D57" s="14" t="s">
        <v>1033</v>
      </c>
      <c r="E57" s="14">
        <v>48091</v>
      </c>
      <c r="F57" s="14">
        <v>48316.3295</v>
      </c>
      <c r="G57" s="14">
        <v>47863</v>
      </c>
      <c r="H57" s="14">
        <v>48282.695500000002</v>
      </c>
      <c r="I57" s="14">
        <v>48490.712299999999</v>
      </c>
      <c r="J57" s="14">
        <v>48292</v>
      </c>
      <c r="K57" s="14">
        <v>48200</v>
      </c>
      <c r="L57" s="14">
        <v>48462.085099999997</v>
      </c>
      <c r="M57" s="14">
        <v>48657.388899999998</v>
      </c>
      <c r="N57" s="14">
        <v>48404</v>
      </c>
      <c r="O57" s="14">
        <v>48709</v>
      </c>
      <c r="P57" s="14">
        <v>49041</v>
      </c>
      <c r="Q57" s="14">
        <v>47648.163999999997</v>
      </c>
      <c r="R57" s="14">
        <v>47600</v>
      </c>
      <c r="S57" s="14">
        <v>47975</v>
      </c>
      <c r="T57" s="14">
        <v>48282</v>
      </c>
      <c r="U57" s="14">
        <v>48161</v>
      </c>
      <c r="V57" s="14">
        <v>47978</v>
      </c>
      <c r="W57" s="14">
        <v>48390</v>
      </c>
      <c r="X57" s="14">
        <v>48143</v>
      </c>
      <c r="Y57" s="14">
        <v>42140</v>
      </c>
      <c r="Z57" s="14">
        <v>41869</v>
      </c>
    </row>
    <row r="58" spans="1:26" x14ac:dyDescent="0.25">
      <c r="A58" s="11" t="s">
        <v>810</v>
      </c>
      <c r="B58" s="11" t="s">
        <v>811</v>
      </c>
      <c r="C58" s="14">
        <v>90775.160699999993</v>
      </c>
      <c r="D58" s="14" t="s">
        <v>1033</v>
      </c>
      <c r="E58" s="14">
        <v>125934</v>
      </c>
      <c r="F58" s="14">
        <v>120909.8855</v>
      </c>
      <c r="G58" s="14">
        <v>148359</v>
      </c>
      <c r="H58" s="14">
        <v>139558.1912</v>
      </c>
      <c r="I58" s="14">
        <v>138647.35310000001</v>
      </c>
      <c r="J58" s="14">
        <v>130076</v>
      </c>
      <c r="K58" s="14">
        <v>162794</v>
      </c>
      <c r="L58" s="14">
        <v>143759.5961</v>
      </c>
      <c r="M58" s="14">
        <v>142522.72659999999</v>
      </c>
      <c r="N58" s="14">
        <v>144172</v>
      </c>
      <c r="O58" s="14">
        <v>120409</v>
      </c>
      <c r="P58" s="14">
        <v>119497</v>
      </c>
      <c r="Q58" s="14">
        <v>103510.0649</v>
      </c>
      <c r="R58" s="14">
        <v>154981</v>
      </c>
      <c r="S58" s="14">
        <v>127967</v>
      </c>
      <c r="T58" s="14">
        <v>126924</v>
      </c>
      <c r="U58" s="14">
        <v>114131</v>
      </c>
      <c r="V58" s="14">
        <v>168740</v>
      </c>
      <c r="W58" s="14">
        <v>129081</v>
      </c>
      <c r="X58" s="14">
        <v>127637</v>
      </c>
      <c r="Y58" s="14">
        <v>165336</v>
      </c>
      <c r="Z58" s="14">
        <v>163969</v>
      </c>
    </row>
    <row r="59" spans="1:26" x14ac:dyDescent="0.25">
      <c r="A59" s="11" t="s">
        <v>812</v>
      </c>
      <c r="B59" s="11" t="s">
        <v>813</v>
      </c>
      <c r="C59" s="14">
        <v>25327.427800000001</v>
      </c>
      <c r="D59" s="14" t="s">
        <v>1033</v>
      </c>
      <c r="E59" s="14">
        <v>-1894</v>
      </c>
      <c r="F59" s="14">
        <v>12701.950699999999</v>
      </c>
      <c r="G59" s="14">
        <v>-2228</v>
      </c>
      <c r="H59" s="14">
        <v>14973.606</v>
      </c>
      <c r="I59" s="14">
        <v>23341.556799999998</v>
      </c>
      <c r="J59" s="14">
        <v>-1067</v>
      </c>
      <c r="K59" s="14">
        <v>-1934</v>
      </c>
      <c r="L59" s="14">
        <v>-7251.1902</v>
      </c>
      <c r="M59" s="14">
        <v>-7088.5841</v>
      </c>
      <c r="N59" s="14">
        <v>-1844</v>
      </c>
      <c r="O59" s="14">
        <v>-1822</v>
      </c>
      <c r="P59" s="14">
        <v>-6704</v>
      </c>
      <c r="Q59" s="14">
        <v>-2987.2669999999998</v>
      </c>
      <c r="R59" s="14">
        <v>-1928</v>
      </c>
      <c r="S59" s="14">
        <v>-1908</v>
      </c>
      <c r="T59" s="14">
        <v>-1889</v>
      </c>
      <c r="U59" s="14">
        <v>-2804</v>
      </c>
      <c r="V59" s="14">
        <v>-2770</v>
      </c>
      <c r="W59" s="14">
        <v>-2736</v>
      </c>
      <c r="X59" s="14">
        <v>-2701</v>
      </c>
      <c r="Y59" s="14">
        <v>464</v>
      </c>
      <c r="Z59" s="14">
        <v>-3701</v>
      </c>
    </row>
    <row r="60" spans="1:26" x14ac:dyDescent="0.25">
      <c r="A60" s="11" t="s">
        <v>814</v>
      </c>
      <c r="B60" s="11" t="s">
        <v>815</v>
      </c>
      <c r="C60" s="14">
        <v>3501.2818000000002</v>
      </c>
      <c r="D60" s="14" t="s">
        <v>1033</v>
      </c>
      <c r="E60" s="14">
        <v>3538</v>
      </c>
      <c r="F60" s="14">
        <v>2718.3227000000002</v>
      </c>
      <c r="G60" s="14">
        <v>3034</v>
      </c>
      <c r="H60" s="14">
        <v>1659.7335</v>
      </c>
      <c r="I60" s="14">
        <v>2407.1747</v>
      </c>
      <c r="J60" s="14">
        <v>1614</v>
      </c>
      <c r="K60" s="14">
        <v>5139</v>
      </c>
      <c r="L60" s="14">
        <v>6086.2143999999998</v>
      </c>
      <c r="M60" s="14">
        <v>8481.0764999999992</v>
      </c>
      <c r="N60" s="14">
        <v>10666</v>
      </c>
      <c r="O60" s="14">
        <v>6367</v>
      </c>
      <c r="P60" s="14">
        <v>6070</v>
      </c>
      <c r="Q60" s="14">
        <v>6933.5933999999997</v>
      </c>
      <c r="R60" s="14">
        <v>5564</v>
      </c>
      <c r="S60" s="14">
        <v>8082</v>
      </c>
      <c r="T60" s="14">
        <v>9832</v>
      </c>
      <c r="U60" s="14">
        <v>9130</v>
      </c>
      <c r="V60" s="14">
        <v>4979</v>
      </c>
      <c r="W60" s="14">
        <v>5190</v>
      </c>
      <c r="X60" s="14">
        <v>5905</v>
      </c>
      <c r="Y60" s="14">
        <v>9172</v>
      </c>
      <c r="Z60" s="14">
        <v>4249</v>
      </c>
    </row>
    <row r="61" spans="1:26" x14ac:dyDescent="0.25">
      <c r="A61" s="11" t="s">
        <v>816</v>
      </c>
      <c r="B61" s="11" t="s">
        <v>817</v>
      </c>
      <c r="C61" s="14">
        <v>187678.04250000001</v>
      </c>
      <c r="D61" s="14" t="s">
        <v>1033</v>
      </c>
      <c r="E61" s="14">
        <v>197490</v>
      </c>
      <c r="F61" s="14">
        <v>208344.49100000001</v>
      </c>
      <c r="G61" s="14">
        <v>230142</v>
      </c>
      <c r="H61" s="14">
        <v>229322.36369999999</v>
      </c>
      <c r="I61" s="14">
        <v>236940.1825</v>
      </c>
      <c r="J61" s="14">
        <v>237240</v>
      </c>
      <c r="K61" s="14">
        <v>244091</v>
      </c>
      <c r="L61" s="14">
        <v>233248.0392</v>
      </c>
      <c r="M61" s="14">
        <v>243910.6735</v>
      </c>
      <c r="N61" s="14">
        <v>252570</v>
      </c>
      <c r="O61" s="14">
        <v>242614</v>
      </c>
      <c r="P61" s="14">
        <v>253268</v>
      </c>
      <c r="Q61" s="14">
        <v>249205.61840000001</v>
      </c>
      <c r="R61" s="14">
        <v>261628</v>
      </c>
      <c r="S61" s="14">
        <v>242286</v>
      </c>
      <c r="T61" s="14">
        <v>253186</v>
      </c>
      <c r="U61" s="14">
        <v>248428</v>
      </c>
      <c r="V61" s="14">
        <v>266135</v>
      </c>
      <c r="W61" s="14">
        <v>251408</v>
      </c>
      <c r="X61" s="14">
        <v>260943</v>
      </c>
      <c r="Y61" s="14">
        <v>252213</v>
      </c>
      <c r="Z61" s="14">
        <v>264431</v>
      </c>
    </row>
    <row r="62" spans="1:26" x14ac:dyDescent="0.25">
      <c r="A62" s="11" t="s">
        <v>818</v>
      </c>
      <c r="B62" s="11" t="s">
        <v>819</v>
      </c>
      <c r="C62" s="14">
        <v>397877.70819999999</v>
      </c>
      <c r="D62" s="14" t="s">
        <v>1033</v>
      </c>
      <c r="E62" s="14">
        <v>433849</v>
      </c>
      <c r="F62" s="14">
        <v>472228.64980000001</v>
      </c>
      <c r="G62" s="14">
        <v>541002</v>
      </c>
      <c r="H62" s="14">
        <v>531773.11880000005</v>
      </c>
      <c r="I62" s="14">
        <v>513916.36599999998</v>
      </c>
      <c r="J62" s="14">
        <v>528051</v>
      </c>
      <c r="K62" s="14">
        <v>570690</v>
      </c>
      <c r="L62" s="14">
        <v>592056.14210000006</v>
      </c>
      <c r="M62" s="14">
        <v>591050.98400000005</v>
      </c>
      <c r="N62" s="14">
        <v>603364</v>
      </c>
      <c r="O62" s="14">
        <v>643394</v>
      </c>
      <c r="P62" s="14">
        <v>675678</v>
      </c>
      <c r="Q62" s="14">
        <v>678923.35759999999</v>
      </c>
      <c r="R62" s="14">
        <v>697414</v>
      </c>
      <c r="S62" s="14">
        <v>705265</v>
      </c>
      <c r="T62" s="14">
        <v>698455</v>
      </c>
      <c r="U62" s="14">
        <v>722181</v>
      </c>
      <c r="V62" s="14">
        <v>773797</v>
      </c>
      <c r="W62" s="14">
        <v>777250</v>
      </c>
      <c r="X62" s="14">
        <v>742978</v>
      </c>
      <c r="Y62" s="14">
        <v>813139</v>
      </c>
      <c r="Z62" s="14">
        <v>810025</v>
      </c>
    </row>
    <row r="63" spans="1:26" x14ac:dyDescent="0.25">
      <c r="A63" s="11" t="s">
        <v>820</v>
      </c>
      <c r="B63" s="11" t="s">
        <v>821</v>
      </c>
      <c r="C63" s="14">
        <v>27483.2523</v>
      </c>
      <c r="D63" s="14" t="s">
        <v>1033</v>
      </c>
      <c r="E63" s="14">
        <v>37568</v>
      </c>
      <c r="F63" s="14">
        <v>35386.336199999998</v>
      </c>
      <c r="G63" s="14">
        <v>34576</v>
      </c>
      <c r="H63" s="14">
        <v>31906.654999999999</v>
      </c>
      <c r="I63" s="14">
        <v>29785.892599999999</v>
      </c>
      <c r="J63" s="14">
        <v>30823</v>
      </c>
      <c r="K63" s="14">
        <v>30353</v>
      </c>
      <c r="L63" s="14">
        <v>21507.132600000001</v>
      </c>
      <c r="M63" s="14">
        <v>21852.300500000001</v>
      </c>
      <c r="N63" s="14">
        <v>30620</v>
      </c>
      <c r="O63" s="14">
        <v>40248</v>
      </c>
      <c r="P63" s="14">
        <v>40189</v>
      </c>
      <c r="Q63" s="14">
        <v>33642.665699999998</v>
      </c>
      <c r="R63" s="14">
        <v>49700</v>
      </c>
      <c r="S63" s="14">
        <v>49275</v>
      </c>
      <c r="T63" s="14">
        <v>50687</v>
      </c>
      <c r="U63" s="14">
        <v>45840</v>
      </c>
      <c r="V63" s="14">
        <v>39431</v>
      </c>
      <c r="W63" s="14">
        <v>39407</v>
      </c>
      <c r="X63" s="14">
        <v>39237</v>
      </c>
      <c r="Y63" s="14">
        <v>39595</v>
      </c>
      <c r="Z63" s="14">
        <v>39706</v>
      </c>
    </row>
    <row r="64" spans="1:26" x14ac:dyDescent="0.25">
      <c r="A64" s="11" t="s">
        <v>822</v>
      </c>
      <c r="B64" s="11" t="s">
        <v>823</v>
      </c>
      <c r="C64" s="14">
        <v>341712.78909999999</v>
      </c>
      <c r="D64" s="14" t="s">
        <v>1033</v>
      </c>
      <c r="E64" s="14">
        <v>354254</v>
      </c>
      <c r="F64" s="14">
        <v>353218.65870000003</v>
      </c>
      <c r="G64" s="14">
        <v>470720</v>
      </c>
      <c r="H64" s="14">
        <v>382671.67680000002</v>
      </c>
      <c r="I64" s="14">
        <v>374346.52260000003</v>
      </c>
      <c r="J64" s="14">
        <v>377100</v>
      </c>
      <c r="K64" s="14">
        <v>465547</v>
      </c>
      <c r="L64" s="14">
        <v>427301.36300000001</v>
      </c>
      <c r="M64" s="14">
        <v>417009.16220000002</v>
      </c>
      <c r="N64" s="14">
        <v>455313</v>
      </c>
      <c r="O64" s="14">
        <v>478628</v>
      </c>
      <c r="P64" s="14">
        <v>504926</v>
      </c>
      <c r="Q64" s="14">
        <v>469156.67019999999</v>
      </c>
      <c r="R64" s="14">
        <v>538422</v>
      </c>
      <c r="S64" s="14">
        <v>542220</v>
      </c>
      <c r="T64" s="14">
        <v>502715</v>
      </c>
      <c r="U64" s="14">
        <v>512145</v>
      </c>
      <c r="V64" s="14">
        <v>508326</v>
      </c>
      <c r="W64" s="14">
        <v>508892</v>
      </c>
      <c r="X64" s="14">
        <v>503267</v>
      </c>
      <c r="Y64" s="14">
        <v>518918</v>
      </c>
      <c r="Z64" s="14">
        <v>509361</v>
      </c>
    </row>
    <row r="65" spans="1:26" x14ac:dyDescent="0.25">
      <c r="A65" s="11" t="s">
        <v>824</v>
      </c>
      <c r="B65" s="11" t="s">
        <v>825</v>
      </c>
      <c r="C65" s="14" t="s">
        <v>1033</v>
      </c>
      <c r="D65" s="14" t="s">
        <v>1033</v>
      </c>
      <c r="E65" s="14" t="s">
        <v>1033</v>
      </c>
      <c r="F65" s="14" t="s">
        <v>1033</v>
      </c>
      <c r="G65" s="14" t="s">
        <v>1033</v>
      </c>
      <c r="H65" s="14" t="s">
        <v>1033</v>
      </c>
      <c r="I65" s="14" t="s">
        <v>1033</v>
      </c>
      <c r="J65" s="14">
        <v>3364</v>
      </c>
      <c r="K65" s="14" t="s">
        <v>1033</v>
      </c>
      <c r="L65" s="14" t="s">
        <v>1033</v>
      </c>
      <c r="M65" s="14" t="s">
        <v>1033</v>
      </c>
      <c r="N65" s="14" t="s">
        <v>1033</v>
      </c>
      <c r="O65" s="14" t="s">
        <v>1033</v>
      </c>
      <c r="P65" s="14" t="s">
        <v>1033</v>
      </c>
      <c r="Q65" s="14" t="s">
        <v>1033</v>
      </c>
      <c r="R65" s="14" t="s">
        <v>1033</v>
      </c>
      <c r="S65" s="14" t="s">
        <v>1033</v>
      </c>
      <c r="T65" s="14" t="s">
        <v>1033</v>
      </c>
      <c r="U65" s="14" t="s">
        <v>1033</v>
      </c>
      <c r="V65" s="14" t="s">
        <v>1033</v>
      </c>
      <c r="W65" s="14" t="s">
        <v>1033</v>
      </c>
      <c r="X65" s="14" t="s">
        <v>1033</v>
      </c>
      <c r="Y65" s="14">
        <v>0</v>
      </c>
      <c r="Z65" s="14" t="s">
        <v>1033</v>
      </c>
    </row>
    <row r="66" spans="1:26" x14ac:dyDescent="0.25">
      <c r="A66" s="11" t="s">
        <v>826</v>
      </c>
      <c r="B66" s="11" t="s">
        <v>827</v>
      </c>
      <c r="C66" s="14">
        <v>27087.487099999998</v>
      </c>
      <c r="D66" s="14" t="s">
        <v>1033</v>
      </c>
      <c r="E66" s="14">
        <v>25826</v>
      </c>
      <c r="F66" s="14">
        <v>47365.482600000003</v>
      </c>
      <c r="G66" s="14">
        <v>20054</v>
      </c>
      <c r="H66" s="14">
        <v>19530.9162</v>
      </c>
      <c r="I66" s="14">
        <v>16828.6191</v>
      </c>
      <c r="J66" s="14">
        <v>25898</v>
      </c>
      <c r="K66" s="14">
        <v>20059</v>
      </c>
      <c r="L66" s="14">
        <v>15284.6497</v>
      </c>
      <c r="M66" s="14">
        <v>17627.283899999999</v>
      </c>
      <c r="N66" s="14">
        <v>18365</v>
      </c>
      <c r="O66" s="14">
        <v>18004</v>
      </c>
      <c r="P66" s="14">
        <v>18341</v>
      </c>
      <c r="Q66" s="14">
        <v>25731.2333</v>
      </c>
      <c r="R66" s="14">
        <v>24589</v>
      </c>
      <c r="S66" s="14">
        <v>27781</v>
      </c>
      <c r="T66" s="14">
        <v>25441</v>
      </c>
      <c r="U66" s="14">
        <v>22196</v>
      </c>
      <c r="V66" s="14">
        <v>23854</v>
      </c>
      <c r="W66" s="14">
        <v>25894</v>
      </c>
      <c r="X66" s="14">
        <v>23644</v>
      </c>
      <c r="Y66" s="14">
        <v>27099</v>
      </c>
      <c r="Z66" s="14">
        <v>26889</v>
      </c>
    </row>
    <row r="67" spans="1:26" x14ac:dyDescent="0.25">
      <c r="A67" s="11" t="s">
        <v>828</v>
      </c>
      <c r="B67" s="11" t="s">
        <v>829</v>
      </c>
      <c r="C67" s="14" t="s">
        <v>1033</v>
      </c>
      <c r="D67" s="14" t="s">
        <v>1033</v>
      </c>
      <c r="E67" s="14" t="s">
        <v>1033</v>
      </c>
      <c r="F67" s="14" t="s">
        <v>1033</v>
      </c>
      <c r="G67" s="14" t="s">
        <v>1033</v>
      </c>
      <c r="H67" s="14" t="s">
        <v>1033</v>
      </c>
      <c r="I67" s="14" t="s">
        <v>1033</v>
      </c>
      <c r="J67" s="14">
        <v>29013</v>
      </c>
      <c r="K67" s="14" t="s">
        <v>1033</v>
      </c>
      <c r="L67" s="14" t="s">
        <v>1033</v>
      </c>
      <c r="M67" s="14" t="s">
        <v>1033</v>
      </c>
      <c r="N67" s="14" t="s">
        <v>1033</v>
      </c>
      <c r="O67" s="14" t="s">
        <v>1033</v>
      </c>
      <c r="P67" s="14" t="s">
        <v>1033</v>
      </c>
      <c r="Q67" s="14" t="s">
        <v>1033</v>
      </c>
      <c r="R67" s="14" t="s">
        <v>1033</v>
      </c>
      <c r="S67" s="14" t="s">
        <v>1033</v>
      </c>
      <c r="T67" s="14" t="s">
        <v>1033</v>
      </c>
      <c r="U67" s="14" t="s">
        <v>1033</v>
      </c>
      <c r="V67" s="14" t="s">
        <v>1033</v>
      </c>
      <c r="W67" s="14" t="s">
        <v>1033</v>
      </c>
      <c r="X67" s="14" t="s">
        <v>1033</v>
      </c>
      <c r="Y67" s="14" t="s">
        <v>1033</v>
      </c>
      <c r="Z67" s="14" t="s">
        <v>1033</v>
      </c>
    </row>
    <row r="68" spans="1:26" x14ac:dyDescent="0.25">
      <c r="A68" s="11" t="s">
        <v>830</v>
      </c>
      <c r="B68" s="11" t="s">
        <v>831</v>
      </c>
      <c r="C68" s="14">
        <v>14674.529399999999</v>
      </c>
      <c r="D68" s="14" t="s">
        <v>1033</v>
      </c>
      <c r="E68" s="14">
        <v>11675</v>
      </c>
      <c r="F68" s="14">
        <v>14451.7413</v>
      </c>
      <c r="G68" s="14">
        <v>13962</v>
      </c>
      <c r="H68" s="14">
        <v>14222.600899999999</v>
      </c>
      <c r="I68" s="14">
        <v>13951.584999999999</v>
      </c>
      <c r="J68" s="14">
        <v>13589</v>
      </c>
      <c r="K68" s="14">
        <v>12778</v>
      </c>
      <c r="L68" s="14">
        <v>13861.1819</v>
      </c>
      <c r="M68" s="14">
        <v>14831.274299999999</v>
      </c>
      <c r="N68" s="14">
        <v>15738</v>
      </c>
      <c r="O68" s="14">
        <v>13174</v>
      </c>
      <c r="P68" s="14">
        <v>14129</v>
      </c>
      <c r="Q68" s="14">
        <v>7410.3083999999999</v>
      </c>
      <c r="R68" s="14">
        <v>8005</v>
      </c>
      <c r="S68" s="14">
        <v>10994</v>
      </c>
      <c r="T68" s="14">
        <v>11706</v>
      </c>
      <c r="U68" s="14">
        <v>12865</v>
      </c>
      <c r="V68" s="14">
        <v>11722</v>
      </c>
      <c r="W68" s="14">
        <v>7878</v>
      </c>
      <c r="X68" s="14">
        <v>7709</v>
      </c>
      <c r="Y68" s="14">
        <v>10230</v>
      </c>
      <c r="Z68" s="14">
        <v>9799</v>
      </c>
    </row>
    <row r="69" spans="1:26" x14ac:dyDescent="0.25">
      <c r="A69" s="11" t="s">
        <v>61</v>
      </c>
      <c r="B69" s="11" t="s">
        <v>832</v>
      </c>
      <c r="C69" s="14" t="s">
        <v>1033</v>
      </c>
      <c r="D69" s="14" t="s">
        <v>1033</v>
      </c>
      <c r="E69" s="14">
        <v>772993</v>
      </c>
      <c r="F69" s="14">
        <v>801148</v>
      </c>
      <c r="G69" s="14">
        <v>830531</v>
      </c>
      <c r="H69" s="14" t="s">
        <v>1033</v>
      </c>
      <c r="I69" s="14" t="s">
        <v>1033</v>
      </c>
      <c r="J69" s="14" t="s">
        <v>1033</v>
      </c>
      <c r="K69" s="14">
        <v>836028</v>
      </c>
      <c r="L69" s="14" t="s">
        <v>1033</v>
      </c>
      <c r="M69" s="14" t="s">
        <v>1033</v>
      </c>
      <c r="N69" s="14">
        <v>916968</v>
      </c>
      <c r="O69" s="14" t="s">
        <v>1033</v>
      </c>
      <c r="P69" s="14" t="s">
        <v>1033</v>
      </c>
      <c r="Q69" s="14" t="s">
        <v>1033</v>
      </c>
      <c r="R69" s="14">
        <v>1072431</v>
      </c>
      <c r="S69" s="14">
        <v>1105118</v>
      </c>
      <c r="T69" s="14">
        <v>1124606</v>
      </c>
      <c r="U69" s="14">
        <v>1133500</v>
      </c>
      <c r="V69" s="14">
        <v>1177314</v>
      </c>
      <c r="W69" s="14">
        <v>1188431</v>
      </c>
      <c r="X69" s="14">
        <v>1161756</v>
      </c>
      <c r="Y69" s="14" t="s">
        <v>1033</v>
      </c>
      <c r="Z69" s="14">
        <v>1243419</v>
      </c>
    </row>
    <row r="70" spans="1:26" x14ac:dyDescent="0.25">
      <c r="A70" s="11" t="s">
        <v>115</v>
      </c>
      <c r="B70" s="11" t="s">
        <v>833</v>
      </c>
      <c r="C70" s="14">
        <v>1395972.9073999999</v>
      </c>
      <c r="D70" s="14" t="s">
        <v>1033</v>
      </c>
      <c r="E70" s="14">
        <v>1531790</v>
      </c>
      <c r="F70" s="14">
        <v>1575236.6875</v>
      </c>
      <c r="G70" s="14">
        <v>1687758</v>
      </c>
      <c r="H70" s="14">
        <v>1573040.7257999999</v>
      </c>
      <c r="I70" s="14">
        <v>1566755.0311</v>
      </c>
      <c r="J70" s="14">
        <v>1613639</v>
      </c>
      <c r="K70" s="14">
        <v>1791336</v>
      </c>
      <c r="L70" s="14">
        <v>1800067.5619999999</v>
      </c>
      <c r="M70" s="14">
        <v>1789097.425</v>
      </c>
      <c r="N70" s="14">
        <v>1877461</v>
      </c>
      <c r="O70" s="14">
        <v>1948764</v>
      </c>
      <c r="P70" s="14">
        <v>2045100</v>
      </c>
      <c r="Q70" s="14">
        <v>2025653.6915</v>
      </c>
      <c r="R70" s="14">
        <v>2133771</v>
      </c>
      <c r="S70" s="14">
        <v>2192727</v>
      </c>
      <c r="T70" s="14">
        <v>2166845</v>
      </c>
      <c r="U70" s="14">
        <v>2222781</v>
      </c>
      <c r="V70" s="14">
        <v>2286624</v>
      </c>
      <c r="W70" s="14">
        <v>2273073</v>
      </c>
      <c r="X70" s="14">
        <v>2248320</v>
      </c>
      <c r="Y70" s="14">
        <v>2346450</v>
      </c>
      <c r="Z70" s="14">
        <v>2371478</v>
      </c>
    </row>
    <row r="71" spans="1:26" x14ac:dyDescent="0.25">
      <c r="A71" s="11" t="s">
        <v>834</v>
      </c>
      <c r="B71" s="11" t="s">
        <v>835</v>
      </c>
      <c r="C71" s="14" t="s">
        <v>1033</v>
      </c>
      <c r="D71" s="14" t="s">
        <v>1033</v>
      </c>
      <c r="E71" s="14">
        <v>1729280</v>
      </c>
      <c r="F71" s="14">
        <v>1783581.1784000001</v>
      </c>
      <c r="G71" s="14">
        <v>1917900</v>
      </c>
      <c r="H71" s="14">
        <v>1802363.0895</v>
      </c>
      <c r="I71" s="14">
        <v>1803695.2135999999</v>
      </c>
      <c r="J71" s="14">
        <v>1850879</v>
      </c>
      <c r="K71" s="14">
        <v>2035427</v>
      </c>
      <c r="L71" s="14">
        <v>2033315.6011999999</v>
      </c>
      <c r="M71" s="14">
        <v>2033008.0985000001</v>
      </c>
      <c r="N71" s="14">
        <v>2130031</v>
      </c>
      <c r="O71" s="14">
        <v>2191378</v>
      </c>
      <c r="P71" s="14">
        <v>2298368</v>
      </c>
      <c r="Q71" s="14">
        <v>2274859.3099000002</v>
      </c>
      <c r="R71" s="14">
        <v>2395399</v>
      </c>
      <c r="S71" s="14">
        <v>2435012</v>
      </c>
      <c r="T71" s="14">
        <v>2420031</v>
      </c>
      <c r="U71" s="14">
        <v>2471209</v>
      </c>
      <c r="V71" s="14">
        <v>2552759</v>
      </c>
      <c r="W71" s="14">
        <v>2524481</v>
      </c>
      <c r="X71" s="14">
        <v>2509263</v>
      </c>
      <c r="Y71" s="14">
        <v>2598663</v>
      </c>
      <c r="Z71" s="14">
        <v>2635909</v>
      </c>
    </row>
    <row r="72" spans="1:26" x14ac:dyDescent="0.25">
      <c r="A72" s="11" t="s">
        <v>836</v>
      </c>
      <c r="B72" s="11" t="s">
        <v>837</v>
      </c>
      <c r="C72" s="14">
        <v>152486.04579999999</v>
      </c>
      <c r="D72" s="14" t="s">
        <v>1033</v>
      </c>
      <c r="E72" s="14">
        <v>162887</v>
      </c>
      <c r="F72" s="14">
        <v>179929.83009999999</v>
      </c>
      <c r="G72" s="14">
        <v>200479</v>
      </c>
      <c r="H72" s="14">
        <v>204291.3034</v>
      </c>
      <c r="I72" s="14">
        <v>219402.56760000001</v>
      </c>
      <c r="J72" s="14">
        <v>230425</v>
      </c>
      <c r="K72" s="14">
        <v>243336</v>
      </c>
      <c r="L72" s="14">
        <v>248837.73800000001</v>
      </c>
      <c r="M72" s="14">
        <v>255215.91450000001</v>
      </c>
      <c r="N72" s="14">
        <v>268980</v>
      </c>
      <c r="O72" s="14">
        <v>274462</v>
      </c>
      <c r="P72" s="14">
        <v>281170</v>
      </c>
      <c r="Q72" s="14">
        <v>288892.16859999998</v>
      </c>
      <c r="R72" s="14">
        <v>302992</v>
      </c>
      <c r="S72" s="14">
        <v>309345</v>
      </c>
      <c r="T72" s="14">
        <v>316628</v>
      </c>
      <c r="U72" s="14">
        <v>321727</v>
      </c>
      <c r="V72" s="14">
        <v>339329</v>
      </c>
      <c r="W72" s="14">
        <v>347475</v>
      </c>
      <c r="X72" s="14">
        <v>354805</v>
      </c>
      <c r="Y72" s="14">
        <v>365502</v>
      </c>
      <c r="Z72" s="14">
        <v>381150</v>
      </c>
    </row>
    <row r="73" spans="1:26" x14ac:dyDescent="0.25">
      <c r="A73" s="11" t="s">
        <v>838</v>
      </c>
      <c r="B73" s="11" t="s">
        <v>839</v>
      </c>
      <c r="C73" s="14">
        <v>12311.4059</v>
      </c>
      <c r="D73" s="14" t="s">
        <v>1033</v>
      </c>
      <c r="E73" s="14">
        <v>77802</v>
      </c>
      <c r="F73" s="14">
        <v>14548.9838</v>
      </c>
      <c r="G73" s="14">
        <v>35778</v>
      </c>
      <c r="H73" s="14">
        <v>11473.8418</v>
      </c>
      <c r="I73" s="14">
        <v>13559.971600000001</v>
      </c>
      <c r="J73" s="14">
        <v>47794</v>
      </c>
      <c r="K73" s="14">
        <v>61073</v>
      </c>
      <c r="L73" s="14">
        <v>47489.511700000003</v>
      </c>
      <c r="M73" s="14">
        <v>39967.149400000002</v>
      </c>
      <c r="N73" s="14">
        <v>59313</v>
      </c>
      <c r="O73" s="14">
        <v>53518</v>
      </c>
      <c r="P73" s="14">
        <v>52955</v>
      </c>
      <c r="Q73" s="14">
        <v>35601.3917</v>
      </c>
      <c r="R73" s="14">
        <v>60437</v>
      </c>
      <c r="S73" s="14">
        <v>68315</v>
      </c>
      <c r="T73" s="14">
        <v>70305</v>
      </c>
      <c r="U73" s="14">
        <v>63273</v>
      </c>
      <c r="V73" s="14">
        <v>89984</v>
      </c>
      <c r="W73" s="14">
        <v>66755</v>
      </c>
      <c r="X73" s="14">
        <v>71308</v>
      </c>
      <c r="Y73" s="14">
        <v>37151</v>
      </c>
      <c r="Z73" s="14">
        <v>79884</v>
      </c>
    </row>
    <row r="74" spans="1:26" x14ac:dyDescent="0.25">
      <c r="A74" s="11" t="s">
        <v>840</v>
      </c>
      <c r="B74" s="11" t="s">
        <v>841</v>
      </c>
      <c r="C74" s="14">
        <v>55515.002099999998</v>
      </c>
      <c r="D74" s="14" t="s">
        <v>1033</v>
      </c>
      <c r="E74" s="14">
        <v>58423</v>
      </c>
      <c r="F74" s="14">
        <v>57320.506300000001</v>
      </c>
      <c r="G74" s="14">
        <v>58761</v>
      </c>
      <c r="H74" s="14">
        <v>57243.385199999997</v>
      </c>
      <c r="I74" s="14">
        <v>59186.203099999999</v>
      </c>
      <c r="J74" s="14">
        <v>80574</v>
      </c>
      <c r="K74" s="14">
        <v>78316</v>
      </c>
      <c r="L74" s="14">
        <v>75049.942800000004</v>
      </c>
      <c r="M74" s="14">
        <v>68007.648199999996</v>
      </c>
      <c r="N74" s="14">
        <v>61132</v>
      </c>
      <c r="O74" s="14">
        <v>58175</v>
      </c>
      <c r="P74" s="14">
        <v>57039</v>
      </c>
      <c r="Q74" s="14">
        <v>55421.266100000001</v>
      </c>
      <c r="R74" s="14">
        <v>54083</v>
      </c>
      <c r="S74" s="14">
        <v>59734</v>
      </c>
      <c r="T74" s="14">
        <v>52513</v>
      </c>
      <c r="U74" s="14">
        <v>86928</v>
      </c>
      <c r="V74" s="14">
        <v>85199</v>
      </c>
      <c r="W74" s="14">
        <v>78116</v>
      </c>
      <c r="X74" s="14">
        <v>76269</v>
      </c>
      <c r="Y74" s="14">
        <v>74984</v>
      </c>
      <c r="Z74" s="14">
        <v>74673</v>
      </c>
    </row>
    <row r="75" spans="1:26" x14ac:dyDescent="0.25">
      <c r="A75" s="11" t="s">
        <v>842</v>
      </c>
      <c r="B75" s="11" t="s">
        <v>843</v>
      </c>
      <c r="C75" s="14">
        <v>126.0076</v>
      </c>
      <c r="D75" s="14" t="s">
        <v>1033</v>
      </c>
      <c r="E75" s="14">
        <v>348</v>
      </c>
      <c r="F75" s="14">
        <v>325.8408</v>
      </c>
      <c r="G75" s="14">
        <v>166</v>
      </c>
      <c r="H75" s="14">
        <v>131.69880000000001</v>
      </c>
      <c r="I75" s="14">
        <v>172.8879</v>
      </c>
      <c r="J75" s="14">
        <v>168</v>
      </c>
      <c r="K75" s="14">
        <v>122</v>
      </c>
      <c r="L75" s="14">
        <v>135.94139999999999</v>
      </c>
      <c r="M75" s="14">
        <v>130.85939999999999</v>
      </c>
      <c r="N75" s="14">
        <v>-28</v>
      </c>
      <c r="O75" s="14">
        <v>-95</v>
      </c>
      <c r="P75" s="14">
        <v>-71</v>
      </c>
      <c r="Q75" s="14">
        <v>-108.54559999999999</v>
      </c>
      <c r="R75" s="14">
        <v>-143</v>
      </c>
      <c r="S75" s="14">
        <v>2</v>
      </c>
      <c r="T75" s="14">
        <v>317</v>
      </c>
      <c r="U75" s="14">
        <v>465</v>
      </c>
      <c r="V75" s="14">
        <v>403</v>
      </c>
      <c r="W75" s="14">
        <v>143</v>
      </c>
      <c r="X75" s="14">
        <v>73</v>
      </c>
      <c r="Y75" s="14">
        <v>34</v>
      </c>
      <c r="Z75" s="14">
        <v>24</v>
      </c>
    </row>
    <row r="76" spans="1:26" x14ac:dyDescent="0.25">
      <c r="A76" s="11" t="s">
        <v>844</v>
      </c>
      <c r="B76" s="11" t="s">
        <v>845</v>
      </c>
      <c r="C76" s="14">
        <v>2071.3501999999999</v>
      </c>
      <c r="D76" s="14" t="s">
        <v>1033</v>
      </c>
      <c r="E76" s="14">
        <v>2311</v>
      </c>
      <c r="F76" s="14">
        <v>3159.3</v>
      </c>
      <c r="G76" s="14">
        <v>3145</v>
      </c>
      <c r="H76" s="14">
        <v>2790.0504000000001</v>
      </c>
      <c r="I76" s="14">
        <v>2500.5115000000001</v>
      </c>
      <c r="J76" s="14">
        <v>2514</v>
      </c>
      <c r="K76" s="14">
        <v>3807</v>
      </c>
      <c r="L76" s="14">
        <v>3514.0920000000001</v>
      </c>
      <c r="M76" s="14">
        <v>3413.6866</v>
      </c>
      <c r="N76" s="14">
        <v>2326</v>
      </c>
      <c r="O76" s="14">
        <v>2789</v>
      </c>
      <c r="P76" s="14">
        <v>2405</v>
      </c>
      <c r="Q76" s="14">
        <v>2378.5136000000002</v>
      </c>
      <c r="R76" s="14">
        <v>3979</v>
      </c>
      <c r="S76" s="14">
        <v>3709</v>
      </c>
      <c r="T76" s="14">
        <v>3089</v>
      </c>
      <c r="U76" s="14">
        <v>3018</v>
      </c>
      <c r="V76" s="14">
        <v>5712</v>
      </c>
      <c r="W76" s="14">
        <v>4633</v>
      </c>
      <c r="X76" s="14">
        <v>3450</v>
      </c>
      <c r="Y76" s="14">
        <v>3516</v>
      </c>
      <c r="Z76" s="14">
        <v>4337</v>
      </c>
    </row>
    <row r="77" spans="1:26" x14ac:dyDescent="0.25">
      <c r="A77" s="11" t="s">
        <v>846</v>
      </c>
      <c r="B77" s="11" t="s">
        <v>847</v>
      </c>
      <c r="C77" s="14">
        <v>6205.5605999999998</v>
      </c>
      <c r="D77" s="14" t="s">
        <v>1033</v>
      </c>
      <c r="E77" s="14">
        <v>5418</v>
      </c>
      <c r="F77" s="14">
        <v>8746.0542999999998</v>
      </c>
      <c r="G77" s="14">
        <v>9719</v>
      </c>
      <c r="H77" s="14">
        <v>8415.0478000000003</v>
      </c>
      <c r="I77" s="14">
        <v>8451.2257000000009</v>
      </c>
      <c r="J77" s="14">
        <v>8835</v>
      </c>
      <c r="K77" s="14">
        <v>9110</v>
      </c>
      <c r="L77" s="14">
        <v>8208.6155999999992</v>
      </c>
      <c r="M77" s="14">
        <v>8105.7968000000001</v>
      </c>
      <c r="N77" s="14">
        <v>33615</v>
      </c>
      <c r="O77" s="14">
        <v>33618</v>
      </c>
      <c r="P77" s="14">
        <v>33619</v>
      </c>
      <c r="Q77" s="14">
        <v>33884.725899999998</v>
      </c>
      <c r="R77" s="14">
        <v>34187</v>
      </c>
      <c r="S77" s="14">
        <v>29072</v>
      </c>
      <c r="T77" s="14">
        <v>23286</v>
      </c>
      <c r="U77" s="14">
        <v>22236</v>
      </c>
      <c r="V77" s="14">
        <v>22713</v>
      </c>
      <c r="W77" s="14">
        <v>32398</v>
      </c>
      <c r="X77" s="14">
        <v>30425</v>
      </c>
      <c r="Y77" s="14">
        <v>30081</v>
      </c>
      <c r="Z77" s="14">
        <v>29545</v>
      </c>
    </row>
    <row r="78" spans="1:26" x14ac:dyDescent="0.25">
      <c r="A78" s="11" t="s">
        <v>848</v>
      </c>
      <c r="B78" s="11" t="s">
        <v>849</v>
      </c>
      <c r="C78" s="14" t="s">
        <v>1033</v>
      </c>
      <c r="D78" s="14" t="s">
        <v>1033</v>
      </c>
      <c r="E78" s="14">
        <v>9118</v>
      </c>
      <c r="F78" s="14" t="s">
        <v>1033</v>
      </c>
      <c r="G78" s="14">
        <v>8544</v>
      </c>
      <c r="H78" s="14" t="s">
        <v>1033</v>
      </c>
      <c r="I78" s="14" t="s">
        <v>1033</v>
      </c>
      <c r="J78" s="14">
        <v>35048</v>
      </c>
      <c r="K78" s="14">
        <v>10748</v>
      </c>
      <c r="L78" s="14">
        <v>22271.777600000001</v>
      </c>
      <c r="M78" s="14">
        <v>33816.100700000003</v>
      </c>
      <c r="N78" s="14">
        <v>13018</v>
      </c>
      <c r="O78" s="14">
        <v>26106</v>
      </c>
      <c r="P78" s="14">
        <v>39375</v>
      </c>
      <c r="Q78" s="14">
        <v>52418.229500000001</v>
      </c>
      <c r="R78" s="14">
        <v>14208</v>
      </c>
      <c r="S78" s="14">
        <v>28226</v>
      </c>
      <c r="T78" s="14">
        <v>42464</v>
      </c>
      <c r="U78" s="14">
        <v>56188</v>
      </c>
      <c r="V78" s="14">
        <v>15288</v>
      </c>
      <c r="W78" s="14">
        <v>29906</v>
      </c>
      <c r="X78" s="14">
        <v>42914</v>
      </c>
      <c r="Y78" s="14" t="s">
        <v>1033</v>
      </c>
      <c r="Z78" s="14">
        <v>15458</v>
      </c>
    </row>
    <row r="79" spans="1:26" x14ac:dyDescent="0.25">
      <c r="A79" s="11" t="s">
        <v>850</v>
      </c>
      <c r="B79" s="11" t="s">
        <v>851</v>
      </c>
      <c r="C79" s="14" t="s">
        <v>1033</v>
      </c>
      <c r="D79" s="14" t="s">
        <v>1033</v>
      </c>
      <c r="E79" s="14" t="s">
        <v>1033</v>
      </c>
      <c r="F79" s="14" t="s">
        <v>1033</v>
      </c>
      <c r="G79" s="14" t="s">
        <v>1033</v>
      </c>
      <c r="H79" s="14" t="s">
        <v>1033</v>
      </c>
      <c r="I79" s="14" t="s">
        <v>1033</v>
      </c>
      <c r="J79" s="14">
        <v>-2075</v>
      </c>
      <c r="K79" s="14" t="s">
        <v>1033</v>
      </c>
      <c r="L79" s="14" t="s">
        <v>1033</v>
      </c>
      <c r="M79" s="14" t="s">
        <v>1033</v>
      </c>
      <c r="N79" s="14" t="s">
        <v>1033</v>
      </c>
      <c r="O79" s="14" t="s">
        <v>1033</v>
      </c>
      <c r="P79" s="14">
        <v>356</v>
      </c>
      <c r="Q79" s="14" t="s">
        <v>1033</v>
      </c>
      <c r="R79" s="14" t="s">
        <v>1033</v>
      </c>
      <c r="S79" s="14" t="s">
        <v>1033</v>
      </c>
      <c r="T79" s="14" t="s">
        <v>1033</v>
      </c>
      <c r="U79" s="14" t="s">
        <v>1033</v>
      </c>
      <c r="V79" s="14" t="s">
        <v>1033</v>
      </c>
      <c r="W79" s="14" t="s">
        <v>1033</v>
      </c>
      <c r="X79" s="14">
        <v>-1</v>
      </c>
      <c r="Y79" s="14">
        <v>-3639</v>
      </c>
      <c r="Z79" s="14" t="s">
        <v>1033</v>
      </c>
    </row>
    <row r="80" spans="1:26" x14ac:dyDescent="0.25">
      <c r="A80" s="11" t="s">
        <v>852</v>
      </c>
      <c r="B80" s="11" t="s">
        <v>853</v>
      </c>
      <c r="C80" s="14">
        <v>19.148900000000001</v>
      </c>
      <c r="D80" s="14" t="s">
        <v>1033</v>
      </c>
      <c r="E80" s="14" t="s">
        <v>1033</v>
      </c>
      <c r="F80" s="14" t="s">
        <v>1033</v>
      </c>
      <c r="G80" s="14">
        <v>13</v>
      </c>
      <c r="H80" s="14">
        <v>21.730399999999999</v>
      </c>
      <c r="I80" s="14">
        <v>6.1721000000000004</v>
      </c>
      <c r="J80" s="14">
        <v>0</v>
      </c>
      <c r="K80" s="14">
        <v>0</v>
      </c>
      <c r="L80" s="14" t="s">
        <v>1033</v>
      </c>
      <c r="M80" s="14">
        <v>0</v>
      </c>
      <c r="N80" s="14">
        <v>0</v>
      </c>
      <c r="O80" s="14" t="s">
        <v>1033</v>
      </c>
      <c r="P80" s="14" t="s">
        <v>1033</v>
      </c>
      <c r="Q80" s="14">
        <v>0</v>
      </c>
      <c r="R80" s="14">
        <v>0</v>
      </c>
      <c r="S80" s="14">
        <v>0</v>
      </c>
      <c r="T80" s="14" t="s">
        <v>1033</v>
      </c>
      <c r="U80" s="14" t="s">
        <v>1033</v>
      </c>
      <c r="V80" s="14">
        <v>0</v>
      </c>
      <c r="W80" s="14">
        <v>0</v>
      </c>
      <c r="X80" s="14" t="s">
        <v>1033</v>
      </c>
      <c r="Y80" s="14" t="s">
        <v>1033</v>
      </c>
      <c r="Z80" s="14">
        <v>0</v>
      </c>
    </row>
    <row r="81" spans="1:26" x14ac:dyDescent="0.25">
      <c r="A81" s="11" t="s">
        <v>854</v>
      </c>
      <c r="B81" s="11" t="s">
        <v>855</v>
      </c>
      <c r="C81" s="14">
        <v>34277.695299999999</v>
      </c>
      <c r="D81" s="14" t="s">
        <v>1033</v>
      </c>
      <c r="E81" s="14" t="s">
        <v>1033</v>
      </c>
      <c r="F81" s="14">
        <v>34198.0118</v>
      </c>
      <c r="G81" s="14" t="s">
        <v>1033</v>
      </c>
      <c r="H81" s="14">
        <v>39619.753499999999</v>
      </c>
      <c r="I81" s="14">
        <v>38696.988499999999</v>
      </c>
      <c r="J81" s="14" t="s">
        <v>1033</v>
      </c>
      <c r="K81" s="14" t="s">
        <v>1033</v>
      </c>
      <c r="L81" s="14">
        <v>49004.688300000002</v>
      </c>
      <c r="M81" s="14">
        <v>38937.285100000001</v>
      </c>
      <c r="N81" s="14" t="s">
        <v>1033</v>
      </c>
      <c r="O81" s="14" t="s">
        <v>1033</v>
      </c>
      <c r="P81" s="14" t="s">
        <v>1033</v>
      </c>
      <c r="Q81" s="14">
        <v>37037.561000000002</v>
      </c>
      <c r="R81" s="14" t="s">
        <v>1033</v>
      </c>
      <c r="S81" s="14" t="s">
        <v>1033</v>
      </c>
      <c r="T81" s="14" t="s">
        <v>1033</v>
      </c>
      <c r="U81" s="14" t="s">
        <v>1033</v>
      </c>
      <c r="V81" s="14" t="s">
        <v>1033</v>
      </c>
      <c r="W81" s="14" t="s">
        <v>1033</v>
      </c>
      <c r="X81" s="14" t="s">
        <v>1033</v>
      </c>
      <c r="Y81" s="14">
        <v>29720</v>
      </c>
      <c r="Z81" s="14" t="s">
        <v>1033</v>
      </c>
    </row>
    <row r="82" spans="1:26" x14ac:dyDescent="0.25">
      <c r="A82" s="11" t="s">
        <v>856</v>
      </c>
      <c r="B82" s="11" t="s">
        <v>857</v>
      </c>
      <c r="C82" s="14">
        <v>296678.24800000002</v>
      </c>
      <c r="D82" s="14" t="s">
        <v>1033</v>
      </c>
      <c r="E82" s="14">
        <v>301575</v>
      </c>
      <c r="F82" s="14">
        <v>293532.8946</v>
      </c>
      <c r="G82" s="14">
        <v>254952</v>
      </c>
      <c r="H82" s="14">
        <v>246402.2807</v>
      </c>
      <c r="I82" s="14">
        <v>249589.46309999999</v>
      </c>
      <c r="J82" s="14">
        <v>240151</v>
      </c>
      <c r="K82" s="14">
        <v>234985</v>
      </c>
      <c r="L82" s="14">
        <v>251627.58780000001</v>
      </c>
      <c r="M82" s="14">
        <v>260008.48869999999</v>
      </c>
      <c r="N82" s="14">
        <v>282985</v>
      </c>
      <c r="O82" s="14">
        <v>293154</v>
      </c>
      <c r="P82" s="14">
        <v>321095</v>
      </c>
      <c r="Q82" s="14">
        <v>343851.09179999999</v>
      </c>
      <c r="R82" s="14">
        <v>325317</v>
      </c>
      <c r="S82" s="14">
        <v>350578</v>
      </c>
      <c r="T82" s="14">
        <v>375464</v>
      </c>
      <c r="U82" s="14">
        <v>365479</v>
      </c>
      <c r="V82" s="14">
        <v>364086</v>
      </c>
      <c r="W82" s="14">
        <v>371775</v>
      </c>
      <c r="X82" s="14">
        <v>379541</v>
      </c>
      <c r="Y82" s="14">
        <v>389273</v>
      </c>
      <c r="Z82" s="14">
        <v>393688</v>
      </c>
    </row>
    <row r="83" spans="1:26" x14ac:dyDescent="0.25">
      <c r="A83" s="11" t="s">
        <v>858</v>
      </c>
      <c r="B83" s="11" t="s">
        <v>859</v>
      </c>
      <c r="C83" s="14" t="s">
        <v>1033</v>
      </c>
      <c r="D83" s="14" t="s">
        <v>1033</v>
      </c>
      <c r="E83" s="14">
        <v>132179</v>
      </c>
      <c r="F83" s="14" t="s">
        <v>1033</v>
      </c>
      <c r="G83" s="14">
        <v>164434</v>
      </c>
      <c r="H83" s="14" t="s">
        <v>1033</v>
      </c>
      <c r="I83" s="14" t="s">
        <v>1033</v>
      </c>
      <c r="J83" s="14">
        <v>170985</v>
      </c>
      <c r="K83" s="14">
        <v>177848</v>
      </c>
      <c r="L83" s="14">
        <v>230527.7648</v>
      </c>
      <c r="M83" s="14">
        <v>241081.98379999999</v>
      </c>
      <c r="N83" s="14">
        <v>186019</v>
      </c>
      <c r="O83" s="14">
        <v>175748</v>
      </c>
      <c r="P83" s="14">
        <v>25008</v>
      </c>
      <c r="Q83" s="14">
        <v>249353.334</v>
      </c>
      <c r="R83" s="14">
        <v>199248</v>
      </c>
      <c r="S83" s="14">
        <v>179973</v>
      </c>
      <c r="T83" s="14">
        <v>190808</v>
      </c>
      <c r="U83" s="14">
        <v>186537</v>
      </c>
      <c r="V83" s="14">
        <v>204352</v>
      </c>
      <c r="W83" s="14">
        <v>189774</v>
      </c>
      <c r="X83" s="14">
        <v>199981</v>
      </c>
      <c r="Y83" s="14">
        <v>249090</v>
      </c>
      <c r="Z83" s="14">
        <v>204596</v>
      </c>
    </row>
    <row r="84" spans="1:26" x14ac:dyDescent="0.25">
      <c r="A84" s="11" t="s">
        <v>860</v>
      </c>
      <c r="B84" s="11" t="s">
        <v>861</v>
      </c>
      <c r="C84" s="14">
        <v>24225.506300000001</v>
      </c>
      <c r="D84" s="14" t="s">
        <v>1033</v>
      </c>
      <c r="E84" s="14">
        <v>50574</v>
      </c>
      <c r="F84" s="14">
        <v>58754.137000000002</v>
      </c>
      <c r="G84" s="14">
        <v>24508</v>
      </c>
      <c r="H84" s="14">
        <v>20011.032800000001</v>
      </c>
      <c r="I84" s="14">
        <v>21636.977299999999</v>
      </c>
      <c r="J84" s="14" t="s">
        <v>1033</v>
      </c>
      <c r="K84" s="14">
        <v>22855</v>
      </c>
      <c r="L84" s="14">
        <v>27172.365099999999</v>
      </c>
      <c r="M84" s="14">
        <v>32486.938999999998</v>
      </c>
      <c r="N84" s="14">
        <v>23836</v>
      </c>
      <c r="O84" s="14">
        <v>24428</v>
      </c>
      <c r="P84" s="14">
        <v>26483</v>
      </c>
      <c r="Q84" s="14">
        <v>21533.8446</v>
      </c>
      <c r="R84" s="14">
        <v>22128</v>
      </c>
      <c r="S84" s="14">
        <v>21520</v>
      </c>
      <c r="T84" s="14">
        <v>18128</v>
      </c>
      <c r="U84" s="14">
        <v>22130</v>
      </c>
      <c r="V84" s="14">
        <v>14694</v>
      </c>
      <c r="W84" s="14">
        <v>9414</v>
      </c>
      <c r="X84" s="14">
        <v>7775</v>
      </c>
      <c r="Y84" s="14">
        <v>8283</v>
      </c>
      <c r="Z84" s="14">
        <v>9748</v>
      </c>
    </row>
    <row r="85" spans="1:26" x14ac:dyDescent="0.25">
      <c r="A85" s="11" t="s">
        <v>862</v>
      </c>
      <c r="B85" s="11" t="s">
        <v>863</v>
      </c>
      <c r="C85" s="14">
        <v>5079.3562000000002</v>
      </c>
      <c r="D85" s="14" t="s">
        <v>1033</v>
      </c>
      <c r="E85" s="14">
        <v>10487</v>
      </c>
      <c r="F85" s="14">
        <v>7681.8541999999998</v>
      </c>
      <c r="G85" s="14">
        <v>5566</v>
      </c>
      <c r="H85" s="14">
        <v>5623.4337999999998</v>
      </c>
      <c r="I85" s="14">
        <v>6565.4125999999997</v>
      </c>
      <c r="J85" s="14" t="s">
        <v>1033</v>
      </c>
      <c r="K85" s="14">
        <v>5549</v>
      </c>
      <c r="L85" s="14">
        <v>5650.5824000000002</v>
      </c>
      <c r="M85" s="14">
        <v>3857.2883999999999</v>
      </c>
      <c r="N85" s="14">
        <v>2892</v>
      </c>
      <c r="O85" s="14">
        <v>2370</v>
      </c>
      <c r="P85" s="14">
        <v>3647</v>
      </c>
      <c r="Q85" s="14">
        <v>2259.3789999999999</v>
      </c>
      <c r="R85" s="14">
        <v>1977</v>
      </c>
      <c r="S85" s="14">
        <v>2168</v>
      </c>
      <c r="T85" s="14">
        <v>1866</v>
      </c>
      <c r="U85" s="14">
        <v>3798</v>
      </c>
      <c r="V85" s="14">
        <v>1055</v>
      </c>
      <c r="W85" s="14">
        <v>356</v>
      </c>
      <c r="X85" s="14">
        <v>39</v>
      </c>
      <c r="Y85" s="14">
        <v>13</v>
      </c>
      <c r="Z85" s="14">
        <v>45</v>
      </c>
    </row>
    <row r="86" spans="1:26" x14ac:dyDescent="0.25">
      <c r="A86" s="11" t="s">
        <v>864</v>
      </c>
      <c r="B86" s="11" t="s">
        <v>865</v>
      </c>
      <c r="C86" s="14" t="s">
        <v>1033</v>
      </c>
      <c r="D86" s="14" t="s">
        <v>1033</v>
      </c>
      <c r="E86" s="14">
        <v>-6746</v>
      </c>
      <c r="F86" s="14" t="s">
        <v>1033</v>
      </c>
      <c r="G86" s="14">
        <v>-125</v>
      </c>
      <c r="H86" s="14" t="s">
        <v>1033</v>
      </c>
      <c r="I86" s="14" t="s">
        <v>1033</v>
      </c>
      <c r="J86" s="14" t="s">
        <v>1033</v>
      </c>
      <c r="K86" s="14">
        <v>-2992</v>
      </c>
      <c r="L86" s="14" t="s">
        <v>1033</v>
      </c>
      <c r="M86" s="14" t="s">
        <v>1033</v>
      </c>
      <c r="N86" s="14">
        <v>-2914</v>
      </c>
      <c r="O86" s="14">
        <v>-2468</v>
      </c>
      <c r="P86" s="14" t="s">
        <v>1033</v>
      </c>
      <c r="Q86" s="14" t="s">
        <v>1033</v>
      </c>
      <c r="R86" s="14">
        <v>-2057</v>
      </c>
      <c r="S86" s="14">
        <v>-3386</v>
      </c>
      <c r="T86" s="14">
        <v>-294</v>
      </c>
      <c r="U86" s="14">
        <v>-3678</v>
      </c>
      <c r="V86" s="14">
        <v>-22</v>
      </c>
      <c r="W86" s="14">
        <v>982</v>
      </c>
      <c r="X86" s="14">
        <v>1632</v>
      </c>
      <c r="Y86" s="14" t="s">
        <v>1033</v>
      </c>
      <c r="Z86" s="14">
        <v>-699</v>
      </c>
    </row>
    <row r="87" spans="1:26" x14ac:dyDescent="0.25">
      <c r="A87" s="11" t="s">
        <v>866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1" t="s">
        <v>470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1" t="s">
        <v>867</v>
      </c>
      <c r="B89" s="11" t="s">
        <v>868</v>
      </c>
      <c r="C89" s="14">
        <v>209172</v>
      </c>
      <c r="D89" s="14" t="s">
        <v>1033</v>
      </c>
      <c r="E89" s="14">
        <v>207470</v>
      </c>
      <c r="F89" s="14">
        <v>228471</v>
      </c>
      <c r="G89" s="14">
        <v>231577</v>
      </c>
      <c r="H89" s="14">
        <v>226353</v>
      </c>
      <c r="I89" s="14">
        <v>229407</v>
      </c>
      <c r="J89" s="14">
        <v>228792</v>
      </c>
      <c r="K89" s="14">
        <v>229057</v>
      </c>
      <c r="L89" s="14">
        <v>224251</v>
      </c>
      <c r="M89" s="14">
        <v>218566</v>
      </c>
      <c r="N89" s="14">
        <v>202217</v>
      </c>
      <c r="O89" s="14">
        <v>188507</v>
      </c>
      <c r="P89" s="14">
        <v>218249</v>
      </c>
      <c r="Q89" s="14" t="s">
        <v>1033</v>
      </c>
      <c r="R89" s="14">
        <v>230140</v>
      </c>
      <c r="S89" s="14">
        <v>222407</v>
      </c>
      <c r="T89" s="14">
        <v>212035</v>
      </c>
      <c r="U89" s="14">
        <v>371162</v>
      </c>
      <c r="V89" s="14">
        <v>185873</v>
      </c>
      <c r="W89" s="14">
        <v>413750</v>
      </c>
      <c r="X89" s="14">
        <v>162777</v>
      </c>
      <c r="Y89" s="14">
        <v>383744</v>
      </c>
      <c r="Z89" s="14">
        <v>222338</v>
      </c>
    </row>
    <row r="90" spans="1:26" x14ac:dyDescent="0.25">
      <c r="A90" s="11" t="s">
        <v>869</v>
      </c>
      <c r="B90" s="11" t="s">
        <v>870</v>
      </c>
      <c r="C90" s="14">
        <v>1945</v>
      </c>
      <c r="D90" s="14" t="s">
        <v>1033</v>
      </c>
      <c r="E90" s="14">
        <v>-4341</v>
      </c>
      <c r="F90" s="14">
        <v>592</v>
      </c>
      <c r="G90" s="14">
        <v>2973</v>
      </c>
      <c r="H90" s="14">
        <v>3599</v>
      </c>
      <c r="I90" s="14">
        <v>3347</v>
      </c>
      <c r="J90" s="14">
        <v>2486</v>
      </c>
      <c r="K90" s="14">
        <v>-486</v>
      </c>
      <c r="L90" s="14">
        <v>-4107</v>
      </c>
      <c r="M90" s="14">
        <v>-5482</v>
      </c>
      <c r="N90" s="14">
        <v>-3159</v>
      </c>
      <c r="O90" s="14">
        <v>-2969</v>
      </c>
      <c r="P90" s="14">
        <v>-4480</v>
      </c>
      <c r="Q90" s="14" t="s">
        <v>1033</v>
      </c>
      <c r="R90" s="14">
        <v>-2654</v>
      </c>
      <c r="S90" s="14">
        <v>-3884</v>
      </c>
      <c r="T90" s="14">
        <v>-3385</v>
      </c>
      <c r="U90" s="14">
        <v>-3584</v>
      </c>
      <c r="V90" s="14">
        <v>-1154</v>
      </c>
      <c r="W90" s="14">
        <v>-5296</v>
      </c>
      <c r="X90" s="14">
        <v>-2230</v>
      </c>
      <c r="Y90" s="14">
        <v>-3344</v>
      </c>
      <c r="Z90" s="14">
        <v>-1843</v>
      </c>
    </row>
    <row r="91" spans="1:26" x14ac:dyDescent="0.25">
      <c r="A91" s="11" t="s">
        <v>871</v>
      </c>
      <c r="B91" s="11" t="s">
        <v>872</v>
      </c>
      <c r="C91" s="14" t="s">
        <v>1033</v>
      </c>
      <c r="D91" s="14" t="s">
        <v>1033</v>
      </c>
      <c r="E91" s="14" t="s">
        <v>1033</v>
      </c>
      <c r="F91" s="14" t="s">
        <v>1033</v>
      </c>
      <c r="G91" s="14" t="s">
        <v>1033</v>
      </c>
      <c r="H91" s="14" t="s">
        <v>1033</v>
      </c>
      <c r="I91" s="14" t="s">
        <v>1033</v>
      </c>
      <c r="J91" s="14">
        <v>39648</v>
      </c>
      <c r="K91" s="14" t="s">
        <v>1033</v>
      </c>
      <c r="L91" s="14" t="s">
        <v>1033</v>
      </c>
      <c r="M91" s="14" t="s">
        <v>1033</v>
      </c>
      <c r="N91" s="14" t="s">
        <v>1033</v>
      </c>
      <c r="O91" s="14" t="s">
        <v>1033</v>
      </c>
      <c r="P91" s="14" t="s">
        <v>1033</v>
      </c>
      <c r="Q91" s="14" t="s">
        <v>1033</v>
      </c>
      <c r="R91" s="14" t="s">
        <v>1033</v>
      </c>
      <c r="S91" s="14" t="s">
        <v>1033</v>
      </c>
      <c r="T91" s="14" t="s">
        <v>1033</v>
      </c>
      <c r="U91" s="14" t="s">
        <v>1033</v>
      </c>
      <c r="V91" s="14" t="s">
        <v>1033</v>
      </c>
      <c r="W91" s="14" t="s">
        <v>1033</v>
      </c>
      <c r="X91" s="14" t="s">
        <v>1033</v>
      </c>
      <c r="Y91" s="14">
        <v>63129</v>
      </c>
      <c r="Z91" s="14" t="s">
        <v>1033</v>
      </c>
    </row>
    <row r="92" spans="1:26" x14ac:dyDescent="0.25">
      <c r="A92" s="11" t="s">
        <v>873</v>
      </c>
      <c r="B92" s="11" t="s">
        <v>874</v>
      </c>
      <c r="C92" s="14" t="s">
        <v>1033</v>
      </c>
      <c r="D92" s="14" t="s">
        <v>1033</v>
      </c>
      <c r="E92" s="14" t="s">
        <v>1033</v>
      </c>
      <c r="F92" s="14" t="s">
        <v>1033</v>
      </c>
      <c r="G92" s="14" t="s">
        <v>1033</v>
      </c>
      <c r="H92" s="14" t="s">
        <v>1033</v>
      </c>
      <c r="I92" s="14" t="s">
        <v>1033</v>
      </c>
      <c r="J92" s="14">
        <v>18197</v>
      </c>
      <c r="K92" s="14" t="s">
        <v>1033</v>
      </c>
      <c r="L92" s="14" t="s">
        <v>1033</v>
      </c>
      <c r="M92" s="14" t="s">
        <v>1033</v>
      </c>
      <c r="N92" s="14" t="s">
        <v>1033</v>
      </c>
      <c r="O92" s="14" t="s">
        <v>1033</v>
      </c>
      <c r="P92" s="14" t="s">
        <v>1033</v>
      </c>
      <c r="Q92" s="14" t="s">
        <v>1033</v>
      </c>
      <c r="R92" s="14" t="s">
        <v>1033</v>
      </c>
      <c r="S92" s="14" t="s">
        <v>1033</v>
      </c>
      <c r="T92" s="14" t="s">
        <v>1033</v>
      </c>
      <c r="U92" s="14" t="s">
        <v>1033</v>
      </c>
      <c r="V92" s="14" t="s">
        <v>1033</v>
      </c>
      <c r="W92" s="14" t="s">
        <v>1033</v>
      </c>
      <c r="X92" s="14" t="s">
        <v>1033</v>
      </c>
      <c r="Y92" s="14">
        <v>27845</v>
      </c>
      <c r="Z92" s="14" t="s">
        <v>1033</v>
      </c>
    </row>
    <row r="93" spans="1:26" x14ac:dyDescent="0.25">
      <c r="A93" s="11" t="s">
        <v>732</v>
      </c>
      <c r="B93" s="11" t="s">
        <v>875</v>
      </c>
      <c r="C93" s="14" t="s">
        <v>1033</v>
      </c>
      <c r="D93" s="14" t="s">
        <v>1033</v>
      </c>
      <c r="E93" s="14" t="s">
        <v>1033</v>
      </c>
      <c r="F93" s="14" t="s">
        <v>1033</v>
      </c>
      <c r="G93" s="14" t="s">
        <v>1033</v>
      </c>
      <c r="H93" s="14" t="s">
        <v>1033</v>
      </c>
      <c r="I93" s="14" t="s">
        <v>1033</v>
      </c>
      <c r="J93" s="14">
        <v>21451</v>
      </c>
      <c r="K93" s="14" t="s">
        <v>1033</v>
      </c>
      <c r="L93" s="14" t="s">
        <v>1033</v>
      </c>
      <c r="M93" s="14" t="s">
        <v>1033</v>
      </c>
      <c r="N93" s="14" t="s">
        <v>1033</v>
      </c>
      <c r="O93" s="14" t="s">
        <v>1033</v>
      </c>
      <c r="P93" s="14" t="s">
        <v>1033</v>
      </c>
      <c r="Q93" s="14" t="s">
        <v>1033</v>
      </c>
      <c r="R93" s="14" t="s">
        <v>1033</v>
      </c>
      <c r="S93" s="14" t="s">
        <v>1033</v>
      </c>
      <c r="T93" s="14" t="s">
        <v>1033</v>
      </c>
      <c r="U93" s="14" t="s">
        <v>1033</v>
      </c>
      <c r="V93" s="14" t="s">
        <v>1033</v>
      </c>
      <c r="W93" s="14" t="s">
        <v>1033</v>
      </c>
      <c r="X93" s="14" t="s">
        <v>1033</v>
      </c>
      <c r="Y93" s="14">
        <v>35284</v>
      </c>
      <c r="Z93" s="14" t="s">
        <v>1033</v>
      </c>
    </row>
    <row r="94" spans="1:26" x14ac:dyDescent="0.25">
      <c r="A94" s="11" t="s">
        <v>736</v>
      </c>
      <c r="B94" s="11" t="s">
        <v>876</v>
      </c>
      <c r="C94" s="14">
        <v>23829</v>
      </c>
      <c r="D94" s="14" t="s">
        <v>1033</v>
      </c>
      <c r="E94" s="14">
        <v>675</v>
      </c>
      <c r="F94" s="14">
        <v>13624</v>
      </c>
      <c r="G94" s="14">
        <v>4324</v>
      </c>
      <c r="H94" s="14">
        <v>27695</v>
      </c>
      <c r="I94" s="14">
        <v>27800</v>
      </c>
      <c r="J94" s="14" t="s">
        <v>1033</v>
      </c>
      <c r="K94" s="14">
        <v>16718</v>
      </c>
      <c r="L94" s="14">
        <v>17785.871999999999</v>
      </c>
      <c r="M94" s="14">
        <v>17994.173699999999</v>
      </c>
      <c r="N94" s="14">
        <v>17971</v>
      </c>
      <c r="O94" s="14">
        <v>17833</v>
      </c>
      <c r="P94" s="14">
        <v>17663</v>
      </c>
      <c r="Q94" s="14">
        <v>17269.947499999998</v>
      </c>
      <c r="R94" s="14">
        <v>16763</v>
      </c>
      <c r="S94" s="14">
        <v>16063</v>
      </c>
      <c r="T94" s="14">
        <v>15397</v>
      </c>
      <c r="U94" s="14">
        <v>14898</v>
      </c>
      <c r="V94" s="14">
        <v>14522</v>
      </c>
      <c r="W94" s="14">
        <v>13879</v>
      </c>
      <c r="X94" s="14">
        <v>11913</v>
      </c>
      <c r="Y94" s="14" t="s">
        <v>1033</v>
      </c>
      <c r="Z94" s="14">
        <v>11199</v>
      </c>
    </row>
    <row r="95" spans="1:26" x14ac:dyDescent="0.25">
      <c r="A95" s="11" t="s">
        <v>738</v>
      </c>
      <c r="B95" s="11" t="s">
        <v>877</v>
      </c>
      <c r="C95" s="14">
        <v>26717</v>
      </c>
      <c r="D95" s="14" t="s">
        <v>1033</v>
      </c>
      <c r="E95" s="14">
        <v>25329</v>
      </c>
      <c r="F95" s="14">
        <v>26782</v>
      </c>
      <c r="G95" s="14">
        <v>26731</v>
      </c>
      <c r="H95" s="14">
        <v>26720</v>
      </c>
      <c r="I95" s="14">
        <v>26733</v>
      </c>
      <c r="J95" s="14">
        <v>26732</v>
      </c>
      <c r="K95" s="14">
        <v>26720</v>
      </c>
      <c r="L95" s="14">
        <v>26724.632900000001</v>
      </c>
      <c r="M95" s="14">
        <v>26724.4735</v>
      </c>
      <c r="N95" s="14">
        <v>26710</v>
      </c>
      <c r="O95" s="14">
        <v>26691</v>
      </c>
      <c r="P95" s="14">
        <v>26697</v>
      </c>
      <c r="Q95" s="14">
        <v>26825.4326</v>
      </c>
      <c r="R95" s="14">
        <v>26823</v>
      </c>
      <c r="S95" s="14">
        <v>26859</v>
      </c>
      <c r="T95" s="14">
        <v>27978</v>
      </c>
      <c r="U95" s="14">
        <v>28067</v>
      </c>
      <c r="V95" s="14">
        <v>28034</v>
      </c>
      <c r="W95" s="14">
        <v>27905</v>
      </c>
      <c r="X95" s="14">
        <v>27644</v>
      </c>
      <c r="Y95" s="14">
        <v>27478</v>
      </c>
      <c r="Z95" s="14">
        <v>27511</v>
      </c>
    </row>
    <row r="96" spans="1:26" x14ac:dyDescent="0.25">
      <c r="A96" s="11" t="s">
        <v>800</v>
      </c>
      <c r="B96" s="11" t="s">
        <v>878</v>
      </c>
      <c r="C96" s="14" t="s">
        <v>1033</v>
      </c>
      <c r="D96" s="14" t="s">
        <v>1033</v>
      </c>
      <c r="E96" s="14" t="s">
        <v>1033</v>
      </c>
      <c r="F96" s="14" t="s">
        <v>1033</v>
      </c>
      <c r="G96" s="14" t="s">
        <v>1033</v>
      </c>
      <c r="H96" s="14" t="s">
        <v>1033</v>
      </c>
      <c r="I96" s="14" t="s">
        <v>1033</v>
      </c>
      <c r="J96" s="14">
        <v>3363</v>
      </c>
      <c r="K96" s="14" t="s">
        <v>1033</v>
      </c>
      <c r="L96" s="14" t="s">
        <v>1033</v>
      </c>
      <c r="M96" s="14" t="s">
        <v>1033</v>
      </c>
      <c r="N96" s="14" t="s">
        <v>1033</v>
      </c>
      <c r="O96" s="14" t="s">
        <v>1033</v>
      </c>
      <c r="P96" s="14" t="s">
        <v>1033</v>
      </c>
      <c r="Q96" s="14" t="s">
        <v>1033</v>
      </c>
      <c r="R96" s="14" t="s">
        <v>1033</v>
      </c>
      <c r="S96" s="14" t="s">
        <v>1033</v>
      </c>
      <c r="T96" s="14" t="s">
        <v>1033</v>
      </c>
      <c r="U96" s="14" t="s">
        <v>1033</v>
      </c>
      <c r="V96" s="14" t="s">
        <v>1033</v>
      </c>
      <c r="W96" s="14" t="s">
        <v>1033</v>
      </c>
      <c r="X96" s="14" t="s">
        <v>1033</v>
      </c>
      <c r="Y96" s="14" t="s">
        <v>1033</v>
      </c>
      <c r="Z96" s="14" t="s">
        <v>1033</v>
      </c>
    </row>
    <row r="97" spans="1:26" x14ac:dyDescent="0.25">
      <c r="A97" s="11" t="s">
        <v>879</v>
      </c>
      <c r="B97" s="11" t="s">
        <v>880</v>
      </c>
      <c r="C97" s="14" t="s">
        <v>1033</v>
      </c>
      <c r="D97" s="14" t="s">
        <v>1033</v>
      </c>
      <c r="E97" s="14" t="s">
        <v>1033</v>
      </c>
      <c r="F97" s="14" t="s">
        <v>1033</v>
      </c>
      <c r="G97" s="14">
        <v>2908</v>
      </c>
      <c r="H97" s="14" t="s">
        <v>1033</v>
      </c>
      <c r="I97" s="14" t="s">
        <v>1033</v>
      </c>
      <c r="J97" s="14" t="s">
        <v>1033</v>
      </c>
      <c r="K97" s="14">
        <v>3074</v>
      </c>
      <c r="L97" s="14" t="s">
        <v>1033</v>
      </c>
      <c r="M97" s="14" t="s">
        <v>1033</v>
      </c>
      <c r="N97" s="14">
        <v>3180</v>
      </c>
      <c r="O97" s="14">
        <v>3189</v>
      </c>
      <c r="P97" s="14">
        <v>3184</v>
      </c>
      <c r="Q97" s="14" t="s">
        <v>1033</v>
      </c>
      <c r="R97" s="14">
        <v>-222</v>
      </c>
      <c r="S97" s="14">
        <v>-539</v>
      </c>
      <c r="T97" s="14">
        <v>-637</v>
      </c>
      <c r="U97" s="14">
        <v>-982</v>
      </c>
      <c r="V97" s="14">
        <v>-921</v>
      </c>
      <c r="W97" s="14">
        <v>-1475</v>
      </c>
      <c r="X97" s="14">
        <v>-1860</v>
      </c>
      <c r="Y97" s="14">
        <v>3123</v>
      </c>
      <c r="Z97" s="14">
        <v>3299</v>
      </c>
    </row>
    <row r="98" spans="1:26" x14ac:dyDescent="0.25">
      <c r="A98" s="11" t="s">
        <v>806</v>
      </c>
      <c r="B98" s="11" t="s">
        <v>881</v>
      </c>
      <c r="C98" s="14" t="s">
        <v>1033</v>
      </c>
      <c r="D98" s="14" t="s">
        <v>1033</v>
      </c>
      <c r="E98" s="14" t="s">
        <v>1033</v>
      </c>
      <c r="F98" s="14" t="s">
        <v>1033</v>
      </c>
      <c r="G98" s="14">
        <v>14936</v>
      </c>
      <c r="H98" s="14" t="s">
        <v>1033</v>
      </c>
      <c r="I98" s="14" t="s">
        <v>1033</v>
      </c>
      <c r="J98" s="14" t="s">
        <v>1033</v>
      </c>
      <c r="K98" s="14">
        <v>14969</v>
      </c>
      <c r="L98" s="14" t="s">
        <v>1033</v>
      </c>
      <c r="M98" s="14" t="s">
        <v>1033</v>
      </c>
      <c r="N98" s="14">
        <v>14968</v>
      </c>
      <c r="O98" s="14">
        <v>14968</v>
      </c>
      <c r="P98" s="14">
        <v>14971</v>
      </c>
      <c r="Q98" s="14" t="s">
        <v>1033</v>
      </c>
      <c r="R98" s="14">
        <v>15002</v>
      </c>
      <c r="S98" s="14">
        <v>14877</v>
      </c>
      <c r="T98" s="14">
        <v>14733</v>
      </c>
      <c r="U98" s="14">
        <v>14711</v>
      </c>
      <c r="V98" s="14">
        <v>14726</v>
      </c>
      <c r="W98" s="14">
        <v>14719</v>
      </c>
      <c r="X98" s="14">
        <v>14681</v>
      </c>
      <c r="Y98" s="14">
        <v>14674</v>
      </c>
      <c r="Z98" s="14">
        <v>14667</v>
      </c>
    </row>
    <row r="99" spans="1:26" x14ac:dyDescent="0.25">
      <c r="A99" s="11" t="s">
        <v>808</v>
      </c>
      <c r="B99" s="11" t="s">
        <v>882</v>
      </c>
      <c r="C99" s="14" t="s">
        <v>1033</v>
      </c>
      <c r="D99" s="14" t="s">
        <v>1033</v>
      </c>
      <c r="E99" s="14" t="s">
        <v>1033</v>
      </c>
      <c r="F99" s="14" t="s">
        <v>1033</v>
      </c>
      <c r="G99" s="14">
        <v>47863</v>
      </c>
      <c r="H99" s="14" t="s">
        <v>1033</v>
      </c>
      <c r="I99" s="14" t="s">
        <v>1033</v>
      </c>
      <c r="J99" s="14" t="s">
        <v>1033</v>
      </c>
      <c r="K99" s="14">
        <v>48200</v>
      </c>
      <c r="L99" s="14" t="s">
        <v>1033</v>
      </c>
      <c r="M99" s="14" t="s">
        <v>1033</v>
      </c>
      <c r="N99" s="14">
        <v>48404</v>
      </c>
      <c r="O99" s="14">
        <v>48709</v>
      </c>
      <c r="P99" s="14">
        <v>49041</v>
      </c>
      <c r="Q99" s="14" t="s">
        <v>1033</v>
      </c>
      <c r="R99" s="14">
        <v>47600</v>
      </c>
      <c r="S99" s="14">
        <v>47975</v>
      </c>
      <c r="T99" s="14">
        <v>48282</v>
      </c>
      <c r="U99" s="14">
        <v>48161</v>
      </c>
      <c r="V99" s="14">
        <v>47978</v>
      </c>
      <c r="W99" s="14">
        <v>48390</v>
      </c>
      <c r="X99" s="14">
        <v>48143</v>
      </c>
      <c r="Y99" s="14">
        <v>42140</v>
      </c>
      <c r="Z99" s="14">
        <v>41869</v>
      </c>
    </row>
    <row r="100" spans="1:26" x14ac:dyDescent="0.25">
      <c r="A100" s="11" t="s">
        <v>810</v>
      </c>
      <c r="B100" s="11" t="s">
        <v>883</v>
      </c>
      <c r="C100" s="14" t="s">
        <v>1033</v>
      </c>
      <c r="D100" s="14" t="s">
        <v>1033</v>
      </c>
      <c r="E100" s="14" t="s">
        <v>1033</v>
      </c>
      <c r="F100" s="14" t="s">
        <v>1033</v>
      </c>
      <c r="G100" s="14">
        <v>148359</v>
      </c>
      <c r="H100" s="14" t="s">
        <v>1033</v>
      </c>
      <c r="I100" s="14" t="s">
        <v>1033</v>
      </c>
      <c r="J100" s="14" t="s">
        <v>1033</v>
      </c>
      <c r="K100" s="14">
        <v>162794</v>
      </c>
      <c r="L100" s="14" t="s">
        <v>1033</v>
      </c>
      <c r="M100" s="14" t="s">
        <v>1033</v>
      </c>
      <c r="N100" s="14">
        <v>144172</v>
      </c>
      <c r="O100" s="14">
        <v>120409</v>
      </c>
      <c r="P100" s="14">
        <v>119497</v>
      </c>
      <c r="Q100" s="14" t="s">
        <v>1033</v>
      </c>
      <c r="R100" s="14">
        <v>154981</v>
      </c>
      <c r="S100" s="14">
        <v>127967</v>
      </c>
      <c r="T100" s="14">
        <v>126924</v>
      </c>
      <c r="U100" s="14">
        <v>114131</v>
      </c>
      <c r="V100" s="14">
        <v>168740</v>
      </c>
      <c r="W100" s="14">
        <v>129081</v>
      </c>
      <c r="X100" s="14">
        <v>127637</v>
      </c>
      <c r="Y100" s="14">
        <v>165336</v>
      </c>
      <c r="Z100" s="14">
        <v>163969</v>
      </c>
    </row>
    <row r="101" spans="1:26" x14ac:dyDescent="0.25">
      <c r="A101" s="11" t="s">
        <v>812</v>
      </c>
      <c r="B101" s="11" t="s">
        <v>884</v>
      </c>
      <c r="C101" s="14" t="s">
        <v>1033</v>
      </c>
      <c r="D101" s="14" t="s">
        <v>1033</v>
      </c>
      <c r="E101" s="14" t="s">
        <v>1033</v>
      </c>
      <c r="F101" s="14" t="s">
        <v>1033</v>
      </c>
      <c r="G101" s="14">
        <v>-2228</v>
      </c>
      <c r="H101" s="14" t="s">
        <v>1033</v>
      </c>
      <c r="I101" s="14" t="s">
        <v>1033</v>
      </c>
      <c r="J101" s="14" t="s">
        <v>1033</v>
      </c>
      <c r="K101" s="14">
        <v>-1934</v>
      </c>
      <c r="L101" s="14" t="s">
        <v>1033</v>
      </c>
      <c r="M101" s="14" t="s">
        <v>1033</v>
      </c>
      <c r="N101" s="14">
        <v>-1844</v>
      </c>
      <c r="O101" s="14">
        <v>-1822</v>
      </c>
      <c r="P101" s="14">
        <v>-6704</v>
      </c>
      <c r="Q101" s="14" t="s">
        <v>1033</v>
      </c>
      <c r="R101" s="14">
        <v>-1928</v>
      </c>
      <c r="S101" s="14">
        <v>-1908</v>
      </c>
      <c r="T101" s="14">
        <v>-1889</v>
      </c>
      <c r="U101" s="14">
        <v>-2804</v>
      </c>
      <c r="V101" s="14">
        <v>-2770</v>
      </c>
      <c r="W101" s="14">
        <v>-2736</v>
      </c>
      <c r="X101" s="14">
        <v>-2701</v>
      </c>
      <c r="Y101" s="14">
        <v>464</v>
      </c>
      <c r="Z101" s="14">
        <v>-3701</v>
      </c>
    </row>
    <row r="102" spans="1:26" x14ac:dyDescent="0.25">
      <c r="A102" s="11" t="s">
        <v>693</v>
      </c>
      <c r="B102" s="11" t="s">
        <v>885</v>
      </c>
      <c r="C102" s="14">
        <v>2883.4566</v>
      </c>
      <c r="D102" s="14" t="s">
        <v>1033</v>
      </c>
      <c r="E102" s="14">
        <v>2883.5</v>
      </c>
      <c r="F102" s="14">
        <v>2883.4566</v>
      </c>
      <c r="G102" s="14">
        <v>2883.5</v>
      </c>
      <c r="H102" s="14">
        <v>2883.4566</v>
      </c>
      <c r="I102" s="14">
        <v>2883.4566</v>
      </c>
      <c r="J102" s="14">
        <v>2857.4385000000002</v>
      </c>
      <c r="K102" s="14">
        <v>2883.5</v>
      </c>
      <c r="L102" s="14">
        <v>2883.4566</v>
      </c>
      <c r="M102" s="14">
        <v>2883.4566</v>
      </c>
      <c r="N102" s="14">
        <v>2883.4566</v>
      </c>
      <c r="O102" s="14">
        <v>2883.4566</v>
      </c>
      <c r="P102" s="14">
        <v>2883.4566</v>
      </c>
      <c r="Q102" s="14">
        <v>2883.4566</v>
      </c>
      <c r="R102" s="14">
        <v>2883.4566</v>
      </c>
      <c r="S102" s="14">
        <v>2883.4566</v>
      </c>
      <c r="T102" s="14">
        <v>2813.1565999999998</v>
      </c>
      <c r="U102" s="14">
        <v>2812.1565999999998</v>
      </c>
      <c r="V102" s="14">
        <v>2813.1565999999998</v>
      </c>
      <c r="W102" s="14">
        <v>2813.1565999999998</v>
      </c>
      <c r="X102" s="14">
        <v>2778.6235000000001</v>
      </c>
      <c r="Y102" s="14">
        <v>2776.5792999999999</v>
      </c>
      <c r="Z102" s="14">
        <v>2813.1565999999998</v>
      </c>
    </row>
    <row r="103" spans="1:26" x14ac:dyDescent="0.25">
      <c r="A103" s="11" t="s">
        <v>886</v>
      </c>
      <c r="B103" s="11" t="s">
        <v>887</v>
      </c>
      <c r="C103" s="15" t="s">
        <v>1033</v>
      </c>
      <c r="D103" s="15" t="s">
        <v>1033</v>
      </c>
      <c r="E103" s="15" t="s">
        <v>1033</v>
      </c>
      <c r="F103" s="15" t="s">
        <v>1033</v>
      </c>
      <c r="G103" s="15" t="s">
        <v>1033</v>
      </c>
      <c r="H103" s="15" t="s">
        <v>1033</v>
      </c>
      <c r="I103" s="15" t="s">
        <v>1033</v>
      </c>
      <c r="J103" s="15">
        <v>3.5</v>
      </c>
      <c r="K103" s="15" t="s">
        <v>1033</v>
      </c>
      <c r="L103" s="15" t="s">
        <v>1033</v>
      </c>
      <c r="M103" s="15" t="s">
        <v>1033</v>
      </c>
      <c r="N103" s="15" t="s">
        <v>1033</v>
      </c>
      <c r="O103" s="15" t="s">
        <v>1033</v>
      </c>
      <c r="P103" s="15" t="s">
        <v>1033</v>
      </c>
      <c r="Q103" s="15" t="s">
        <v>1033</v>
      </c>
      <c r="R103" s="15" t="s">
        <v>1033</v>
      </c>
      <c r="S103" s="15" t="s">
        <v>1033</v>
      </c>
      <c r="T103" s="15" t="s">
        <v>1033</v>
      </c>
      <c r="U103" s="15" t="s">
        <v>1033</v>
      </c>
      <c r="V103" s="15" t="s">
        <v>1033</v>
      </c>
      <c r="W103" s="15" t="s">
        <v>1033</v>
      </c>
      <c r="X103" s="15" t="s">
        <v>1033</v>
      </c>
      <c r="Y103" s="15">
        <v>3.5</v>
      </c>
      <c r="Z103" s="15" t="s">
        <v>1033</v>
      </c>
    </row>
    <row r="104" spans="1:26" x14ac:dyDescent="0.25">
      <c r="A104" s="11" t="s">
        <v>888</v>
      </c>
      <c r="B104" s="11" t="s">
        <v>889</v>
      </c>
      <c r="C104" s="14" t="s">
        <v>1033</v>
      </c>
      <c r="D104" s="14" t="s">
        <v>1033</v>
      </c>
      <c r="E104" s="14" t="s">
        <v>1033</v>
      </c>
      <c r="F104" s="14" t="s">
        <v>1033</v>
      </c>
      <c r="G104" s="14" t="s">
        <v>1033</v>
      </c>
      <c r="H104" s="14" t="s">
        <v>1033</v>
      </c>
      <c r="I104" s="14">
        <v>0</v>
      </c>
      <c r="J104" s="14" t="s">
        <v>1033</v>
      </c>
      <c r="K104" s="14" t="s">
        <v>1033</v>
      </c>
      <c r="L104" s="14">
        <v>0</v>
      </c>
      <c r="M104" s="14">
        <v>0</v>
      </c>
      <c r="N104" s="14" t="s">
        <v>1033</v>
      </c>
      <c r="O104" s="14" t="s">
        <v>1033</v>
      </c>
      <c r="P104" s="14" t="s">
        <v>1033</v>
      </c>
      <c r="Q104" s="14">
        <v>0</v>
      </c>
      <c r="R104" s="14" t="s">
        <v>1033</v>
      </c>
      <c r="S104" s="14" t="s">
        <v>1033</v>
      </c>
      <c r="T104" s="14">
        <v>70.3</v>
      </c>
      <c r="U104" s="14">
        <v>1</v>
      </c>
      <c r="V104" s="14" t="s">
        <v>1033</v>
      </c>
      <c r="W104" s="14" t="s">
        <v>1033</v>
      </c>
      <c r="X104" s="14">
        <v>34.533099999999997</v>
      </c>
      <c r="Y104" s="14" t="s">
        <v>1033</v>
      </c>
      <c r="Z104" s="14" t="s">
        <v>1033</v>
      </c>
    </row>
    <row r="105" spans="1:26" x14ac:dyDescent="0.25">
      <c r="A105" s="11" t="s">
        <v>740</v>
      </c>
      <c r="B105" s="11" t="s">
        <v>890</v>
      </c>
      <c r="C105" s="14">
        <v>166286</v>
      </c>
      <c r="D105" s="14" t="s">
        <v>1033</v>
      </c>
      <c r="E105" s="14">
        <v>175296</v>
      </c>
      <c r="F105" s="14">
        <v>179587.3492</v>
      </c>
      <c r="G105" s="14">
        <v>193292</v>
      </c>
      <c r="H105" s="14">
        <v>198091.10339999999</v>
      </c>
      <c r="I105" s="14">
        <v>199871.97169999999</v>
      </c>
      <c r="J105" s="14">
        <v>202536</v>
      </c>
      <c r="K105" s="14">
        <v>204405</v>
      </c>
      <c r="L105" s="14">
        <v>209378.86069999999</v>
      </c>
      <c r="M105" s="14">
        <v>219943.00200000001</v>
      </c>
      <c r="N105" s="14">
        <v>235888</v>
      </c>
      <c r="O105" s="14">
        <v>243498</v>
      </c>
      <c r="P105" s="14">
        <v>250953</v>
      </c>
      <c r="Q105" s="14">
        <v>255315.03320000001</v>
      </c>
      <c r="R105" s="14">
        <v>257922</v>
      </c>
      <c r="S105" s="14">
        <v>263611</v>
      </c>
      <c r="T105" s="14">
        <v>268808</v>
      </c>
      <c r="U105" s="14">
        <v>274789</v>
      </c>
      <c r="V105" s="14">
        <v>278692</v>
      </c>
      <c r="W105" s="14">
        <v>284846</v>
      </c>
      <c r="X105" s="14">
        <v>290407</v>
      </c>
      <c r="Y105" s="14">
        <v>295418</v>
      </c>
      <c r="Z105" s="14">
        <v>297910</v>
      </c>
    </row>
    <row r="106" spans="1:26" x14ac:dyDescent="0.25">
      <c r="A106" s="11" t="s">
        <v>891</v>
      </c>
      <c r="B106" s="11" t="s">
        <v>892</v>
      </c>
      <c r="C106" s="14" t="s">
        <v>1033</v>
      </c>
      <c r="D106" s="14" t="s">
        <v>1033</v>
      </c>
      <c r="E106" s="14" t="s">
        <v>1033</v>
      </c>
      <c r="F106" s="14" t="s">
        <v>1033</v>
      </c>
      <c r="G106" s="14" t="s">
        <v>1033</v>
      </c>
      <c r="H106" s="14" t="s">
        <v>1033</v>
      </c>
      <c r="I106" s="14" t="s">
        <v>1033</v>
      </c>
      <c r="J106" s="14">
        <v>1899</v>
      </c>
      <c r="K106" s="14" t="s">
        <v>1033</v>
      </c>
      <c r="L106" s="14" t="s">
        <v>1033</v>
      </c>
      <c r="M106" s="14" t="s">
        <v>1033</v>
      </c>
      <c r="N106" s="14" t="s">
        <v>1033</v>
      </c>
      <c r="O106" s="14" t="s">
        <v>1033</v>
      </c>
      <c r="P106" s="14" t="s">
        <v>1033</v>
      </c>
      <c r="Q106" s="14" t="s">
        <v>1033</v>
      </c>
      <c r="R106" s="14" t="s">
        <v>1033</v>
      </c>
      <c r="S106" s="14" t="s">
        <v>1033</v>
      </c>
      <c r="T106" s="14" t="s">
        <v>1033</v>
      </c>
      <c r="U106" s="14" t="s">
        <v>1033</v>
      </c>
      <c r="V106" s="14" t="s">
        <v>1033</v>
      </c>
      <c r="W106" s="14" t="s">
        <v>1033</v>
      </c>
      <c r="X106" s="14" t="s">
        <v>1033</v>
      </c>
      <c r="Y106" s="14" t="s">
        <v>1033</v>
      </c>
      <c r="Z106" s="14" t="s">
        <v>1033</v>
      </c>
    </row>
    <row r="107" spans="1:26" x14ac:dyDescent="0.25">
      <c r="A107" s="11" t="s">
        <v>893</v>
      </c>
      <c r="B107" s="11" t="s">
        <v>894</v>
      </c>
      <c r="C107" s="14" t="s">
        <v>1033</v>
      </c>
      <c r="D107" s="14" t="s">
        <v>1033</v>
      </c>
      <c r="E107" s="14" t="s">
        <v>1033</v>
      </c>
      <c r="F107" s="14" t="s">
        <v>1033</v>
      </c>
      <c r="G107" s="14" t="s">
        <v>1033</v>
      </c>
      <c r="H107" s="14" t="s">
        <v>1033</v>
      </c>
      <c r="I107" s="14" t="s">
        <v>1033</v>
      </c>
      <c r="J107" s="14">
        <v>1966</v>
      </c>
      <c r="K107" s="14" t="s">
        <v>1033</v>
      </c>
      <c r="L107" s="14" t="s">
        <v>1033</v>
      </c>
      <c r="M107" s="14" t="s">
        <v>1033</v>
      </c>
      <c r="N107" s="14" t="s">
        <v>1033</v>
      </c>
      <c r="O107" s="14" t="s">
        <v>1033</v>
      </c>
      <c r="P107" s="14" t="s">
        <v>1033</v>
      </c>
      <c r="Q107" s="14" t="s">
        <v>1033</v>
      </c>
      <c r="R107" s="14" t="s">
        <v>1033</v>
      </c>
      <c r="S107" s="14" t="s">
        <v>1033</v>
      </c>
      <c r="T107" s="14" t="s">
        <v>1033</v>
      </c>
      <c r="U107" s="14" t="s">
        <v>1033</v>
      </c>
      <c r="V107" s="14" t="s">
        <v>1033</v>
      </c>
      <c r="W107" s="14" t="s">
        <v>1033</v>
      </c>
      <c r="X107" s="14" t="s">
        <v>1033</v>
      </c>
      <c r="Y107" s="14" t="s">
        <v>1033</v>
      </c>
      <c r="Z107" s="14" t="s">
        <v>1033</v>
      </c>
    </row>
    <row r="108" spans="1:26" x14ac:dyDescent="0.25">
      <c r="A108" s="11" t="s">
        <v>895</v>
      </c>
      <c r="B108" s="11" t="s">
        <v>896</v>
      </c>
      <c r="C108" s="14" t="s">
        <v>1033</v>
      </c>
      <c r="D108" s="14" t="s">
        <v>1033</v>
      </c>
      <c r="E108" s="14" t="s">
        <v>1033</v>
      </c>
      <c r="F108" s="14" t="s">
        <v>1033</v>
      </c>
      <c r="G108" s="14" t="s">
        <v>1033</v>
      </c>
      <c r="H108" s="14" t="s">
        <v>1033</v>
      </c>
      <c r="I108" s="14" t="s">
        <v>1033</v>
      </c>
      <c r="J108" s="14">
        <v>2034</v>
      </c>
      <c r="K108" s="14" t="s">
        <v>1033</v>
      </c>
      <c r="L108" s="14" t="s">
        <v>1033</v>
      </c>
      <c r="M108" s="14" t="s">
        <v>1033</v>
      </c>
      <c r="N108" s="14" t="s">
        <v>1033</v>
      </c>
      <c r="O108" s="14" t="s">
        <v>1033</v>
      </c>
      <c r="P108" s="14" t="s">
        <v>1033</v>
      </c>
      <c r="Q108" s="14" t="s">
        <v>1033</v>
      </c>
      <c r="R108" s="14" t="s">
        <v>1033</v>
      </c>
      <c r="S108" s="14" t="s">
        <v>1033</v>
      </c>
      <c r="T108" s="14" t="s">
        <v>1033</v>
      </c>
      <c r="U108" s="14" t="s">
        <v>1033</v>
      </c>
      <c r="V108" s="14" t="s">
        <v>1033</v>
      </c>
      <c r="W108" s="14" t="s">
        <v>1033</v>
      </c>
      <c r="X108" s="14" t="s">
        <v>1033</v>
      </c>
      <c r="Y108" s="14" t="s">
        <v>1033</v>
      </c>
      <c r="Z108" s="14" t="s">
        <v>1033</v>
      </c>
    </row>
    <row r="109" spans="1:26" x14ac:dyDescent="0.25">
      <c r="A109" s="11" t="s">
        <v>897</v>
      </c>
      <c r="B109" s="11" t="s">
        <v>898</v>
      </c>
      <c r="C109" s="14" t="s">
        <v>1033</v>
      </c>
      <c r="D109" s="14" t="s">
        <v>1033</v>
      </c>
      <c r="E109" s="14" t="s">
        <v>1033</v>
      </c>
      <c r="F109" s="14" t="s">
        <v>1033</v>
      </c>
      <c r="G109" s="14" t="s">
        <v>1033</v>
      </c>
      <c r="H109" s="14" t="s">
        <v>1033</v>
      </c>
      <c r="I109" s="14" t="s">
        <v>1033</v>
      </c>
      <c r="J109" s="14">
        <v>27673</v>
      </c>
      <c r="K109" s="14" t="s">
        <v>1033</v>
      </c>
      <c r="L109" s="14" t="s">
        <v>1033</v>
      </c>
      <c r="M109" s="14" t="s">
        <v>1033</v>
      </c>
      <c r="N109" s="14" t="s">
        <v>1033</v>
      </c>
      <c r="O109" s="14" t="s">
        <v>1033</v>
      </c>
      <c r="P109" s="14" t="s">
        <v>1033</v>
      </c>
      <c r="Q109" s="14" t="s">
        <v>1033</v>
      </c>
      <c r="R109" s="14" t="s">
        <v>1033</v>
      </c>
      <c r="S109" s="14" t="s">
        <v>1033</v>
      </c>
      <c r="T109" s="14" t="s">
        <v>1033</v>
      </c>
      <c r="U109" s="14" t="s">
        <v>1033</v>
      </c>
      <c r="V109" s="14" t="s">
        <v>1033</v>
      </c>
      <c r="W109" s="14" t="s">
        <v>1033</v>
      </c>
      <c r="X109" s="14" t="s">
        <v>1033</v>
      </c>
      <c r="Y109" s="14" t="s">
        <v>1033</v>
      </c>
      <c r="Z109" s="14" t="s">
        <v>1033</v>
      </c>
    </row>
    <row r="110" spans="1:26" x14ac:dyDescent="0.25">
      <c r="A110" s="11" t="s">
        <v>816</v>
      </c>
      <c r="B110" s="11" t="s">
        <v>899</v>
      </c>
      <c r="C110" s="14" t="s">
        <v>1033</v>
      </c>
      <c r="D110" s="14" t="s">
        <v>1033</v>
      </c>
      <c r="E110" s="14" t="s">
        <v>1033</v>
      </c>
      <c r="F110" s="14" t="s">
        <v>1033</v>
      </c>
      <c r="G110" s="14">
        <v>230142</v>
      </c>
      <c r="H110" s="14" t="s">
        <v>1033</v>
      </c>
      <c r="I110" s="14" t="s">
        <v>1033</v>
      </c>
      <c r="J110" s="14" t="s">
        <v>1033</v>
      </c>
      <c r="K110" s="14">
        <v>244091</v>
      </c>
      <c r="L110" s="14" t="s">
        <v>1033</v>
      </c>
      <c r="M110" s="14" t="s">
        <v>1033</v>
      </c>
      <c r="N110" s="14">
        <v>252570</v>
      </c>
      <c r="O110" s="14">
        <v>242614</v>
      </c>
      <c r="P110" s="14">
        <v>253268</v>
      </c>
      <c r="Q110" s="14" t="s">
        <v>1033</v>
      </c>
      <c r="R110" s="14">
        <v>261628</v>
      </c>
      <c r="S110" s="14">
        <v>242286</v>
      </c>
      <c r="T110" s="14">
        <v>253186</v>
      </c>
      <c r="U110" s="14">
        <v>248428</v>
      </c>
      <c r="V110" s="14">
        <v>266135</v>
      </c>
      <c r="W110" s="14">
        <v>251407</v>
      </c>
      <c r="X110" s="14">
        <v>260944</v>
      </c>
      <c r="Y110" s="14">
        <v>252213</v>
      </c>
      <c r="Z110" s="14">
        <v>264431</v>
      </c>
    </row>
    <row r="111" spans="1:26" x14ac:dyDescent="0.25">
      <c r="A111" s="11" t="s">
        <v>900</v>
      </c>
      <c r="B111" s="11" t="s">
        <v>901</v>
      </c>
      <c r="C111" s="14">
        <v>157946</v>
      </c>
      <c r="D111" s="14" t="s">
        <v>1033</v>
      </c>
      <c r="E111" s="14">
        <v>156752</v>
      </c>
      <c r="F111" s="14">
        <v>175455</v>
      </c>
      <c r="G111" s="14">
        <v>191134</v>
      </c>
      <c r="H111" s="14">
        <v>187724</v>
      </c>
      <c r="I111" s="14">
        <v>185291</v>
      </c>
      <c r="J111" s="14">
        <v>212295</v>
      </c>
      <c r="K111" s="14">
        <v>214300</v>
      </c>
      <c r="L111" s="14">
        <v>190114</v>
      </c>
      <c r="M111" s="14">
        <v>189050</v>
      </c>
      <c r="N111" s="14">
        <v>200528</v>
      </c>
      <c r="O111" s="14">
        <v>198494</v>
      </c>
      <c r="P111" s="14">
        <v>200547</v>
      </c>
      <c r="Q111" s="14">
        <v>195819</v>
      </c>
      <c r="R111" s="14">
        <v>204653</v>
      </c>
      <c r="S111" s="14">
        <v>199826</v>
      </c>
      <c r="T111" s="14">
        <v>191750</v>
      </c>
      <c r="U111" s="14">
        <v>223322</v>
      </c>
      <c r="V111" s="14">
        <v>232300</v>
      </c>
      <c r="W111" s="14">
        <v>221092</v>
      </c>
      <c r="X111" s="14">
        <v>229961</v>
      </c>
      <c r="Y111" s="14">
        <v>209991</v>
      </c>
      <c r="Z111" s="14">
        <v>220227</v>
      </c>
    </row>
    <row r="112" spans="1:26" x14ac:dyDescent="0.25">
      <c r="A112" s="11" t="s">
        <v>746</v>
      </c>
      <c r="B112" s="11" t="s">
        <v>902</v>
      </c>
      <c r="C112" s="14">
        <v>285822</v>
      </c>
      <c r="D112" s="14" t="s">
        <v>1033</v>
      </c>
      <c r="E112" s="14">
        <v>325486</v>
      </c>
      <c r="F112" s="14">
        <v>329139.40870000003</v>
      </c>
      <c r="G112" s="14">
        <v>328178</v>
      </c>
      <c r="H112" s="14">
        <v>316575.03389999998</v>
      </c>
      <c r="I112" s="14">
        <v>326412.63520000002</v>
      </c>
      <c r="J112" s="14">
        <v>333265</v>
      </c>
      <c r="K112" s="14">
        <v>330501</v>
      </c>
      <c r="L112" s="14">
        <v>338130.95939999999</v>
      </c>
      <c r="M112" s="14">
        <v>338113.95360000001</v>
      </c>
      <c r="N112" s="14">
        <v>365725</v>
      </c>
      <c r="O112" s="14">
        <v>377552</v>
      </c>
      <c r="P112" s="14">
        <v>400321</v>
      </c>
      <c r="Q112" s="14">
        <v>406094.23869999999</v>
      </c>
      <c r="R112" s="14">
        <v>414530</v>
      </c>
      <c r="S112" s="14">
        <v>441209</v>
      </c>
      <c r="T112" s="14">
        <v>453431</v>
      </c>
      <c r="U112" s="14">
        <v>484013</v>
      </c>
      <c r="V112" s="14">
        <v>488996</v>
      </c>
      <c r="W112" s="14">
        <v>487369</v>
      </c>
      <c r="X112" s="14">
        <v>491128</v>
      </c>
      <c r="Y112" s="14">
        <v>512713</v>
      </c>
      <c r="Z112" s="14">
        <v>508905</v>
      </c>
    </row>
    <row r="113" spans="1:26" x14ac:dyDescent="0.25">
      <c r="A113" s="11" t="s">
        <v>903</v>
      </c>
      <c r="B113" s="11" t="s">
        <v>904</v>
      </c>
      <c r="C113" s="14">
        <v>39028</v>
      </c>
      <c r="D113" s="14" t="s">
        <v>1033</v>
      </c>
      <c r="E113" s="14" t="s">
        <v>1033</v>
      </c>
      <c r="F113" s="14">
        <v>37443</v>
      </c>
      <c r="G113" s="14" t="s">
        <v>1033</v>
      </c>
      <c r="H113" s="14">
        <v>36334</v>
      </c>
      <c r="I113" s="14">
        <v>37065</v>
      </c>
      <c r="J113" s="14">
        <v>40451</v>
      </c>
      <c r="K113" s="14" t="s">
        <v>1033</v>
      </c>
      <c r="L113" s="14">
        <v>41970</v>
      </c>
      <c r="M113" s="14">
        <v>44131</v>
      </c>
      <c r="N113" s="14" t="s">
        <v>1033</v>
      </c>
      <c r="O113" s="14">
        <v>50318</v>
      </c>
      <c r="P113" s="14">
        <v>52883</v>
      </c>
      <c r="Q113" s="14" t="s">
        <v>1033</v>
      </c>
      <c r="R113" s="14" t="s">
        <v>1033</v>
      </c>
      <c r="S113" s="14" t="s">
        <v>1033</v>
      </c>
      <c r="T113" s="14">
        <v>0</v>
      </c>
      <c r="U113" s="14" t="s">
        <v>1033</v>
      </c>
      <c r="V113" s="14" t="s">
        <v>1033</v>
      </c>
      <c r="W113" s="14" t="s">
        <v>1033</v>
      </c>
      <c r="X113" s="14">
        <v>0</v>
      </c>
      <c r="Y113" s="14">
        <v>0</v>
      </c>
      <c r="Z113" s="14" t="s">
        <v>1033</v>
      </c>
    </row>
    <row r="114" spans="1:26" x14ac:dyDescent="0.25">
      <c r="A114" s="11" t="s">
        <v>750</v>
      </c>
      <c r="B114" s="11" t="s">
        <v>905</v>
      </c>
      <c r="C114" s="14">
        <v>52096</v>
      </c>
      <c r="D114" s="14" t="s">
        <v>1033</v>
      </c>
      <c r="E114" s="14">
        <v>121589</v>
      </c>
      <c r="F114" s="14">
        <v>82387.351599999995</v>
      </c>
      <c r="G114" s="14">
        <v>120786</v>
      </c>
      <c r="H114" s="14">
        <v>85539.128500000006</v>
      </c>
      <c r="I114" s="14">
        <v>85636.376600000003</v>
      </c>
      <c r="J114" s="14">
        <v>53744</v>
      </c>
      <c r="K114" s="14">
        <v>127465</v>
      </c>
      <c r="L114" s="14">
        <v>92356.860700000005</v>
      </c>
      <c r="M114" s="14">
        <v>97072.2255</v>
      </c>
      <c r="N114" s="14">
        <v>154305</v>
      </c>
      <c r="O114" s="14">
        <v>114394</v>
      </c>
      <c r="P114" s="14">
        <v>118890</v>
      </c>
      <c r="Q114" s="14">
        <v>180083.52650000001</v>
      </c>
      <c r="R114" s="14">
        <v>182995</v>
      </c>
      <c r="S114" s="14">
        <v>191669</v>
      </c>
      <c r="T114" s="14">
        <v>201258</v>
      </c>
      <c r="U114" s="14">
        <v>208742</v>
      </c>
      <c r="V114" s="14">
        <v>215687</v>
      </c>
      <c r="W114" s="14">
        <v>224940</v>
      </c>
      <c r="X114" s="14">
        <v>235553</v>
      </c>
      <c r="Y114" s="14">
        <v>245001</v>
      </c>
      <c r="Z114" s="14">
        <v>250321</v>
      </c>
    </row>
    <row r="115" spans="1:26" x14ac:dyDescent="0.25">
      <c r="A115" s="11" t="s">
        <v>906</v>
      </c>
      <c r="B115" s="11" t="s">
        <v>907</v>
      </c>
      <c r="C115" s="14" t="s">
        <v>1033</v>
      </c>
      <c r="D115" s="14" t="s">
        <v>1033</v>
      </c>
      <c r="E115" s="14" t="s">
        <v>1033</v>
      </c>
      <c r="F115" s="14" t="s">
        <v>1033</v>
      </c>
      <c r="G115" s="14" t="s">
        <v>1033</v>
      </c>
      <c r="H115" s="14" t="s">
        <v>1033</v>
      </c>
      <c r="I115" s="14" t="s">
        <v>1033</v>
      </c>
      <c r="J115" s="14" t="s">
        <v>1033</v>
      </c>
      <c r="K115" s="14">
        <v>-7329</v>
      </c>
      <c r="L115" s="14" t="s">
        <v>1033</v>
      </c>
      <c r="M115" s="14" t="s">
        <v>1033</v>
      </c>
      <c r="N115" s="14">
        <v>-7110</v>
      </c>
      <c r="O115" s="14">
        <v>-7281</v>
      </c>
      <c r="P115" s="14" t="s">
        <v>1033</v>
      </c>
      <c r="Q115" s="14" t="s">
        <v>1033</v>
      </c>
      <c r="R115" s="14" t="s">
        <v>1033</v>
      </c>
      <c r="S115" s="14" t="s">
        <v>1033</v>
      </c>
      <c r="T115" s="14" t="s">
        <v>1033</v>
      </c>
      <c r="U115" s="14" t="s">
        <v>1033</v>
      </c>
      <c r="V115" s="14" t="s">
        <v>1033</v>
      </c>
      <c r="W115" s="14" t="s">
        <v>1033</v>
      </c>
      <c r="X115" s="14" t="s">
        <v>1033</v>
      </c>
      <c r="Y115" s="14" t="s">
        <v>1033</v>
      </c>
      <c r="Z115" s="14" t="s">
        <v>1033</v>
      </c>
    </row>
    <row r="116" spans="1:26" x14ac:dyDescent="0.25">
      <c r="A116" s="11" t="s">
        <v>133</v>
      </c>
      <c r="B116" s="11" t="s">
        <v>908</v>
      </c>
      <c r="C116" s="14">
        <v>2815927</v>
      </c>
      <c r="D116" s="14" t="s">
        <v>1033</v>
      </c>
      <c r="E116" s="14">
        <v>2708692</v>
      </c>
      <c r="F116" s="14">
        <v>2878778</v>
      </c>
      <c r="G116" s="14">
        <v>3074928</v>
      </c>
      <c r="H116" s="14">
        <v>3101420</v>
      </c>
      <c r="I116" s="14">
        <v>3157683</v>
      </c>
      <c r="J116" s="14">
        <v>3144794</v>
      </c>
      <c r="K116" s="14">
        <v>3208835</v>
      </c>
      <c r="L116" s="14">
        <v>3128108</v>
      </c>
      <c r="M116" s="14">
        <v>3161180</v>
      </c>
      <c r="N116" s="14">
        <v>3355852</v>
      </c>
      <c r="O116" s="14">
        <v>3764002</v>
      </c>
      <c r="P116" s="14">
        <v>3853637</v>
      </c>
      <c r="Q116" s="14">
        <v>3957801</v>
      </c>
      <c r="R116" s="14">
        <v>4142599</v>
      </c>
      <c r="S116" s="14">
        <v>4291332</v>
      </c>
      <c r="T116" s="14">
        <v>4437289</v>
      </c>
      <c r="U116" s="14">
        <v>4495930</v>
      </c>
      <c r="V116" s="14">
        <v>4718961</v>
      </c>
      <c r="W116" s="14">
        <v>4893737</v>
      </c>
      <c r="X116" s="14">
        <v>5068957</v>
      </c>
      <c r="Y116" s="14">
        <v>5196669</v>
      </c>
      <c r="Z116" s="14">
        <v>5385820</v>
      </c>
    </row>
    <row r="117" spans="1:26" x14ac:dyDescent="0.25">
      <c r="A117" s="11" t="s">
        <v>909</v>
      </c>
      <c r="B117" s="11" t="s">
        <v>910</v>
      </c>
      <c r="C117" s="15" t="s">
        <v>1033</v>
      </c>
      <c r="D117" s="15" t="s">
        <v>1033</v>
      </c>
      <c r="E117" s="15" t="s">
        <v>1033</v>
      </c>
      <c r="F117" s="15" t="s">
        <v>1033</v>
      </c>
      <c r="G117" s="15" t="s">
        <v>1033</v>
      </c>
      <c r="H117" s="15" t="s">
        <v>1033</v>
      </c>
      <c r="I117" s="15" t="s">
        <v>1033</v>
      </c>
      <c r="J117" s="15">
        <v>1151</v>
      </c>
      <c r="K117" s="15" t="s">
        <v>1033</v>
      </c>
      <c r="L117" s="15" t="s">
        <v>1033</v>
      </c>
      <c r="M117" s="15" t="s">
        <v>1033</v>
      </c>
      <c r="N117" s="15" t="s">
        <v>1033</v>
      </c>
      <c r="O117" s="15" t="s">
        <v>1033</v>
      </c>
      <c r="P117" s="15" t="s">
        <v>1033</v>
      </c>
      <c r="Q117" s="15" t="s">
        <v>1033</v>
      </c>
      <c r="R117" s="15" t="s">
        <v>1033</v>
      </c>
      <c r="S117" s="15" t="s">
        <v>1033</v>
      </c>
      <c r="T117" s="15" t="s">
        <v>1033</v>
      </c>
      <c r="U117" s="15" t="s">
        <v>1033</v>
      </c>
      <c r="V117" s="15" t="s">
        <v>1033</v>
      </c>
      <c r="W117" s="15" t="s">
        <v>1033</v>
      </c>
      <c r="X117" s="15" t="s">
        <v>1033</v>
      </c>
      <c r="Y117" s="15" t="s">
        <v>1033</v>
      </c>
      <c r="Z117" s="15" t="s">
        <v>1033</v>
      </c>
    </row>
    <row r="118" spans="1:26" x14ac:dyDescent="0.25">
      <c r="A118" s="11" t="s">
        <v>752</v>
      </c>
      <c r="B118" s="11" t="s">
        <v>911</v>
      </c>
      <c r="C118" s="14">
        <v>172178.86790000001</v>
      </c>
      <c r="D118" s="14" t="s">
        <v>1033</v>
      </c>
      <c r="E118" s="14">
        <v>161592</v>
      </c>
      <c r="F118" s="14">
        <v>162832.08739999999</v>
      </c>
      <c r="G118" s="14">
        <v>153091</v>
      </c>
      <c r="H118" s="14">
        <v>160332.98050000001</v>
      </c>
      <c r="I118" s="14">
        <v>166029.41959999999</v>
      </c>
      <c r="J118" s="14">
        <v>160407</v>
      </c>
      <c r="K118" s="14">
        <v>164076</v>
      </c>
      <c r="L118" s="14">
        <v>173381.29269999999</v>
      </c>
      <c r="M118" s="14">
        <v>170884.6643</v>
      </c>
      <c r="N118" s="14">
        <v>185012</v>
      </c>
      <c r="O118" s="14">
        <v>168944</v>
      </c>
      <c r="P118" s="14">
        <v>179174</v>
      </c>
      <c r="Q118" s="14">
        <v>179234.2556</v>
      </c>
      <c r="R118" s="14">
        <v>176426</v>
      </c>
      <c r="S118" s="14">
        <v>185872</v>
      </c>
      <c r="T118" s="14">
        <v>179496</v>
      </c>
      <c r="U118" s="14">
        <v>187743</v>
      </c>
      <c r="V118" s="14">
        <v>182044</v>
      </c>
      <c r="W118" s="14">
        <v>157126</v>
      </c>
      <c r="X118" s="14">
        <v>159603</v>
      </c>
      <c r="Y118" s="14">
        <v>189040</v>
      </c>
      <c r="Z118" s="14">
        <v>173129</v>
      </c>
    </row>
    <row r="119" spans="1:26" x14ac:dyDescent="0.25">
      <c r="A119" s="11" t="s">
        <v>754</v>
      </c>
      <c r="B119" s="11" t="s">
        <v>912</v>
      </c>
      <c r="C119" s="14">
        <v>18171</v>
      </c>
      <c r="D119" s="14" t="s">
        <v>1033</v>
      </c>
      <c r="E119" s="14" t="s">
        <v>1033</v>
      </c>
      <c r="F119" s="14">
        <v>18554.522499999999</v>
      </c>
      <c r="G119" s="14">
        <v>19670</v>
      </c>
      <c r="H119" s="14">
        <v>18174.5579</v>
      </c>
      <c r="I119" s="14">
        <v>17297.249500000002</v>
      </c>
      <c r="J119" s="14">
        <v>16251</v>
      </c>
      <c r="K119" s="14">
        <v>16905</v>
      </c>
      <c r="L119" s="14">
        <v>17012.508399999999</v>
      </c>
      <c r="M119" s="14">
        <v>17246.612400000002</v>
      </c>
      <c r="N119" s="14">
        <v>18041</v>
      </c>
      <c r="O119" s="14">
        <v>18528</v>
      </c>
      <c r="P119" s="14">
        <v>19431</v>
      </c>
      <c r="Q119" s="14">
        <v>19857.0108</v>
      </c>
      <c r="R119" s="14">
        <v>19514</v>
      </c>
      <c r="S119" s="14">
        <v>20358</v>
      </c>
      <c r="T119" s="14">
        <v>20298</v>
      </c>
      <c r="U119" s="14">
        <v>20510</v>
      </c>
      <c r="V119" s="14">
        <v>20858</v>
      </c>
      <c r="W119" s="14">
        <v>21375</v>
      </c>
      <c r="X119" s="14">
        <v>24225</v>
      </c>
      <c r="Y119" s="14">
        <v>24097</v>
      </c>
      <c r="Z119" s="14">
        <v>25523</v>
      </c>
    </row>
    <row r="120" spans="1:26" x14ac:dyDescent="0.25">
      <c r="A120" s="11" t="s">
        <v>913</v>
      </c>
      <c r="B120" s="11" t="s">
        <v>914</v>
      </c>
      <c r="C120" s="14" t="s">
        <v>1033</v>
      </c>
      <c r="D120" s="14" t="s">
        <v>1033</v>
      </c>
      <c r="E120" s="14" t="s">
        <v>1033</v>
      </c>
      <c r="F120" s="14">
        <v>1928.2562</v>
      </c>
      <c r="G120" s="14" t="s">
        <v>1033</v>
      </c>
      <c r="H120" s="14">
        <v>2927.9090000000001</v>
      </c>
      <c r="I120" s="14">
        <v>2957.3321999999998</v>
      </c>
      <c r="J120" s="14" t="s">
        <v>1033</v>
      </c>
      <c r="K120" s="14" t="s">
        <v>1033</v>
      </c>
      <c r="L120" s="14">
        <v>53054.429199999999</v>
      </c>
      <c r="M120" s="14">
        <v>54793.597900000001</v>
      </c>
      <c r="N120" s="14" t="s">
        <v>1033</v>
      </c>
      <c r="O120" s="14" t="s">
        <v>1033</v>
      </c>
      <c r="P120" s="14" t="s">
        <v>1033</v>
      </c>
      <c r="Q120" s="14">
        <v>41605.5645</v>
      </c>
      <c r="R120" s="14" t="s">
        <v>1033</v>
      </c>
      <c r="S120" s="14" t="s">
        <v>1033</v>
      </c>
      <c r="T120" s="14" t="s">
        <v>1033</v>
      </c>
      <c r="U120" s="14" t="s">
        <v>1033</v>
      </c>
      <c r="V120" s="14" t="s">
        <v>1033</v>
      </c>
      <c r="W120" s="14" t="s">
        <v>1033</v>
      </c>
      <c r="X120" s="14" t="s">
        <v>1033</v>
      </c>
      <c r="Y120" s="14" t="s">
        <v>1033</v>
      </c>
      <c r="Z120" s="14" t="s">
        <v>1033</v>
      </c>
    </row>
    <row r="121" spans="1:26" x14ac:dyDescent="0.25">
      <c r="A121" s="11" t="s">
        <v>758</v>
      </c>
      <c r="B121" s="11" t="s">
        <v>915</v>
      </c>
      <c r="C121" s="14">
        <v>5784</v>
      </c>
      <c r="D121" s="14" t="s">
        <v>1033</v>
      </c>
      <c r="E121" s="14">
        <v>9067</v>
      </c>
      <c r="F121" s="14" t="s">
        <v>1033</v>
      </c>
      <c r="G121" s="14" t="s">
        <v>1033</v>
      </c>
      <c r="H121" s="14" t="s">
        <v>1033</v>
      </c>
      <c r="I121" s="14" t="s">
        <v>1033</v>
      </c>
      <c r="J121" s="14" t="s">
        <v>1033</v>
      </c>
      <c r="K121" s="14">
        <v>16638</v>
      </c>
      <c r="L121" s="14" t="s">
        <v>1033</v>
      </c>
      <c r="M121" s="14" t="s">
        <v>1033</v>
      </c>
      <c r="N121" s="14">
        <v>19236</v>
      </c>
      <c r="O121" s="14">
        <v>22028</v>
      </c>
      <c r="P121" s="14">
        <v>21577</v>
      </c>
      <c r="Q121" s="14" t="s">
        <v>1033</v>
      </c>
      <c r="R121" s="14">
        <v>24947</v>
      </c>
      <c r="S121" s="14">
        <v>26735</v>
      </c>
      <c r="T121" s="14">
        <v>37315</v>
      </c>
      <c r="U121" s="14">
        <v>39171</v>
      </c>
      <c r="V121" s="14">
        <v>37497</v>
      </c>
      <c r="W121" s="14">
        <v>43551</v>
      </c>
      <c r="X121" s="14">
        <v>43961</v>
      </c>
      <c r="Y121" s="14" t="s">
        <v>1033</v>
      </c>
      <c r="Z121" s="14">
        <v>44579</v>
      </c>
    </row>
    <row r="122" spans="1:26" x14ac:dyDescent="0.25">
      <c r="A122" s="11" t="s">
        <v>916</v>
      </c>
      <c r="B122" s="11" t="s">
        <v>917</v>
      </c>
      <c r="C122" s="14" t="s">
        <v>1033</v>
      </c>
      <c r="D122" s="14" t="s">
        <v>1033</v>
      </c>
      <c r="E122" s="14" t="s">
        <v>1033</v>
      </c>
      <c r="F122" s="14" t="s">
        <v>1033</v>
      </c>
      <c r="G122" s="14" t="s">
        <v>1033</v>
      </c>
      <c r="H122" s="14" t="s">
        <v>1033</v>
      </c>
      <c r="I122" s="14" t="s">
        <v>1033</v>
      </c>
      <c r="J122" s="14" t="s">
        <v>1033</v>
      </c>
      <c r="K122" s="14" t="s">
        <v>1033</v>
      </c>
      <c r="L122" s="14" t="s">
        <v>1033</v>
      </c>
      <c r="M122" s="14" t="s">
        <v>1033</v>
      </c>
      <c r="N122" s="14" t="s">
        <v>1033</v>
      </c>
      <c r="O122" s="14" t="s">
        <v>1033</v>
      </c>
      <c r="P122" s="14" t="s">
        <v>1033</v>
      </c>
      <c r="Q122" s="14" t="s">
        <v>1033</v>
      </c>
      <c r="R122" s="14">
        <v>123</v>
      </c>
      <c r="S122" s="14" t="s">
        <v>1033</v>
      </c>
      <c r="T122" s="14" t="s">
        <v>1033</v>
      </c>
      <c r="U122" s="14" t="s">
        <v>1033</v>
      </c>
      <c r="V122" s="14">
        <v>137</v>
      </c>
      <c r="W122" s="14" t="s">
        <v>1033</v>
      </c>
      <c r="X122" s="14" t="s">
        <v>1033</v>
      </c>
      <c r="Y122" s="14" t="s">
        <v>1033</v>
      </c>
      <c r="Z122" s="14">
        <v>77</v>
      </c>
    </row>
    <row r="123" spans="1:26" x14ac:dyDescent="0.25">
      <c r="A123" s="11" t="s">
        <v>918</v>
      </c>
      <c r="B123" s="11" t="s">
        <v>919</v>
      </c>
      <c r="C123" s="14" t="s">
        <v>1033</v>
      </c>
      <c r="D123" s="14" t="s">
        <v>1033</v>
      </c>
      <c r="E123" s="14" t="s">
        <v>1033</v>
      </c>
      <c r="F123" s="14" t="s">
        <v>1033</v>
      </c>
      <c r="G123" s="14" t="s">
        <v>1033</v>
      </c>
      <c r="H123" s="14" t="s">
        <v>1033</v>
      </c>
      <c r="I123" s="14" t="s">
        <v>1033</v>
      </c>
      <c r="J123" s="14">
        <v>342710</v>
      </c>
      <c r="K123" s="14" t="s">
        <v>1033</v>
      </c>
      <c r="L123" s="14" t="s">
        <v>1033</v>
      </c>
      <c r="M123" s="14" t="s">
        <v>1033</v>
      </c>
      <c r="N123" s="14" t="s">
        <v>1033</v>
      </c>
      <c r="O123" s="14" t="s">
        <v>1033</v>
      </c>
      <c r="P123" s="14" t="s">
        <v>1033</v>
      </c>
      <c r="Q123" s="14" t="s">
        <v>1033</v>
      </c>
      <c r="R123" s="14" t="s">
        <v>1033</v>
      </c>
      <c r="S123" s="14" t="s">
        <v>1033</v>
      </c>
      <c r="T123" s="14" t="s">
        <v>1033</v>
      </c>
      <c r="U123" s="14" t="s">
        <v>1033</v>
      </c>
      <c r="V123" s="14" t="s">
        <v>1033</v>
      </c>
      <c r="W123" s="14" t="s">
        <v>1033</v>
      </c>
      <c r="X123" s="14" t="s">
        <v>1033</v>
      </c>
      <c r="Y123" s="14">
        <v>518918</v>
      </c>
      <c r="Z123" s="14" t="s">
        <v>1033</v>
      </c>
    </row>
    <row r="124" spans="1:26" x14ac:dyDescent="0.25">
      <c r="A124" s="11" t="s">
        <v>826</v>
      </c>
      <c r="B124" s="11" t="s">
        <v>920</v>
      </c>
      <c r="C124" s="14" t="s">
        <v>1033</v>
      </c>
      <c r="D124" s="14" t="s">
        <v>1033</v>
      </c>
      <c r="E124" s="14" t="s">
        <v>1033</v>
      </c>
      <c r="F124" s="14" t="s">
        <v>1033</v>
      </c>
      <c r="G124" s="14" t="s">
        <v>1033</v>
      </c>
      <c r="H124" s="14" t="s">
        <v>1033</v>
      </c>
      <c r="I124" s="14" t="s">
        <v>1033</v>
      </c>
      <c r="J124" s="14">
        <v>11801</v>
      </c>
      <c r="K124" s="14" t="s">
        <v>1033</v>
      </c>
      <c r="L124" s="14" t="s">
        <v>1033</v>
      </c>
      <c r="M124" s="14" t="s">
        <v>1033</v>
      </c>
      <c r="N124" s="14" t="s">
        <v>1033</v>
      </c>
      <c r="O124" s="14" t="s">
        <v>1033</v>
      </c>
      <c r="P124" s="14" t="s">
        <v>1033</v>
      </c>
      <c r="Q124" s="14" t="s">
        <v>1033</v>
      </c>
      <c r="R124" s="14" t="s">
        <v>1033</v>
      </c>
      <c r="S124" s="14" t="s">
        <v>1033</v>
      </c>
      <c r="T124" s="14" t="s">
        <v>1033</v>
      </c>
      <c r="U124" s="14" t="s">
        <v>1033</v>
      </c>
      <c r="V124" s="14" t="s">
        <v>1033</v>
      </c>
      <c r="W124" s="14" t="s">
        <v>1033</v>
      </c>
      <c r="X124" s="14" t="s">
        <v>1033</v>
      </c>
      <c r="Y124" s="14">
        <v>14039</v>
      </c>
      <c r="Z124" s="14" t="s">
        <v>1033</v>
      </c>
    </row>
    <row r="125" spans="1:26" x14ac:dyDescent="0.25">
      <c r="A125" s="11" t="s">
        <v>830</v>
      </c>
      <c r="B125" s="11" t="s">
        <v>921</v>
      </c>
      <c r="C125" s="14" t="s">
        <v>1033</v>
      </c>
      <c r="D125" s="14" t="s">
        <v>1033</v>
      </c>
      <c r="E125" s="14" t="s">
        <v>1033</v>
      </c>
      <c r="F125" s="14" t="s">
        <v>1033</v>
      </c>
      <c r="G125" s="14" t="s">
        <v>1033</v>
      </c>
      <c r="H125" s="14" t="s">
        <v>1033</v>
      </c>
      <c r="I125" s="14" t="s">
        <v>1033</v>
      </c>
      <c r="J125" s="14">
        <v>6410</v>
      </c>
      <c r="K125" s="14" t="s">
        <v>1033</v>
      </c>
      <c r="L125" s="14" t="s">
        <v>1033</v>
      </c>
      <c r="M125" s="14" t="s">
        <v>1033</v>
      </c>
      <c r="N125" s="14" t="s">
        <v>1033</v>
      </c>
      <c r="O125" s="14" t="s">
        <v>1033</v>
      </c>
      <c r="P125" s="14" t="s">
        <v>1033</v>
      </c>
      <c r="Q125" s="14" t="s">
        <v>1033</v>
      </c>
      <c r="R125" s="14" t="s">
        <v>1033</v>
      </c>
      <c r="S125" s="14" t="s">
        <v>1033</v>
      </c>
      <c r="T125" s="14" t="s">
        <v>1033</v>
      </c>
      <c r="U125" s="14" t="s">
        <v>1033</v>
      </c>
      <c r="V125" s="14" t="s">
        <v>1033</v>
      </c>
      <c r="W125" s="14" t="s">
        <v>1033</v>
      </c>
      <c r="X125" s="14" t="s">
        <v>1033</v>
      </c>
      <c r="Y125" s="14">
        <v>9723</v>
      </c>
      <c r="Z125" s="14" t="s">
        <v>1033</v>
      </c>
    </row>
    <row r="126" spans="1:26" x14ac:dyDescent="0.25">
      <c r="A126" s="11" t="s">
        <v>922</v>
      </c>
      <c r="B126" s="11" t="s">
        <v>923</v>
      </c>
      <c r="C126" s="14" t="s">
        <v>1033</v>
      </c>
      <c r="D126" s="14" t="s">
        <v>1033</v>
      </c>
      <c r="E126" s="14" t="s">
        <v>1033</v>
      </c>
      <c r="F126" s="14" t="s">
        <v>1033</v>
      </c>
      <c r="G126" s="14" t="s">
        <v>1033</v>
      </c>
      <c r="H126" s="14" t="s">
        <v>1033</v>
      </c>
      <c r="I126" s="14" t="s">
        <v>1033</v>
      </c>
      <c r="J126" s="14">
        <v>73887</v>
      </c>
      <c r="K126" s="14" t="s">
        <v>1033</v>
      </c>
      <c r="L126" s="14" t="s">
        <v>1033</v>
      </c>
      <c r="M126" s="14" t="s">
        <v>1033</v>
      </c>
      <c r="N126" s="14" t="s">
        <v>1033</v>
      </c>
      <c r="O126" s="14" t="s">
        <v>1033</v>
      </c>
      <c r="P126" s="14" t="s">
        <v>1033</v>
      </c>
      <c r="Q126" s="14" t="s">
        <v>1033</v>
      </c>
      <c r="R126" s="14" t="s">
        <v>1033</v>
      </c>
      <c r="S126" s="14" t="s">
        <v>1033</v>
      </c>
      <c r="T126" s="14" t="s">
        <v>1033</v>
      </c>
      <c r="U126" s="14" t="s">
        <v>1033</v>
      </c>
      <c r="V126" s="14" t="s">
        <v>1033</v>
      </c>
      <c r="W126" s="14" t="s">
        <v>1033</v>
      </c>
      <c r="X126" s="14" t="s">
        <v>1033</v>
      </c>
      <c r="Y126" s="14">
        <v>69730</v>
      </c>
      <c r="Z126" s="14" t="s">
        <v>1033</v>
      </c>
    </row>
    <row r="127" spans="1:26" x14ac:dyDescent="0.25">
      <c r="A127" s="11" t="s">
        <v>924</v>
      </c>
      <c r="B127" s="11" t="s">
        <v>925</v>
      </c>
      <c r="C127" s="14">
        <v>152486</v>
      </c>
      <c r="D127" s="14" t="s">
        <v>1033</v>
      </c>
      <c r="E127" s="14">
        <v>162887</v>
      </c>
      <c r="F127" s="14">
        <v>179930</v>
      </c>
      <c r="G127" s="14">
        <v>200479</v>
      </c>
      <c r="H127" s="14">
        <v>204291</v>
      </c>
      <c r="I127" s="14">
        <v>219403</v>
      </c>
      <c r="J127" s="14">
        <v>230425</v>
      </c>
      <c r="K127" s="14">
        <v>243336</v>
      </c>
      <c r="L127" s="14">
        <v>248838</v>
      </c>
      <c r="M127" s="14">
        <v>255216</v>
      </c>
      <c r="N127" s="14">
        <v>268980</v>
      </c>
      <c r="O127" s="14">
        <v>274462</v>
      </c>
      <c r="P127" s="14">
        <v>281170</v>
      </c>
      <c r="Q127" s="14" t="s">
        <v>1033</v>
      </c>
      <c r="R127" s="14">
        <v>302992</v>
      </c>
      <c r="S127" s="14">
        <v>309345</v>
      </c>
      <c r="T127" s="14">
        <v>316628</v>
      </c>
      <c r="U127" s="14">
        <v>321727</v>
      </c>
      <c r="V127" s="14">
        <v>339329</v>
      </c>
      <c r="W127" s="14">
        <v>347475</v>
      </c>
      <c r="X127" s="14">
        <v>354805</v>
      </c>
      <c r="Y127" s="14">
        <v>365502</v>
      </c>
      <c r="Z127" s="14">
        <v>381150</v>
      </c>
    </row>
    <row r="128" spans="1:26" x14ac:dyDescent="0.25">
      <c r="A128" s="11" t="s">
        <v>711</v>
      </c>
      <c r="B128" s="11" t="s">
        <v>926</v>
      </c>
      <c r="C128" s="15">
        <v>18.48</v>
      </c>
      <c r="D128" s="15" t="s">
        <v>1033</v>
      </c>
      <c r="E128" s="15">
        <v>17.84</v>
      </c>
      <c r="F128" s="15">
        <v>18.36</v>
      </c>
      <c r="G128" s="15">
        <v>20.81</v>
      </c>
      <c r="H128" s="15">
        <v>20.99</v>
      </c>
      <c r="I128" s="15">
        <v>20.92</v>
      </c>
      <c r="J128" s="15">
        <v>23.78</v>
      </c>
      <c r="K128" s="15">
        <v>24.85</v>
      </c>
      <c r="L128" s="15">
        <v>22.33</v>
      </c>
      <c r="M128" s="15">
        <v>22.55</v>
      </c>
      <c r="N128" s="15">
        <v>21.73</v>
      </c>
      <c r="O128" s="15">
        <v>21.42</v>
      </c>
      <c r="P128" s="15">
        <v>21.84</v>
      </c>
      <c r="Q128" s="15">
        <v>20.45</v>
      </c>
      <c r="R128" s="15">
        <v>21.02</v>
      </c>
      <c r="S128" s="15">
        <v>20</v>
      </c>
      <c r="T128" s="15">
        <v>19</v>
      </c>
      <c r="U128" s="15">
        <v>21.56</v>
      </c>
      <c r="V128" s="15">
        <v>22.66</v>
      </c>
      <c r="W128" s="15">
        <v>21.52</v>
      </c>
      <c r="X128" s="15">
        <v>22.1</v>
      </c>
      <c r="Y128" s="15">
        <v>19.66</v>
      </c>
      <c r="Z128" s="15">
        <v>19.329999999999998</v>
      </c>
    </row>
    <row r="129" spans="1:26" x14ac:dyDescent="0.25">
      <c r="A129" s="11" t="s">
        <v>927</v>
      </c>
      <c r="B129" s="11" t="s">
        <v>928</v>
      </c>
      <c r="C129" s="15">
        <v>20.3</v>
      </c>
      <c r="D129" s="15" t="s">
        <v>1033</v>
      </c>
      <c r="E129" s="15">
        <v>18.95</v>
      </c>
      <c r="F129" s="15">
        <v>19.66</v>
      </c>
      <c r="G129" s="15">
        <v>21.7</v>
      </c>
      <c r="H129" s="15">
        <v>21.92</v>
      </c>
      <c r="I129" s="15">
        <v>21.86</v>
      </c>
      <c r="J129" s="15">
        <v>24.69</v>
      </c>
      <c r="K129" s="15">
        <v>25.89</v>
      </c>
      <c r="L129" s="15">
        <v>22.86</v>
      </c>
      <c r="M129" s="15">
        <v>23.02</v>
      </c>
      <c r="N129" s="15">
        <v>22.07</v>
      </c>
      <c r="O129" s="15">
        <v>21.73</v>
      </c>
      <c r="P129" s="15">
        <v>22.15</v>
      </c>
      <c r="Q129" s="15">
        <v>20.69</v>
      </c>
      <c r="R129" s="15">
        <v>21.26</v>
      </c>
      <c r="S129" s="15">
        <v>20.22</v>
      </c>
      <c r="T129" s="15">
        <v>19.23</v>
      </c>
      <c r="U129" s="15">
        <v>21.78</v>
      </c>
      <c r="V129" s="15">
        <v>22.87</v>
      </c>
      <c r="W129" s="15">
        <v>21.72</v>
      </c>
      <c r="X129" s="15">
        <v>22.31</v>
      </c>
      <c r="Y129" s="15">
        <v>20.059999999999999</v>
      </c>
      <c r="Z129" s="15">
        <v>19.739999999999998</v>
      </c>
    </row>
    <row r="130" spans="1:26" x14ac:dyDescent="0.25">
      <c r="A130" s="11" t="s">
        <v>929</v>
      </c>
      <c r="B130" s="11" t="s">
        <v>930</v>
      </c>
      <c r="C130" s="15">
        <v>10.92</v>
      </c>
      <c r="D130" s="15">
        <v>-0.06</v>
      </c>
      <c r="E130" s="15">
        <v>10.86</v>
      </c>
      <c r="F130" s="15">
        <v>11.05</v>
      </c>
      <c r="G130" s="15">
        <v>12</v>
      </c>
      <c r="H130" s="15">
        <v>11.7</v>
      </c>
      <c r="I130" s="15">
        <v>11.61</v>
      </c>
      <c r="J130" s="15">
        <v>13.44</v>
      </c>
      <c r="K130" s="15">
        <v>13.2</v>
      </c>
      <c r="L130" s="15">
        <v>11.72</v>
      </c>
      <c r="M130" s="15">
        <v>12.14</v>
      </c>
      <c r="N130" s="15">
        <v>12.71</v>
      </c>
      <c r="O130" s="15">
        <v>12.12</v>
      </c>
      <c r="P130" s="15">
        <v>11.76</v>
      </c>
      <c r="Q130" s="15">
        <v>11.51</v>
      </c>
      <c r="R130" s="15">
        <v>11.45</v>
      </c>
      <c r="S130" s="15">
        <v>10.76</v>
      </c>
      <c r="T130" s="15">
        <v>10.4</v>
      </c>
      <c r="U130" s="15">
        <v>11.86</v>
      </c>
      <c r="V130" s="15">
        <v>11.94</v>
      </c>
      <c r="W130" s="15">
        <v>11.37</v>
      </c>
      <c r="X130" s="15">
        <v>11.9</v>
      </c>
      <c r="Y130" s="15">
        <v>10.63</v>
      </c>
      <c r="Z130" s="15">
        <v>10.86</v>
      </c>
    </row>
    <row r="131" spans="1:26" x14ac:dyDescent="0.25">
      <c r="A131" s="11" t="s">
        <v>931</v>
      </c>
      <c r="B131" s="11" t="s">
        <v>932</v>
      </c>
      <c r="C131" s="14">
        <v>143805</v>
      </c>
      <c r="D131" s="14" t="s">
        <v>1033</v>
      </c>
      <c r="E131" s="14">
        <v>147558</v>
      </c>
      <c r="F131" s="14">
        <v>163806</v>
      </c>
      <c r="G131" s="14">
        <v>183236</v>
      </c>
      <c r="H131" s="14">
        <v>179769</v>
      </c>
      <c r="I131" s="14">
        <v>177381</v>
      </c>
      <c r="J131" s="14">
        <v>204495</v>
      </c>
      <c r="K131" s="14">
        <v>205695</v>
      </c>
      <c r="L131" s="14">
        <v>185720</v>
      </c>
      <c r="M131" s="14">
        <v>185190</v>
      </c>
      <c r="N131" s="14">
        <v>197469</v>
      </c>
      <c r="O131" s="14">
        <v>195605</v>
      </c>
      <c r="P131" s="14">
        <v>197708</v>
      </c>
      <c r="Q131" s="14">
        <v>193590</v>
      </c>
      <c r="R131" s="14">
        <v>202373</v>
      </c>
      <c r="S131" s="14">
        <v>197687</v>
      </c>
      <c r="T131" s="14">
        <v>189539</v>
      </c>
      <c r="U131" s="14">
        <v>221129</v>
      </c>
      <c r="V131" s="14">
        <v>230150</v>
      </c>
      <c r="W131" s="14">
        <v>219018</v>
      </c>
      <c r="X131" s="14">
        <v>227851</v>
      </c>
      <c r="Y131" s="14">
        <v>205777</v>
      </c>
      <c r="Z131" s="14">
        <v>215697</v>
      </c>
    </row>
    <row r="132" spans="1:26" x14ac:dyDescent="0.25">
      <c r="A132" s="11" t="s">
        <v>933</v>
      </c>
      <c r="B132" s="11" t="s">
        <v>934</v>
      </c>
      <c r="C132" s="14">
        <v>778120</v>
      </c>
      <c r="D132" s="14" t="s">
        <v>1033</v>
      </c>
      <c r="E132" s="14">
        <v>827030</v>
      </c>
      <c r="F132" s="14">
        <v>892361</v>
      </c>
      <c r="G132" s="14">
        <v>880710</v>
      </c>
      <c r="H132" s="14">
        <v>856373</v>
      </c>
      <c r="I132" s="14">
        <v>847792</v>
      </c>
      <c r="J132" s="14">
        <v>859798</v>
      </c>
      <c r="K132" s="14">
        <v>827628</v>
      </c>
      <c r="L132" s="14">
        <v>831723</v>
      </c>
      <c r="M132" s="14">
        <v>821270</v>
      </c>
      <c r="N132" s="14">
        <v>908585</v>
      </c>
      <c r="O132" s="14">
        <v>913329</v>
      </c>
      <c r="P132" s="14">
        <v>905334</v>
      </c>
      <c r="Q132" s="14">
        <v>946593</v>
      </c>
      <c r="R132" s="14">
        <v>962796</v>
      </c>
      <c r="S132" s="14">
        <v>988464</v>
      </c>
      <c r="T132" s="14">
        <v>997350</v>
      </c>
      <c r="U132" s="14">
        <v>1025490</v>
      </c>
      <c r="V132" s="14">
        <v>1015569</v>
      </c>
      <c r="W132" s="14">
        <v>1017833</v>
      </c>
      <c r="X132" s="14">
        <v>1030926</v>
      </c>
      <c r="Y132" s="14">
        <v>1046648</v>
      </c>
      <c r="Z132" s="14">
        <v>1115897</v>
      </c>
    </row>
    <row r="133" spans="1:26" x14ac:dyDescent="0.25">
      <c r="A133" s="11" t="s">
        <v>838</v>
      </c>
      <c r="B133" s="11" t="s">
        <v>935</v>
      </c>
      <c r="C133" s="14" t="s">
        <v>1033</v>
      </c>
      <c r="D133" s="14" t="s">
        <v>1033</v>
      </c>
      <c r="E133" s="14" t="s">
        <v>1033</v>
      </c>
      <c r="F133" s="14" t="s">
        <v>1033</v>
      </c>
      <c r="G133" s="14" t="s">
        <v>1033</v>
      </c>
      <c r="H133" s="14" t="s">
        <v>1033</v>
      </c>
      <c r="I133" s="14" t="s">
        <v>1033</v>
      </c>
      <c r="J133" s="14">
        <v>47794</v>
      </c>
      <c r="K133" s="14" t="s">
        <v>1033</v>
      </c>
      <c r="L133" s="14" t="s">
        <v>1033</v>
      </c>
      <c r="M133" s="14" t="s">
        <v>1033</v>
      </c>
      <c r="N133" s="14" t="s">
        <v>1033</v>
      </c>
      <c r="O133" s="14" t="s">
        <v>1033</v>
      </c>
      <c r="P133" s="14" t="s">
        <v>1033</v>
      </c>
      <c r="Q133" s="14" t="s">
        <v>1033</v>
      </c>
      <c r="R133" s="14" t="s">
        <v>1033</v>
      </c>
      <c r="S133" s="14" t="s">
        <v>1033</v>
      </c>
      <c r="T133" s="14" t="s">
        <v>1033</v>
      </c>
      <c r="U133" s="14" t="s">
        <v>1033</v>
      </c>
      <c r="V133" s="14" t="s">
        <v>1033</v>
      </c>
      <c r="W133" s="14" t="s">
        <v>1033</v>
      </c>
      <c r="X133" s="14" t="s">
        <v>1033</v>
      </c>
      <c r="Y133" s="14" t="s">
        <v>1033</v>
      </c>
      <c r="Z133" s="14" t="s">
        <v>1033</v>
      </c>
    </row>
    <row r="134" spans="1:26" x14ac:dyDescent="0.25">
      <c r="A134" s="11" t="s">
        <v>936</v>
      </c>
      <c r="B134" s="11" t="s">
        <v>937</v>
      </c>
      <c r="C134" s="14">
        <v>14357</v>
      </c>
      <c r="D134" s="14" t="s">
        <v>1033</v>
      </c>
      <c r="E134" s="14" t="s">
        <v>1033</v>
      </c>
      <c r="F134" s="14">
        <v>9253.8588</v>
      </c>
      <c r="G134" s="14">
        <v>9788</v>
      </c>
      <c r="H134" s="14">
        <v>11201.9018</v>
      </c>
      <c r="I134" s="14">
        <v>9956.2662999999993</v>
      </c>
      <c r="J134" s="14">
        <v>8506</v>
      </c>
      <c r="K134" s="14" t="s">
        <v>1033</v>
      </c>
      <c r="L134" s="14">
        <v>8898.0887999999995</v>
      </c>
      <c r="M134" s="14">
        <v>9258.6646999999994</v>
      </c>
      <c r="N134" s="14" t="s">
        <v>1033</v>
      </c>
      <c r="O134" s="14" t="s">
        <v>1033</v>
      </c>
      <c r="P134" s="14" t="s">
        <v>1033</v>
      </c>
      <c r="Q134" s="14">
        <v>10890.8783</v>
      </c>
      <c r="R134" s="14">
        <v>9875</v>
      </c>
      <c r="S134" s="14">
        <v>11184</v>
      </c>
      <c r="T134" s="14">
        <v>11348</v>
      </c>
      <c r="U134" s="14">
        <v>11125</v>
      </c>
      <c r="V134" s="14">
        <v>11102</v>
      </c>
      <c r="W134" s="14">
        <v>13484</v>
      </c>
      <c r="X134" s="14">
        <v>16754</v>
      </c>
      <c r="Y134" s="14">
        <v>17838</v>
      </c>
      <c r="Z134" s="14">
        <v>18262</v>
      </c>
    </row>
    <row r="135" spans="1:26" x14ac:dyDescent="0.25">
      <c r="A135" s="11" t="s">
        <v>938</v>
      </c>
      <c r="B135" s="11" t="s">
        <v>939</v>
      </c>
      <c r="C135" s="15" t="s">
        <v>1033</v>
      </c>
      <c r="D135" s="15" t="s">
        <v>1033</v>
      </c>
      <c r="E135" s="15" t="s">
        <v>1033</v>
      </c>
      <c r="F135" s="15" t="s">
        <v>1033</v>
      </c>
      <c r="G135" s="15">
        <v>29626</v>
      </c>
      <c r="H135" s="15" t="s">
        <v>1033</v>
      </c>
      <c r="I135" s="15" t="s">
        <v>1033</v>
      </c>
      <c r="J135" s="15">
        <v>30885</v>
      </c>
      <c r="K135" s="15" t="s">
        <v>1033</v>
      </c>
      <c r="L135" s="15" t="s">
        <v>1033</v>
      </c>
      <c r="M135" s="15" t="s">
        <v>1033</v>
      </c>
      <c r="N135" s="15" t="s">
        <v>1033</v>
      </c>
      <c r="O135" s="15" t="s">
        <v>1033</v>
      </c>
      <c r="P135" s="15" t="s">
        <v>1033</v>
      </c>
      <c r="Q135" s="15" t="s">
        <v>1033</v>
      </c>
      <c r="R135" s="15" t="s">
        <v>1033</v>
      </c>
      <c r="S135" s="15" t="s">
        <v>1033</v>
      </c>
      <c r="T135" s="15" t="s">
        <v>1033</v>
      </c>
      <c r="U135" s="15" t="s">
        <v>1033</v>
      </c>
      <c r="V135" s="15" t="s">
        <v>1033</v>
      </c>
      <c r="W135" s="15" t="s">
        <v>1033</v>
      </c>
      <c r="X135" s="15" t="s">
        <v>1033</v>
      </c>
      <c r="Y135" s="15" t="s">
        <v>1033</v>
      </c>
      <c r="Z135" s="15" t="s">
        <v>1033</v>
      </c>
    </row>
    <row r="136" spans="1:26" x14ac:dyDescent="0.25">
      <c r="A136" s="11" t="s">
        <v>842</v>
      </c>
      <c r="B136" s="11" t="s">
        <v>940</v>
      </c>
      <c r="C136" s="14" t="s">
        <v>1033</v>
      </c>
      <c r="D136" s="14" t="s">
        <v>1033</v>
      </c>
      <c r="E136" s="14" t="s">
        <v>1033</v>
      </c>
      <c r="F136" s="14" t="s">
        <v>1033</v>
      </c>
      <c r="G136" s="14">
        <v>166</v>
      </c>
      <c r="H136" s="14" t="s">
        <v>1033</v>
      </c>
      <c r="I136" s="14" t="s">
        <v>1033</v>
      </c>
      <c r="J136" s="14" t="s">
        <v>1033</v>
      </c>
      <c r="K136" s="14">
        <v>122</v>
      </c>
      <c r="L136" s="14" t="s">
        <v>1033</v>
      </c>
      <c r="M136" s="14" t="s">
        <v>1033</v>
      </c>
      <c r="N136" s="14">
        <v>-28</v>
      </c>
      <c r="O136" s="14">
        <v>-95</v>
      </c>
      <c r="P136" s="14">
        <v>-71</v>
      </c>
      <c r="Q136" s="14" t="s">
        <v>1033</v>
      </c>
      <c r="R136" s="14">
        <v>-143</v>
      </c>
      <c r="S136" s="14">
        <v>2</v>
      </c>
      <c r="T136" s="14">
        <v>317</v>
      </c>
      <c r="U136" s="14">
        <v>465</v>
      </c>
      <c r="V136" s="14">
        <v>403</v>
      </c>
      <c r="W136" s="14">
        <v>143</v>
      </c>
      <c r="X136" s="14">
        <v>73</v>
      </c>
      <c r="Y136" s="14">
        <v>34</v>
      </c>
      <c r="Z136" s="14">
        <v>24</v>
      </c>
    </row>
    <row r="137" spans="1:26" x14ac:dyDescent="0.25">
      <c r="A137" s="11" t="s">
        <v>941</v>
      </c>
      <c r="B137" s="11" t="s">
        <v>942</v>
      </c>
      <c r="C137" s="14" t="s">
        <v>1033</v>
      </c>
      <c r="D137" s="14" t="s">
        <v>1033</v>
      </c>
      <c r="E137" s="14" t="s">
        <v>1033</v>
      </c>
      <c r="F137" s="14" t="s">
        <v>1033</v>
      </c>
      <c r="G137" s="14">
        <v>9719</v>
      </c>
      <c r="H137" s="14" t="s">
        <v>1033</v>
      </c>
      <c r="I137" s="14" t="s">
        <v>1033</v>
      </c>
      <c r="J137" s="14" t="s">
        <v>1033</v>
      </c>
      <c r="K137" s="14">
        <v>9110</v>
      </c>
      <c r="L137" s="14" t="s">
        <v>1033</v>
      </c>
      <c r="M137" s="14" t="s">
        <v>1033</v>
      </c>
      <c r="N137" s="14">
        <v>33615</v>
      </c>
      <c r="O137" s="14">
        <v>33618</v>
      </c>
      <c r="P137" s="14">
        <v>33619</v>
      </c>
      <c r="Q137" s="14" t="s">
        <v>1033</v>
      </c>
      <c r="R137" s="14">
        <v>34187</v>
      </c>
      <c r="S137" s="14">
        <v>29072</v>
      </c>
      <c r="T137" s="14">
        <v>23286</v>
      </c>
      <c r="U137" s="14">
        <v>22236</v>
      </c>
      <c r="V137" s="14">
        <v>22713</v>
      </c>
      <c r="W137" s="14">
        <v>32398</v>
      </c>
      <c r="X137" s="14">
        <v>30425</v>
      </c>
      <c r="Y137" s="14">
        <v>30081</v>
      </c>
      <c r="Z137" s="14">
        <v>29545</v>
      </c>
    </row>
    <row r="138" spans="1:26" x14ac:dyDescent="0.25">
      <c r="A138" s="11" t="s">
        <v>848</v>
      </c>
      <c r="B138" s="11" t="s">
        <v>943</v>
      </c>
      <c r="C138" s="14" t="s">
        <v>1033</v>
      </c>
      <c r="D138" s="14" t="s">
        <v>1033</v>
      </c>
      <c r="E138" s="14" t="s">
        <v>1033</v>
      </c>
      <c r="F138" s="14" t="s">
        <v>1033</v>
      </c>
      <c r="G138" s="14">
        <v>8544</v>
      </c>
      <c r="H138" s="14" t="s">
        <v>1033</v>
      </c>
      <c r="I138" s="14" t="s">
        <v>1033</v>
      </c>
      <c r="J138" s="14" t="s">
        <v>1033</v>
      </c>
      <c r="K138" s="14">
        <v>10748</v>
      </c>
      <c r="L138" s="14" t="s">
        <v>1033</v>
      </c>
      <c r="M138" s="14" t="s">
        <v>1033</v>
      </c>
      <c r="N138" s="14">
        <v>13018</v>
      </c>
      <c r="O138" s="14">
        <v>26106</v>
      </c>
      <c r="P138" s="14">
        <v>39375</v>
      </c>
      <c r="Q138" s="14" t="s">
        <v>1033</v>
      </c>
      <c r="R138" s="14">
        <v>14208</v>
      </c>
      <c r="S138" s="14">
        <v>28226</v>
      </c>
      <c r="T138" s="14">
        <v>42464</v>
      </c>
      <c r="U138" s="14">
        <v>56188</v>
      </c>
      <c r="V138" s="14">
        <v>15288</v>
      </c>
      <c r="W138" s="14">
        <v>29906</v>
      </c>
      <c r="X138" s="14">
        <v>42914</v>
      </c>
      <c r="Y138" s="14" t="s">
        <v>1033</v>
      </c>
      <c r="Z138" s="14">
        <v>15458</v>
      </c>
    </row>
    <row r="139" spans="1:26" x14ac:dyDescent="0.25">
      <c r="A139" s="11" t="s">
        <v>850</v>
      </c>
      <c r="B139" s="11" t="s">
        <v>944</v>
      </c>
      <c r="C139" s="14" t="s">
        <v>1033</v>
      </c>
      <c r="D139" s="14" t="s">
        <v>1033</v>
      </c>
      <c r="E139" s="14" t="s">
        <v>1033</v>
      </c>
      <c r="F139" s="14" t="s">
        <v>1033</v>
      </c>
      <c r="G139" s="14" t="s">
        <v>1033</v>
      </c>
      <c r="H139" s="14" t="s">
        <v>1033</v>
      </c>
      <c r="I139" s="14" t="s">
        <v>1033</v>
      </c>
      <c r="J139" s="14" t="s">
        <v>1033</v>
      </c>
      <c r="K139" s="14" t="s">
        <v>1033</v>
      </c>
      <c r="L139" s="14" t="s">
        <v>1033</v>
      </c>
      <c r="M139" s="14" t="s">
        <v>1033</v>
      </c>
      <c r="N139" s="14" t="s">
        <v>1033</v>
      </c>
      <c r="O139" s="14" t="s">
        <v>1033</v>
      </c>
      <c r="P139" s="14">
        <v>356</v>
      </c>
      <c r="Q139" s="14" t="s">
        <v>1033</v>
      </c>
      <c r="R139" s="14" t="s">
        <v>1033</v>
      </c>
      <c r="S139" s="14" t="s">
        <v>1033</v>
      </c>
      <c r="T139" s="14" t="s">
        <v>1033</v>
      </c>
      <c r="U139" s="14" t="s">
        <v>1033</v>
      </c>
      <c r="V139" s="14" t="s">
        <v>1033</v>
      </c>
      <c r="W139" s="14">
        <v>1</v>
      </c>
      <c r="X139" s="14" t="s">
        <v>1033</v>
      </c>
      <c r="Y139" s="14">
        <v>-3639</v>
      </c>
      <c r="Z139" s="14" t="s">
        <v>1033</v>
      </c>
    </row>
    <row r="140" spans="1:26" x14ac:dyDescent="0.25">
      <c r="A140" s="11" t="s">
        <v>945</v>
      </c>
      <c r="B140" s="11" t="s">
        <v>946</v>
      </c>
      <c r="C140" s="14" t="s">
        <v>1033</v>
      </c>
      <c r="D140" s="14" t="s">
        <v>1033</v>
      </c>
      <c r="E140" s="14" t="s">
        <v>1033</v>
      </c>
      <c r="F140" s="14" t="s">
        <v>1033</v>
      </c>
      <c r="G140" s="14" t="s">
        <v>1033</v>
      </c>
      <c r="H140" s="14" t="s">
        <v>1033</v>
      </c>
      <c r="I140" s="14" t="s">
        <v>1033</v>
      </c>
      <c r="J140" s="14">
        <v>11188</v>
      </c>
      <c r="K140" s="14" t="s">
        <v>1033</v>
      </c>
      <c r="L140" s="14" t="s">
        <v>1033</v>
      </c>
      <c r="M140" s="14" t="s">
        <v>1033</v>
      </c>
      <c r="N140" s="14" t="s">
        <v>1033</v>
      </c>
      <c r="O140" s="14" t="s">
        <v>1033</v>
      </c>
      <c r="P140" s="14" t="s">
        <v>1033</v>
      </c>
      <c r="Q140" s="14" t="s">
        <v>1033</v>
      </c>
      <c r="R140" s="14" t="s">
        <v>1033</v>
      </c>
      <c r="S140" s="14" t="s">
        <v>1033</v>
      </c>
      <c r="T140" s="14" t="s">
        <v>1033</v>
      </c>
      <c r="U140" s="14" t="s">
        <v>1033</v>
      </c>
      <c r="V140" s="14" t="s">
        <v>1033</v>
      </c>
      <c r="W140" s="14" t="s">
        <v>1033</v>
      </c>
      <c r="X140" s="14" t="s">
        <v>1033</v>
      </c>
      <c r="Y140" s="14">
        <v>7672</v>
      </c>
      <c r="Z140" s="14" t="s">
        <v>1033</v>
      </c>
    </row>
    <row r="141" spans="1:26" x14ac:dyDescent="0.25">
      <c r="A141" s="11" t="s">
        <v>854</v>
      </c>
      <c r="B141" s="11" t="s">
        <v>947</v>
      </c>
      <c r="C141" s="14" t="s">
        <v>1033</v>
      </c>
      <c r="D141" s="14" t="s">
        <v>1033</v>
      </c>
      <c r="E141" s="14" t="s">
        <v>1033</v>
      </c>
      <c r="F141" s="14" t="s">
        <v>1033</v>
      </c>
      <c r="G141" s="14" t="s">
        <v>1033</v>
      </c>
      <c r="H141" s="14" t="s">
        <v>1033</v>
      </c>
      <c r="I141" s="14" t="s">
        <v>1033</v>
      </c>
      <c r="J141" s="14">
        <v>19839</v>
      </c>
      <c r="K141" s="14" t="s">
        <v>1033</v>
      </c>
      <c r="L141" s="14" t="s">
        <v>1033</v>
      </c>
      <c r="M141" s="14" t="s">
        <v>1033</v>
      </c>
      <c r="N141" s="14" t="s">
        <v>1033</v>
      </c>
      <c r="O141" s="14" t="s">
        <v>1033</v>
      </c>
      <c r="P141" s="14" t="s">
        <v>1033</v>
      </c>
      <c r="Q141" s="14" t="s">
        <v>1033</v>
      </c>
      <c r="R141" s="14" t="s">
        <v>1033</v>
      </c>
      <c r="S141" s="14" t="s">
        <v>1033</v>
      </c>
      <c r="T141" s="14" t="s">
        <v>1033</v>
      </c>
      <c r="U141" s="14" t="s">
        <v>1033</v>
      </c>
      <c r="V141" s="14" t="s">
        <v>1033</v>
      </c>
      <c r="W141" s="14" t="s">
        <v>1033</v>
      </c>
      <c r="X141" s="14" t="s">
        <v>1033</v>
      </c>
      <c r="Y141" s="14">
        <v>22048</v>
      </c>
      <c r="Z141" s="14" t="s">
        <v>1033</v>
      </c>
    </row>
    <row r="142" spans="1:26" x14ac:dyDescent="0.25">
      <c r="A142" s="11" t="s">
        <v>948</v>
      </c>
      <c r="B142" s="11" t="s">
        <v>949</v>
      </c>
      <c r="C142" s="14">
        <v>14141</v>
      </c>
      <c r="D142" s="14" t="s">
        <v>1033</v>
      </c>
      <c r="E142" s="14">
        <v>9194</v>
      </c>
      <c r="F142" s="14">
        <v>11650</v>
      </c>
      <c r="G142" s="14">
        <v>7898</v>
      </c>
      <c r="H142" s="14">
        <v>7955</v>
      </c>
      <c r="I142" s="14">
        <v>7909</v>
      </c>
      <c r="J142" s="14">
        <v>7800</v>
      </c>
      <c r="K142" s="14">
        <v>8605</v>
      </c>
      <c r="L142" s="14">
        <v>4393</v>
      </c>
      <c r="M142" s="14">
        <v>3861</v>
      </c>
      <c r="N142" s="14">
        <v>3059</v>
      </c>
      <c r="O142" s="14">
        <v>2889</v>
      </c>
      <c r="P142" s="14">
        <v>2838</v>
      </c>
      <c r="Q142" s="14">
        <v>2229</v>
      </c>
      <c r="R142" s="14">
        <v>2279</v>
      </c>
      <c r="S142" s="14">
        <v>2139</v>
      </c>
      <c r="T142" s="14">
        <v>2211</v>
      </c>
      <c r="U142" s="14">
        <v>2193</v>
      </c>
      <c r="V142" s="14">
        <v>2150</v>
      </c>
      <c r="W142" s="14">
        <v>2074</v>
      </c>
      <c r="X142" s="14">
        <v>2111</v>
      </c>
      <c r="Y142" s="14">
        <v>4214</v>
      </c>
      <c r="Z142" s="14">
        <v>4530</v>
      </c>
    </row>
    <row r="143" spans="1:26" x14ac:dyDescent="0.25">
      <c r="A143" s="11" t="s">
        <v>950</v>
      </c>
      <c r="B143" s="11" t="s">
        <v>951</v>
      </c>
      <c r="C143" s="15">
        <v>1.82</v>
      </c>
      <c r="D143" s="15" t="s">
        <v>1033</v>
      </c>
      <c r="E143" s="15">
        <v>1.1100000000000001</v>
      </c>
      <c r="F143" s="15">
        <v>1.31</v>
      </c>
      <c r="G143" s="15">
        <v>0.9</v>
      </c>
      <c r="H143" s="15">
        <v>0.93</v>
      </c>
      <c r="I143" s="15">
        <v>0.93</v>
      </c>
      <c r="J143" s="15">
        <v>0.91</v>
      </c>
      <c r="K143" s="15">
        <v>1.04</v>
      </c>
      <c r="L143" s="15">
        <v>0.53</v>
      </c>
      <c r="M143" s="15">
        <v>0.47</v>
      </c>
      <c r="N143" s="15">
        <v>0.34</v>
      </c>
      <c r="O143" s="15">
        <v>0.32</v>
      </c>
      <c r="P143" s="15">
        <v>0.31</v>
      </c>
      <c r="Q143" s="15">
        <v>0.24</v>
      </c>
      <c r="R143" s="15">
        <v>0.24</v>
      </c>
      <c r="S143" s="15">
        <v>0.22</v>
      </c>
      <c r="T143" s="15">
        <v>0.22</v>
      </c>
      <c r="U143" s="15">
        <v>0.21</v>
      </c>
      <c r="V143" s="15">
        <v>0.21</v>
      </c>
      <c r="W143" s="15">
        <v>0.2</v>
      </c>
      <c r="X143" s="15">
        <v>0.2</v>
      </c>
      <c r="Y143" s="15">
        <v>0.4</v>
      </c>
      <c r="Z143" s="15">
        <v>0.41</v>
      </c>
    </row>
    <row r="144" spans="1:26" x14ac:dyDescent="0.25">
      <c r="A144" s="11" t="s">
        <v>952</v>
      </c>
      <c r="B144" s="11" t="s">
        <v>953</v>
      </c>
      <c r="C144" s="14" t="s">
        <v>1033</v>
      </c>
      <c r="D144" s="14" t="s">
        <v>1033</v>
      </c>
      <c r="E144" s="14" t="s">
        <v>1033</v>
      </c>
      <c r="F144" s="14" t="s">
        <v>1033</v>
      </c>
      <c r="G144" s="14" t="s">
        <v>1033</v>
      </c>
      <c r="H144" s="14" t="s">
        <v>1033</v>
      </c>
      <c r="I144" s="14" t="s">
        <v>1033</v>
      </c>
      <c r="J144" s="14" t="s">
        <v>1033</v>
      </c>
      <c r="K144" s="14" t="s">
        <v>1033</v>
      </c>
      <c r="L144" s="14" t="s">
        <v>1033</v>
      </c>
      <c r="M144" s="14" t="s">
        <v>1033</v>
      </c>
      <c r="N144" s="14" t="s">
        <v>1033</v>
      </c>
      <c r="O144" s="14" t="s">
        <v>1033</v>
      </c>
      <c r="P144" s="14">
        <v>250084</v>
      </c>
      <c r="Q144" s="14" t="s">
        <v>1033</v>
      </c>
      <c r="R144" s="14" t="s">
        <v>1033</v>
      </c>
      <c r="S144" s="14" t="s">
        <v>1033</v>
      </c>
      <c r="T144" s="14" t="s">
        <v>1033</v>
      </c>
      <c r="U144" s="14" t="s">
        <v>1033</v>
      </c>
      <c r="V144" s="14" t="s">
        <v>1033</v>
      </c>
      <c r="W144" s="14" t="s">
        <v>1033</v>
      </c>
      <c r="X144" s="14" t="s">
        <v>1033</v>
      </c>
      <c r="Y144" s="14">
        <v>249090</v>
      </c>
      <c r="Z144" s="14">
        <v>261132</v>
      </c>
    </row>
    <row r="145" spans="1:26" x14ac:dyDescent="0.25">
      <c r="A145" s="11" t="s">
        <v>954</v>
      </c>
      <c r="B145" s="11" t="s">
        <v>955</v>
      </c>
      <c r="C145" s="14">
        <v>39.232399999999998</v>
      </c>
      <c r="D145" s="14" t="s">
        <v>1033</v>
      </c>
      <c r="E145" s="14">
        <v>79</v>
      </c>
      <c r="F145" s="14">
        <v>78.920500000000004</v>
      </c>
      <c r="G145" s="14">
        <v>122</v>
      </c>
      <c r="H145" s="14">
        <v>155.21019999999999</v>
      </c>
      <c r="I145" s="14">
        <v>206.6285</v>
      </c>
      <c r="J145" s="14">
        <v>120</v>
      </c>
      <c r="K145" s="14">
        <v>148</v>
      </c>
      <c r="L145" s="14">
        <v>60.459400000000002</v>
      </c>
      <c r="M145" s="14">
        <v>79.846900000000005</v>
      </c>
      <c r="N145" s="14">
        <v>39</v>
      </c>
      <c r="O145" s="14">
        <v>57</v>
      </c>
      <c r="P145" s="14">
        <v>34</v>
      </c>
      <c r="Q145" s="14">
        <v>28.5777</v>
      </c>
      <c r="R145" s="14">
        <v>36</v>
      </c>
      <c r="S145" s="14">
        <v>37</v>
      </c>
      <c r="T145" s="14">
        <v>62</v>
      </c>
      <c r="U145" s="14" t="s">
        <v>1033</v>
      </c>
      <c r="V145" s="14">
        <v>39</v>
      </c>
      <c r="W145" s="14">
        <v>48</v>
      </c>
      <c r="X145" s="14">
        <v>24</v>
      </c>
      <c r="Y145" s="14">
        <v>14</v>
      </c>
      <c r="Z145" s="14">
        <v>19</v>
      </c>
    </row>
    <row r="146" spans="1:26" x14ac:dyDescent="0.25">
      <c r="A146" s="11" t="s">
        <v>956</v>
      </c>
      <c r="B146" s="11" t="s">
        <v>957</v>
      </c>
      <c r="C146" s="14">
        <v>14357</v>
      </c>
      <c r="D146" s="14" t="s">
        <v>1033</v>
      </c>
      <c r="E146" s="14">
        <v>13212</v>
      </c>
      <c r="F146" s="14">
        <v>9253.8588</v>
      </c>
      <c r="G146" s="14">
        <v>9788</v>
      </c>
      <c r="H146" s="14">
        <v>11201.9018</v>
      </c>
      <c r="I146" s="14">
        <v>9956.2662999999993</v>
      </c>
      <c r="J146" s="14">
        <v>8506</v>
      </c>
      <c r="K146" s="14">
        <v>8440</v>
      </c>
      <c r="L146" s="14">
        <v>8898.0887999999995</v>
      </c>
      <c r="M146" s="14">
        <v>9258.6646999999994</v>
      </c>
      <c r="N146" s="14">
        <v>10013</v>
      </c>
      <c r="O146" s="14">
        <v>10299</v>
      </c>
      <c r="P146" s="14">
        <v>10342</v>
      </c>
      <c r="Q146" s="14">
        <v>10890.8783</v>
      </c>
      <c r="R146" s="14">
        <v>9875</v>
      </c>
      <c r="S146" s="14">
        <v>11184</v>
      </c>
      <c r="T146" s="14">
        <v>11348</v>
      </c>
      <c r="U146" s="14">
        <v>11125</v>
      </c>
      <c r="V146" s="14">
        <v>11102</v>
      </c>
      <c r="W146" s="14">
        <v>13484</v>
      </c>
      <c r="X146" s="14">
        <v>16754</v>
      </c>
      <c r="Y146" s="14">
        <v>17838</v>
      </c>
      <c r="Z146" s="14">
        <v>18262</v>
      </c>
    </row>
    <row r="147" spans="1:26" x14ac:dyDescent="0.25">
      <c r="A147" s="11" t="s">
        <v>958</v>
      </c>
      <c r="B147" s="11" t="s">
        <v>959</v>
      </c>
      <c r="C147" s="14" t="s">
        <v>1033</v>
      </c>
      <c r="D147" s="14" t="s">
        <v>1033</v>
      </c>
      <c r="E147" s="14" t="s">
        <v>1033</v>
      </c>
      <c r="F147" s="14" t="s">
        <v>1033</v>
      </c>
      <c r="G147" s="14" t="s">
        <v>1033</v>
      </c>
      <c r="H147" s="14" t="s">
        <v>1033</v>
      </c>
      <c r="I147" s="14" t="s">
        <v>1033</v>
      </c>
      <c r="J147" s="14">
        <v>7206</v>
      </c>
      <c r="K147" s="14" t="s">
        <v>1033</v>
      </c>
      <c r="L147" s="14" t="s">
        <v>1033</v>
      </c>
      <c r="M147" s="14" t="s">
        <v>1033</v>
      </c>
      <c r="N147" s="14" t="s">
        <v>1033</v>
      </c>
      <c r="O147" s="14" t="s">
        <v>1033</v>
      </c>
      <c r="P147" s="14" t="s">
        <v>1033</v>
      </c>
      <c r="Q147" s="14" t="s">
        <v>1033</v>
      </c>
      <c r="R147" s="14" t="s">
        <v>1033</v>
      </c>
      <c r="S147" s="14" t="s">
        <v>1033</v>
      </c>
      <c r="T147" s="14" t="s">
        <v>1033</v>
      </c>
      <c r="U147" s="14" t="s">
        <v>1033</v>
      </c>
      <c r="V147" s="14" t="s">
        <v>1033</v>
      </c>
      <c r="W147" s="14" t="s">
        <v>1033</v>
      </c>
      <c r="X147" s="14" t="s">
        <v>1033</v>
      </c>
      <c r="Y147" s="14">
        <v>507</v>
      </c>
      <c r="Z147" s="14" t="s">
        <v>1033</v>
      </c>
    </row>
    <row r="148" spans="1:26" x14ac:dyDescent="0.25">
      <c r="A148" s="11" t="s">
        <v>864</v>
      </c>
      <c r="B148" s="11" t="s">
        <v>960</v>
      </c>
      <c r="C148" s="14" t="s">
        <v>1033</v>
      </c>
      <c r="D148" s="14" t="s">
        <v>1033</v>
      </c>
      <c r="E148" s="14" t="s">
        <v>1033</v>
      </c>
      <c r="F148" s="14" t="s">
        <v>1033</v>
      </c>
      <c r="G148" s="14">
        <v>-125</v>
      </c>
      <c r="H148" s="14" t="s">
        <v>1033</v>
      </c>
      <c r="I148" s="14" t="s">
        <v>1033</v>
      </c>
      <c r="J148" s="14" t="s">
        <v>1033</v>
      </c>
      <c r="K148" s="14">
        <v>-2992</v>
      </c>
      <c r="L148" s="14" t="s">
        <v>1033</v>
      </c>
      <c r="M148" s="14" t="s">
        <v>1033</v>
      </c>
      <c r="N148" s="14">
        <v>-2915</v>
      </c>
      <c r="O148" s="14">
        <v>-2468</v>
      </c>
      <c r="P148" s="14" t="s">
        <v>1033</v>
      </c>
      <c r="Q148" s="14" t="s">
        <v>1033</v>
      </c>
      <c r="R148" s="14">
        <v>-2057</v>
      </c>
      <c r="S148" s="14">
        <v>-3386</v>
      </c>
      <c r="T148" s="14">
        <v>-294</v>
      </c>
      <c r="U148" s="14">
        <v>-3678</v>
      </c>
      <c r="V148" s="14">
        <v>-22</v>
      </c>
      <c r="W148" s="14">
        <v>981</v>
      </c>
      <c r="X148" s="14">
        <v>1632</v>
      </c>
      <c r="Y148" s="14" t="s">
        <v>1033</v>
      </c>
      <c r="Z148" s="14">
        <v>-699</v>
      </c>
    </row>
    <row r="149" spans="1:26" x14ac:dyDescent="0.25">
      <c r="A149" s="11" t="s">
        <v>961</v>
      </c>
      <c r="B149" s="11" t="s">
        <v>962</v>
      </c>
      <c r="C149" s="14" t="s">
        <v>1033</v>
      </c>
      <c r="D149" s="14" t="s">
        <v>1033</v>
      </c>
      <c r="E149" s="14" t="s">
        <v>1033</v>
      </c>
      <c r="F149" s="14" t="s">
        <v>1033</v>
      </c>
      <c r="G149" s="14" t="s">
        <v>1033</v>
      </c>
      <c r="H149" s="14" t="s">
        <v>1033</v>
      </c>
      <c r="I149" s="14" t="s">
        <v>1033</v>
      </c>
      <c r="J149" s="14">
        <v>14070</v>
      </c>
      <c r="K149" s="14" t="s">
        <v>1033</v>
      </c>
      <c r="L149" s="14" t="s">
        <v>1033</v>
      </c>
      <c r="M149" s="14" t="s">
        <v>1033</v>
      </c>
      <c r="N149" s="14" t="s">
        <v>1033</v>
      </c>
      <c r="O149" s="14" t="s">
        <v>1033</v>
      </c>
      <c r="P149" s="14" t="s">
        <v>1033</v>
      </c>
      <c r="Q149" s="14" t="s">
        <v>1033</v>
      </c>
      <c r="R149" s="14" t="s">
        <v>1033</v>
      </c>
      <c r="S149" s="14" t="s">
        <v>1033</v>
      </c>
      <c r="T149" s="14" t="s">
        <v>1033</v>
      </c>
      <c r="U149" s="14" t="s">
        <v>1033</v>
      </c>
      <c r="V149" s="14" t="s">
        <v>1033</v>
      </c>
      <c r="W149" s="14" t="s">
        <v>1033</v>
      </c>
      <c r="X149" s="14" t="s">
        <v>1033</v>
      </c>
      <c r="Y149" s="14">
        <v>13060</v>
      </c>
      <c r="Z149" s="14" t="s">
        <v>1033</v>
      </c>
    </row>
    <row r="150" spans="1:26" x14ac:dyDescent="0.25">
      <c r="A150" s="11" t="s">
        <v>963</v>
      </c>
      <c r="B150" s="11" t="s">
        <v>964</v>
      </c>
      <c r="C150" s="14" t="s">
        <v>1033</v>
      </c>
      <c r="D150" s="14" t="s">
        <v>1033</v>
      </c>
      <c r="E150" s="14" t="s">
        <v>1033</v>
      </c>
      <c r="F150" s="14" t="s">
        <v>1033</v>
      </c>
      <c r="G150" s="14" t="s">
        <v>1033</v>
      </c>
      <c r="H150" s="14" t="s">
        <v>1033</v>
      </c>
      <c r="I150" s="14" t="s">
        <v>1033</v>
      </c>
      <c r="J150" s="14">
        <v>64</v>
      </c>
      <c r="K150" s="14" t="s">
        <v>1033</v>
      </c>
      <c r="L150" s="14" t="s">
        <v>1033</v>
      </c>
      <c r="M150" s="14" t="s">
        <v>1033</v>
      </c>
      <c r="N150" s="14" t="s">
        <v>1033</v>
      </c>
      <c r="O150" s="14" t="s">
        <v>1033</v>
      </c>
      <c r="P150" s="14" t="s">
        <v>1033</v>
      </c>
      <c r="Q150" s="14" t="s">
        <v>1033</v>
      </c>
      <c r="R150" s="14" t="s">
        <v>1033</v>
      </c>
      <c r="S150" s="14" t="s">
        <v>1033</v>
      </c>
      <c r="T150" s="14" t="s">
        <v>1033</v>
      </c>
      <c r="U150" s="14" t="s">
        <v>1033</v>
      </c>
      <c r="V150" s="14" t="s">
        <v>1033</v>
      </c>
      <c r="W150" s="14" t="s">
        <v>1033</v>
      </c>
      <c r="X150" s="14" t="s">
        <v>1033</v>
      </c>
      <c r="Y150" s="14">
        <v>77</v>
      </c>
      <c r="Z150" s="14" t="s">
        <v>1033</v>
      </c>
    </row>
    <row r="151" spans="1:26" x14ac:dyDescent="0.25">
      <c r="A151" s="11" t="s">
        <v>965</v>
      </c>
      <c r="B151" s="11" t="s">
        <v>966</v>
      </c>
      <c r="C151" s="14" t="s">
        <v>1033</v>
      </c>
      <c r="D151" s="14" t="s">
        <v>1033</v>
      </c>
      <c r="E151" s="14" t="s">
        <v>1033</v>
      </c>
      <c r="F151" s="14" t="s">
        <v>1033</v>
      </c>
      <c r="G151" s="14" t="s">
        <v>1033</v>
      </c>
      <c r="H151" s="14" t="s">
        <v>1033</v>
      </c>
      <c r="I151" s="14">
        <v>2883.4566</v>
      </c>
      <c r="J151" s="14" t="s">
        <v>1033</v>
      </c>
      <c r="K151" s="14" t="s">
        <v>1033</v>
      </c>
      <c r="L151" s="14" t="s">
        <v>1033</v>
      </c>
      <c r="M151" s="14" t="s">
        <v>1033</v>
      </c>
      <c r="N151" s="14" t="s">
        <v>1033</v>
      </c>
      <c r="O151" s="14" t="s">
        <v>1033</v>
      </c>
      <c r="P151" s="14" t="s">
        <v>1033</v>
      </c>
      <c r="Q151" s="14" t="s">
        <v>1033</v>
      </c>
      <c r="R151" s="14" t="s">
        <v>1033</v>
      </c>
      <c r="S151" s="14" t="s">
        <v>1033</v>
      </c>
      <c r="T151" s="14" t="s">
        <v>1033</v>
      </c>
      <c r="U151" s="14" t="s">
        <v>1033</v>
      </c>
      <c r="V151" s="14" t="s">
        <v>1033</v>
      </c>
      <c r="W151" s="14" t="s">
        <v>1033</v>
      </c>
      <c r="X151" s="14" t="s">
        <v>1033</v>
      </c>
      <c r="Y151" s="14" t="s">
        <v>1033</v>
      </c>
      <c r="Z151" s="14" t="s">
        <v>1033</v>
      </c>
    </row>
    <row r="152" spans="1:26" x14ac:dyDescent="0.25">
      <c r="A152" s="11" t="s">
        <v>967</v>
      </c>
      <c r="B152" s="11" t="s">
        <v>968</v>
      </c>
      <c r="C152" s="15">
        <v>1.9</v>
      </c>
      <c r="D152" s="15" t="s">
        <v>1033</v>
      </c>
      <c r="E152" s="15">
        <v>1.7</v>
      </c>
      <c r="F152" s="15">
        <v>1.2</v>
      </c>
      <c r="G152" s="15">
        <v>1.2</v>
      </c>
      <c r="H152" s="15">
        <v>1.4</v>
      </c>
      <c r="I152" s="15">
        <v>1.2</v>
      </c>
      <c r="J152" s="15">
        <v>1</v>
      </c>
      <c r="K152" s="15">
        <v>1</v>
      </c>
      <c r="L152" s="15">
        <v>1</v>
      </c>
      <c r="M152" s="15">
        <v>1</v>
      </c>
      <c r="N152" s="15">
        <v>1</v>
      </c>
      <c r="O152" s="15">
        <v>1</v>
      </c>
      <c r="P152" s="15">
        <v>1</v>
      </c>
      <c r="Q152" s="15">
        <v>1</v>
      </c>
      <c r="R152" s="15">
        <v>0.9</v>
      </c>
      <c r="S152" s="15">
        <v>1</v>
      </c>
      <c r="T152" s="15">
        <v>1</v>
      </c>
      <c r="U152" s="15">
        <v>0.9</v>
      </c>
      <c r="V152" s="15">
        <v>0.9</v>
      </c>
      <c r="W152" s="15">
        <v>1.1000000000000001</v>
      </c>
      <c r="X152" s="15">
        <v>1.4</v>
      </c>
      <c r="Y152" s="15">
        <v>1.4</v>
      </c>
      <c r="Z152" s="15">
        <v>1.4</v>
      </c>
    </row>
    <row r="153" spans="1:26" x14ac:dyDescent="0.25">
      <c r="A153" s="11" t="s">
        <v>969</v>
      </c>
      <c r="B153" s="11" t="s">
        <v>970</v>
      </c>
      <c r="C153" s="14" t="s">
        <v>1033</v>
      </c>
      <c r="D153" s="14" t="s">
        <v>1033</v>
      </c>
      <c r="E153" s="14" t="s">
        <v>1033</v>
      </c>
      <c r="F153" s="14" t="s">
        <v>1033</v>
      </c>
      <c r="G153" s="14" t="s">
        <v>1033</v>
      </c>
      <c r="H153" s="14" t="s">
        <v>1033</v>
      </c>
      <c r="I153" s="14" t="s">
        <v>1033</v>
      </c>
      <c r="J153" s="14">
        <v>24891</v>
      </c>
      <c r="K153" s="14" t="s">
        <v>1033</v>
      </c>
      <c r="L153" s="14" t="s">
        <v>1033</v>
      </c>
      <c r="M153" s="14" t="s">
        <v>1033</v>
      </c>
      <c r="N153" s="14" t="s">
        <v>1033</v>
      </c>
      <c r="O153" s="14" t="s">
        <v>1033</v>
      </c>
      <c r="P153" s="14" t="s">
        <v>1033</v>
      </c>
      <c r="Q153" s="14" t="s">
        <v>1033</v>
      </c>
      <c r="R153" s="14" t="s">
        <v>1033</v>
      </c>
      <c r="S153" s="14" t="s">
        <v>1033</v>
      </c>
      <c r="T153" s="14" t="s">
        <v>1033</v>
      </c>
      <c r="U153" s="14" t="s">
        <v>1033</v>
      </c>
      <c r="V153" s="14" t="s">
        <v>1033</v>
      </c>
      <c r="W153" s="14" t="s">
        <v>1033</v>
      </c>
      <c r="X153" s="14" t="s">
        <v>1033</v>
      </c>
      <c r="Y153" s="14">
        <v>30488</v>
      </c>
      <c r="Z153" s="14" t="s">
        <v>1033</v>
      </c>
    </row>
    <row r="154" spans="1:26" x14ac:dyDescent="0.25">
      <c r="A154" s="11" t="s">
        <v>971</v>
      </c>
      <c r="B154" s="11" t="s">
        <v>972</v>
      </c>
      <c r="C154" s="14" t="s">
        <v>1033</v>
      </c>
      <c r="D154" s="14" t="s">
        <v>1033</v>
      </c>
      <c r="E154" s="14" t="s">
        <v>1033</v>
      </c>
      <c r="F154" s="14" t="s">
        <v>1033</v>
      </c>
      <c r="G154" s="14" t="s">
        <v>1033</v>
      </c>
      <c r="H154" s="14" t="s">
        <v>1033</v>
      </c>
      <c r="I154" s="14" t="s">
        <v>1033</v>
      </c>
      <c r="J154" s="14" t="s">
        <v>1033</v>
      </c>
      <c r="K154" s="14" t="s">
        <v>1033</v>
      </c>
      <c r="L154" s="14">
        <v>2883.4566</v>
      </c>
      <c r="M154" s="14">
        <v>2883.4566</v>
      </c>
      <c r="N154" s="14" t="s">
        <v>1033</v>
      </c>
      <c r="O154" s="14" t="s">
        <v>1033</v>
      </c>
      <c r="P154" s="14" t="s">
        <v>1033</v>
      </c>
      <c r="Q154" s="14">
        <v>2883.4566</v>
      </c>
      <c r="R154" s="14" t="s">
        <v>1033</v>
      </c>
      <c r="S154" s="14" t="s">
        <v>1033</v>
      </c>
      <c r="T154" s="14">
        <v>2883.4566</v>
      </c>
      <c r="U154" s="14">
        <v>2883.4566</v>
      </c>
      <c r="V154" s="14" t="s">
        <v>1033</v>
      </c>
      <c r="W154" s="14" t="s">
        <v>1033</v>
      </c>
      <c r="X154" s="14">
        <v>2813.1565999999998</v>
      </c>
      <c r="Y154" s="14" t="s">
        <v>1033</v>
      </c>
      <c r="Z154" s="14" t="s">
        <v>1033</v>
      </c>
    </row>
    <row r="155" spans="1:26" x14ac:dyDescent="0.25">
      <c r="A155" s="11" t="s">
        <v>973</v>
      </c>
      <c r="B155" s="11" t="s">
        <v>974</v>
      </c>
      <c r="C155" s="14" t="s">
        <v>1033</v>
      </c>
      <c r="D155" s="14" t="s">
        <v>1033</v>
      </c>
      <c r="E155" s="14" t="s">
        <v>1033</v>
      </c>
      <c r="F155" s="14" t="s">
        <v>1033</v>
      </c>
      <c r="G155" s="14" t="s">
        <v>1033</v>
      </c>
      <c r="H155" s="14" t="s">
        <v>1033</v>
      </c>
      <c r="I155" s="14" t="s">
        <v>1033</v>
      </c>
      <c r="J155" s="14">
        <v>1676</v>
      </c>
      <c r="K155" s="14" t="s">
        <v>1033</v>
      </c>
      <c r="L155" s="14" t="s">
        <v>1033</v>
      </c>
      <c r="M155" s="14" t="s">
        <v>1033</v>
      </c>
      <c r="N155" s="14" t="s">
        <v>1033</v>
      </c>
      <c r="O155" s="14" t="s">
        <v>1033</v>
      </c>
      <c r="P155" s="14" t="s">
        <v>1033</v>
      </c>
      <c r="Q155" s="14" t="s">
        <v>1033</v>
      </c>
      <c r="R155" s="14" t="s">
        <v>1033</v>
      </c>
      <c r="S155" s="14" t="s">
        <v>1033</v>
      </c>
      <c r="T155" s="14" t="s">
        <v>1033</v>
      </c>
      <c r="U155" s="14" t="s">
        <v>1033</v>
      </c>
      <c r="V155" s="14" t="s">
        <v>1033</v>
      </c>
      <c r="W155" s="14" t="s">
        <v>1033</v>
      </c>
      <c r="X155" s="14" t="s">
        <v>1033</v>
      </c>
      <c r="Y155" s="14" t="s">
        <v>1033</v>
      </c>
      <c r="Z155" s="14" t="s">
        <v>1033</v>
      </c>
    </row>
    <row r="156" spans="1:26" x14ac:dyDescent="0.25">
      <c r="A156" s="11" t="s">
        <v>975</v>
      </c>
      <c r="B156" s="11" t="s">
        <v>976</v>
      </c>
      <c r="C156" s="14" t="s">
        <v>1033</v>
      </c>
      <c r="D156" s="14" t="s">
        <v>1033</v>
      </c>
      <c r="E156" s="14" t="s">
        <v>1033</v>
      </c>
      <c r="F156" s="14" t="s">
        <v>1033</v>
      </c>
      <c r="G156" s="14" t="s">
        <v>1033</v>
      </c>
      <c r="H156" s="14" t="s">
        <v>1033</v>
      </c>
      <c r="I156" s="14" t="s">
        <v>1033</v>
      </c>
      <c r="J156" s="14">
        <v>1807</v>
      </c>
      <c r="K156" s="14" t="s">
        <v>1033</v>
      </c>
      <c r="L156" s="14" t="s">
        <v>1033</v>
      </c>
      <c r="M156" s="14" t="s">
        <v>1033</v>
      </c>
      <c r="N156" s="14" t="s">
        <v>1033</v>
      </c>
      <c r="O156" s="14" t="s">
        <v>1033</v>
      </c>
      <c r="P156" s="14" t="s">
        <v>1033</v>
      </c>
      <c r="Q156" s="14" t="s">
        <v>1033</v>
      </c>
      <c r="R156" s="14" t="s">
        <v>1033</v>
      </c>
      <c r="S156" s="14" t="s">
        <v>1033</v>
      </c>
      <c r="T156" s="14" t="s">
        <v>1033</v>
      </c>
      <c r="U156" s="14" t="s">
        <v>1033</v>
      </c>
      <c r="V156" s="14" t="s">
        <v>1033</v>
      </c>
      <c r="W156" s="14" t="s">
        <v>1033</v>
      </c>
      <c r="X156" s="14" t="s">
        <v>1033</v>
      </c>
      <c r="Y156" s="14" t="s">
        <v>1033</v>
      </c>
      <c r="Z156" s="14" t="s">
        <v>1033</v>
      </c>
    </row>
    <row r="157" spans="1:26" x14ac:dyDescent="0.25">
      <c r="A157" s="11" t="s">
        <v>977</v>
      </c>
      <c r="B157" s="11" t="s">
        <v>978</v>
      </c>
      <c r="C157" s="14" t="s">
        <v>1033</v>
      </c>
      <c r="D157" s="14" t="s">
        <v>1033</v>
      </c>
      <c r="E157" s="14" t="s">
        <v>1033</v>
      </c>
      <c r="F157" s="14" t="s">
        <v>1033</v>
      </c>
      <c r="G157" s="14" t="s">
        <v>1033</v>
      </c>
      <c r="H157" s="14" t="s">
        <v>1033</v>
      </c>
      <c r="I157" s="14" t="s">
        <v>1033</v>
      </c>
      <c r="J157" s="14">
        <v>1949</v>
      </c>
      <c r="K157" s="14" t="s">
        <v>1033</v>
      </c>
      <c r="L157" s="14" t="s">
        <v>1033</v>
      </c>
      <c r="M157" s="14" t="s">
        <v>1033</v>
      </c>
      <c r="N157" s="14" t="s">
        <v>1033</v>
      </c>
      <c r="O157" s="14" t="s">
        <v>1033</v>
      </c>
      <c r="P157" s="14" t="s">
        <v>1033</v>
      </c>
      <c r="Q157" s="14" t="s">
        <v>1033</v>
      </c>
      <c r="R157" s="14" t="s">
        <v>1033</v>
      </c>
      <c r="S157" s="14" t="s">
        <v>1033</v>
      </c>
      <c r="T157" s="14" t="s">
        <v>1033</v>
      </c>
      <c r="U157" s="14" t="s">
        <v>1033</v>
      </c>
      <c r="V157" s="14" t="s">
        <v>1033</v>
      </c>
      <c r="W157" s="14" t="s">
        <v>1033</v>
      </c>
      <c r="X157" s="14" t="s">
        <v>1033</v>
      </c>
      <c r="Y157" s="14" t="s">
        <v>1033</v>
      </c>
      <c r="Z157" s="14" t="s">
        <v>1033</v>
      </c>
    </row>
    <row r="158" spans="1:26" x14ac:dyDescent="0.25">
      <c r="A158" s="11" t="s">
        <v>979</v>
      </c>
      <c r="B158" s="11" t="s">
        <v>980</v>
      </c>
      <c r="C158" s="14" t="s">
        <v>1033</v>
      </c>
      <c r="D158" s="14" t="s">
        <v>1033</v>
      </c>
      <c r="E158" s="14" t="s">
        <v>1033</v>
      </c>
      <c r="F158" s="14" t="s">
        <v>1033</v>
      </c>
      <c r="G158" s="14" t="s">
        <v>1033</v>
      </c>
      <c r="H158" s="14" t="s">
        <v>1033</v>
      </c>
      <c r="I158" s="14" t="s">
        <v>1033</v>
      </c>
      <c r="J158" s="14">
        <v>35127</v>
      </c>
      <c r="K158" s="14" t="s">
        <v>1033</v>
      </c>
      <c r="L158" s="14" t="s">
        <v>1033</v>
      </c>
      <c r="M158" s="14" t="s">
        <v>1033</v>
      </c>
      <c r="N158" s="14" t="s">
        <v>1033</v>
      </c>
      <c r="O158" s="14" t="s">
        <v>1033</v>
      </c>
      <c r="P158" s="14" t="s">
        <v>1033</v>
      </c>
      <c r="Q158" s="14" t="s">
        <v>1033</v>
      </c>
      <c r="R158" s="14" t="s">
        <v>1033</v>
      </c>
      <c r="S158" s="14" t="s">
        <v>1033</v>
      </c>
      <c r="T158" s="14" t="s">
        <v>1033</v>
      </c>
      <c r="U158" s="14" t="s">
        <v>1033</v>
      </c>
      <c r="V158" s="14" t="s">
        <v>1033</v>
      </c>
      <c r="W158" s="14" t="s">
        <v>1033</v>
      </c>
      <c r="X158" s="14" t="s">
        <v>1033</v>
      </c>
      <c r="Y158" s="14" t="s">
        <v>1033</v>
      </c>
      <c r="Z158" s="14" t="s">
        <v>1033</v>
      </c>
    </row>
    <row r="159" spans="1:26" x14ac:dyDescent="0.25">
      <c r="A159" s="11" t="s">
        <v>981</v>
      </c>
      <c r="B159" s="11" t="s">
        <v>982</v>
      </c>
      <c r="C159" s="14">
        <v>103152</v>
      </c>
      <c r="D159" s="14" t="s">
        <v>1033</v>
      </c>
      <c r="E159" s="14">
        <v>100589</v>
      </c>
      <c r="F159" s="14">
        <v>117627</v>
      </c>
      <c r="G159" s="14">
        <v>132136</v>
      </c>
      <c r="H159" s="14">
        <v>130003</v>
      </c>
      <c r="I159" s="14">
        <v>125976</v>
      </c>
      <c r="J159" s="14">
        <v>131693</v>
      </c>
      <c r="K159" s="14">
        <v>135082</v>
      </c>
      <c r="L159" s="14">
        <v>114240</v>
      </c>
      <c r="M159" s="14">
        <v>120783</v>
      </c>
      <c r="N159" s="14">
        <v>139804</v>
      </c>
      <c r="O159" s="14">
        <v>140835</v>
      </c>
      <c r="P159" s="14">
        <v>141939</v>
      </c>
      <c r="Q159" s="14">
        <v>139297</v>
      </c>
      <c r="R159" s="14">
        <v>149373</v>
      </c>
      <c r="S159" s="14">
        <v>139171</v>
      </c>
      <c r="T159" s="14">
        <v>138340</v>
      </c>
      <c r="U159" s="14">
        <v>135509</v>
      </c>
      <c r="V159" s="14">
        <v>146262</v>
      </c>
      <c r="W159" s="14">
        <v>142080</v>
      </c>
      <c r="X159" s="14">
        <v>152761</v>
      </c>
      <c r="Y159" s="14">
        <v>131945</v>
      </c>
      <c r="Z159" s="14">
        <v>142204</v>
      </c>
    </row>
    <row r="160" spans="1:26" x14ac:dyDescent="0.25">
      <c r="A160" s="11" t="s">
        <v>983</v>
      </c>
      <c r="B160" s="11" t="s">
        <v>984</v>
      </c>
      <c r="C160" s="15">
        <v>13.26</v>
      </c>
      <c r="D160" s="15" t="s">
        <v>1033</v>
      </c>
      <c r="E160" s="15">
        <v>12.16</v>
      </c>
      <c r="F160" s="15">
        <v>13.18</v>
      </c>
      <c r="G160" s="15">
        <v>15</v>
      </c>
      <c r="H160" s="15">
        <v>15.18</v>
      </c>
      <c r="I160" s="15">
        <v>14.86</v>
      </c>
      <c r="J160" s="15">
        <v>15.32</v>
      </c>
      <c r="K160" s="15">
        <v>16.32</v>
      </c>
      <c r="L160" s="15">
        <v>13.74</v>
      </c>
      <c r="M160" s="15">
        <v>14.71</v>
      </c>
      <c r="N160" s="15">
        <v>15.39</v>
      </c>
      <c r="O160" s="15">
        <v>15.42</v>
      </c>
      <c r="P160" s="15">
        <v>15.68</v>
      </c>
      <c r="Q160" s="15">
        <v>14.72</v>
      </c>
      <c r="R160" s="15">
        <v>15.51</v>
      </c>
      <c r="S160" s="15">
        <v>14.08</v>
      </c>
      <c r="T160" s="15">
        <v>13.87</v>
      </c>
      <c r="U160" s="15">
        <v>13.21</v>
      </c>
      <c r="V160" s="15">
        <v>14.4</v>
      </c>
      <c r="W160" s="15">
        <v>13.96</v>
      </c>
      <c r="X160" s="15">
        <v>14.82</v>
      </c>
      <c r="Y160" s="15">
        <v>12.61</v>
      </c>
      <c r="Z160" s="15">
        <v>12.74</v>
      </c>
    </row>
    <row r="161" spans="1:26" x14ac:dyDescent="0.25">
      <c r="A161" s="11" t="s">
        <v>985</v>
      </c>
      <c r="B161" s="11" t="s">
        <v>986</v>
      </c>
      <c r="C161" s="14" t="s">
        <v>1033</v>
      </c>
      <c r="D161" s="14" t="s">
        <v>1033</v>
      </c>
      <c r="E161" s="14" t="s">
        <v>1033</v>
      </c>
      <c r="F161" s="14" t="s">
        <v>1033</v>
      </c>
      <c r="G161" s="14" t="s">
        <v>1033</v>
      </c>
      <c r="H161" s="14" t="s">
        <v>1033</v>
      </c>
      <c r="I161" s="14" t="s">
        <v>1033</v>
      </c>
      <c r="J161" s="14">
        <v>6622</v>
      </c>
      <c r="K161" s="14" t="s">
        <v>1033</v>
      </c>
      <c r="L161" s="14" t="s">
        <v>1033</v>
      </c>
      <c r="M161" s="14" t="s">
        <v>1033</v>
      </c>
      <c r="N161" s="14" t="s">
        <v>1033</v>
      </c>
      <c r="O161" s="14" t="s">
        <v>1033</v>
      </c>
      <c r="P161" s="14" t="s">
        <v>1033</v>
      </c>
      <c r="Q161" s="14" t="s">
        <v>1033</v>
      </c>
      <c r="R161" s="14" t="s">
        <v>1033</v>
      </c>
      <c r="S161" s="14" t="s">
        <v>1033</v>
      </c>
      <c r="T161" s="14" t="s">
        <v>1033</v>
      </c>
      <c r="U161" s="14" t="s">
        <v>1033</v>
      </c>
      <c r="V161" s="14" t="s">
        <v>1033</v>
      </c>
      <c r="W161" s="14" t="s">
        <v>1033</v>
      </c>
      <c r="X161" s="14" t="s">
        <v>1033</v>
      </c>
      <c r="Y161" s="14">
        <v>230</v>
      </c>
      <c r="Z161" s="14" t="s">
        <v>1033</v>
      </c>
    </row>
    <row r="162" spans="1:26" x14ac:dyDescent="0.25">
      <c r="A162" s="11" t="s">
        <v>987</v>
      </c>
      <c r="B162" s="11" t="s">
        <v>988</v>
      </c>
      <c r="C162" s="14" t="s">
        <v>1033</v>
      </c>
      <c r="D162" s="14" t="s">
        <v>1033</v>
      </c>
      <c r="E162" s="14" t="s">
        <v>1033</v>
      </c>
      <c r="F162" s="14" t="s">
        <v>1033</v>
      </c>
      <c r="G162" s="14" t="s">
        <v>1033</v>
      </c>
      <c r="H162" s="14" t="s">
        <v>1033</v>
      </c>
      <c r="I162" s="14" t="s">
        <v>1033</v>
      </c>
      <c r="J162" s="14">
        <v>7993</v>
      </c>
      <c r="K162" s="14" t="s">
        <v>1033</v>
      </c>
      <c r="L162" s="14" t="s">
        <v>1033</v>
      </c>
      <c r="M162" s="14" t="s">
        <v>1033</v>
      </c>
      <c r="N162" s="14" t="s">
        <v>1033</v>
      </c>
      <c r="O162" s="14" t="s">
        <v>1033</v>
      </c>
      <c r="P162" s="14" t="s">
        <v>1033</v>
      </c>
      <c r="Q162" s="14" t="s">
        <v>1033</v>
      </c>
      <c r="R162" s="14" t="s">
        <v>1033</v>
      </c>
      <c r="S162" s="14" t="s">
        <v>1033</v>
      </c>
      <c r="T162" s="14" t="s">
        <v>1033</v>
      </c>
      <c r="U162" s="14" t="s">
        <v>1033</v>
      </c>
      <c r="V162" s="14" t="s">
        <v>1033</v>
      </c>
      <c r="W162" s="14" t="s">
        <v>1033</v>
      </c>
      <c r="X162" s="14" t="s">
        <v>1033</v>
      </c>
      <c r="Y162" s="14">
        <v>511</v>
      </c>
      <c r="Z162" s="14" t="s">
        <v>1033</v>
      </c>
    </row>
    <row r="163" spans="1:26" x14ac:dyDescent="0.25">
      <c r="A163" s="11" t="s">
        <v>989</v>
      </c>
      <c r="B163" s="11" t="s">
        <v>990</v>
      </c>
      <c r="C163" s="14" t="s">
        <v>1033</v>
      </c>
      <c r="D163" s="14" t="s">
        <v>1033</v>
      </c>
      <c r="E163" s="14" t="s">
        <v>1033</v>
      </c>
      <c r="F163" s="14" t="s">
        <v>1033</v>
      </c>
      <c r="G163" s="14" t="s">
        <v>1033</v>
      </c>
      <c r="H163" s="14" t="s">
        <v>1033</v>
      </c>
      <c r="I163" s="14" t="s">
        <v>1033</v>
      </c>
      <c r="J163" s="14">
        <v>20228</v>
      </c>
      <c r="K163" s="14" t="s">
        <v>1033</v>
      </c>
      <c r="L163" s="14" t="s">
        <v>1033</v>
      </c>
      <c r="M163" s="14" t="s">
        <v>1033</v>
      </c>
      <c r="N163" s="14" t="s">
        <v>1033</v>
      </c>
      <c r="O163" s="14" t="s">
        <v>1033</v>
      </c>
      <c r="P163" s="14" t="s">
        <v>1033</v>
      </c>
      <c r="Q163" s="14" t="s">
        <v>1033</v>
      </c>
      <c r="R163" s="14" t="s">
        <v>1033</v>
      </c>
      <c r="S163" s="14" t="s">
        <v>1033</v>
      </c>
      <c r="T163" s="14" t="s">
        <v>1033</v>
      </c>
      <c r="U163" s="14" t="s">
        <v>1033</v>
      </c>
      <c r="V163" s="14" t="s">
        <v>1033</v>
      </c>
      <c r="W163" s="14" t="s">
        <v>1033</v>
      </c>
      <c r="X163" s="14" t="s">
        <v>1033</v>
      </c>
      <c r="Y163" s="14">
        <v>15051</v>
      </c>
      <c r="Z163" s="14" t="s">
        <v>1033</v>
      </c>
    </row>
    <row r="164" spans="1:26" x14ac:dyDescent="0.25">
      <c r="A164" s="11" t="s">
        <v>991</v>
      </c>
      <c r="B164" s="11" t="s">
        <v>992</v>
      </c>
      <c r="C164" s="14" t="s">
        <v>1033</v>
      </c>
      <c r="D164" s="14" t="s">
        <v>1033</v>
      </c>
      <c r="E164" s="14" t="s">
        <v>1033</v>
      </c>
      <c r="F164" s="14" t="s">
        <v>1033</v>
      </c>
      <c r="G164" s="14" t="s">
        <v>1033</v>
      </c>
      <c r="H164" s="14" t="s">
        <v>1033</v>
      </c>
      <c r="I164" s="14" t="s">
        <v>1033</v>
      </c>
      <c r="J164" s="14">
        <v>14449</v>
      </c>
      <c r="K164" s="14" t="s">
        <v>1033</v>
      </c>
      <c r="L164" s="14" t="s">
        <v>1033</v>
      </c>
      <c r="M164" s="14" t="s">
        <v>1033</v>
      </c>
      <c r="N164" s="14" t="s">
        <v>1033</v>
      </c>
      <c r="O164" s="14" t="s">
        <v>1033</v>
      </c>
      <c r="P164" s="14" t="s">
        <v>1033</v>
      </c>
      <c r="Q164" s="14" t="s">
        <v>1033</v>
      </c>
      <c r="R164" s="14" t="s">
        <v>1033</v>
      </c>
      <c r="S164" s="14" t="s">
        <v>1033</v>
      </c>
      <c r="T164" s="14" t="s">
        <v>1033</v>
      </c>
      <c r="U164" s="14" t="s">
        <v>1033</v>
      </c>
      <c r="V164" s="14" t="s">
        <v>1033</v>
      </c>
      <c r="W164" s="14" t="s">
        <v>1033</v>
      </c>
      <c r="X164" s="14" t="s">
        <v>1033</v>
      </c>
      <c r="Y164" s="14">
        <v>3195</v>
      </c>
      <c r="Z164" s="14" t="s">
        <v>1033</v>
      </c>
    </row>
    <row r="165" spans="1:26" x14ac:dyDescent="0.25">
      <c r="A165" s="11" t="s">
        <v>993</v>
      </c>
      <c r="B165" s="11" t="s">
        <v>994</v>
      </c>
      <c r="C165" s="14" t="s">
        <v>1033</v>
      </c>
      <c r="D165" s="14" t="s">
        <v>1033</v>
      </c>
      <c r="E165" s="14" t="s">
        <v>1033</v>
      </c>
      <c r="F165" s="14" t="s">
        <v>1033</v>
      </c>
      <c r="G165" s="14" t="s">
        <v>1033</v>
      </c>
      <c r="H165" s="14" t="s">
        <v>1033</v>
      </c>
      <c r="I165" s="14" t="s">
        <v>1033</v>
      </c>
      <c r="J165" s="14">
        <v>5519</v>
      </c>
      <c r="K165" s="14" t="s">
        <v>1033</v>
      </c>
      <c r="L165" s="14" t="s">
        <v>1033</v>
      </c>
      <c r="M165" s="14" t="s">
        <v>1033</v>
      </c>
      <c r="N165" s="14" t="s">
        <v>1033</v>
      </c>
      <c r="O165" s="14" t="s">
        <v>1033</v>
      </c>
      <c r="P165" s="14" t="s">
        <v>1033</v>
      </c>
      <c r="Q165" s="14" t="s">
        <v>1033</v>
      </c>
      <c r="R165" s="14" t="s">
        <v>1033</v>
      </c>
      <c r="S165" s="14" t="s">
        <v>1033</v>
      </c>
      <c r="T165" s="14" t="s">
        <v>1033</v>
      </c>
      <c r="U165" s="14" t="s">
        <v>1033</v>
      </c>
      <c r="V165" s="14" t="s">
        <v>1033</v>
      </c>
      <c r="W165" s="14" t="s">
        <v>1033</v>
      </c>
      <c r="X165" s="14" t="s">
        <v>1033</v>
      </c>
      <c r="Y165" s="14">
        <v>13</v>
      </c>
      <c r="Z165" s="14" t="s">
        <v>1033</v>
      </c>
    </row>
    <row r="166" spans="1:26" x14ac:dyDescent="0.25">
      <c r="A166" s="11" t="s">
        <v>995</v>
      </c>
      <c r="B166" s="11" t="s">
        <v>996</v>
      </c>
      <c r="C166" s="14">
        <v>25889</v>
      </c>
      <c r="D166" s="14" t="s">
        <v>1033</v>
      </c>
      <c r="E166" s="14" t="s">
        <v>1033</v>
      </c>
      <c r="F166" s="14" t="s">
        <v>1033</v>
      </c>
      <c r="G166" s="14" t="s">
        <v>1033</v>
      </c>
      <c r="H166" s="14" t="s">
        <v>1033</v>
      </c>
      <c r="I166" s="14" t="s">
        <v>1033</v>
      </c>
      <c r="J166" s="14">
        <v>28020</v>
      </c>
      <c r="K166" s="14" t="s">
        <v>1033</v>
      </c>
      <c r="L166" s="14" t="s">
        <v>1033</v>
      </c>
      <c r="M166" s="14" t="s">
        <v>1033</v>
      </c>
      <c r="N166" s="14" t="s">
        <v>1033</v>
      </c>
      <c r="O166" s="14" t="s">
        <v>1033</v>
      </c>
      <c r="P166" s="14" t="s">
        <v>1033</v>
      </c>
      <c r="Q166" s="14" t="s">
        <v>1033</v>
      </c>
      <c r="R166" s="14" t="s">
        <v>1033</v>
      </c>
      <c r="S166" s="14" t="s">
        <v>1033</v>
      </c>
      <c r="T166" s="14" t="s">
        <v>1033</v>
      </c>
      <c r="U166" s="14" t="s">
        <v>1033</v>
      </c>
      <c r="V166" s="14" t="s">
        <v>1033</v>
      </c>
      <c r="W166" s="14" t="s">
        <v>1033</v>
      </c>
      <c r="X166" s="14" t="s">
        <v>1033</v>
      </c>
      <c r="Y166" s="14" t="s">
        <v>1033</v>
      </c>
      <c r="Z166" s="14" t="s">
        <v>1033</v>
      </c>
    </row>
    <row r="167" spans="1:26" x14ac:dyDescent="0.25">
      <c r="A167" s="11" t="s">
        <v>997</v>
      </c>
      <c r="B167" s="11" t="s">
        <v>998</v>
      </c>
      <c r="C167" s="15" t="s">
        <v>1033</v>
      </c>
      <c r="D167" s="15" t="s">
        <v>1033</v>
      </c>
      <c r="E167" s="15" t="s">
        <v>1033</v>
      </c>
      <c r="F167" s="15" t="s">
        <v>1033</v>
      </c>
      <c r="G167" s="15" t="s">
        <v>1033</v>
      </c>
      <c r="H167" s="15" t="s">
        <v>1033</v>
      </c>
      <c r="I167" s="15" t="s">
        <v>1033</v>
      </c>
      <c r="J167" s="15">
        <v>9668</v>
      </c>
      <c r="K167" s="15" t="s">
        <v>1033</v>
      </c>
      <c r="L167" s="15" t="s">
        <v>1033</v>
      </c>
      <c r="M167" s="15" t="s">
        <v>1033</v>
      </c>
      <c r="N167" s="15" t="s">
        <v>1033</v>
      </c>
      <c r="O167" s="15" t="s">
        <v>1033</v>
      </c>
      <c r="P167" s="15" t="s">
        <v>1033</v>
      </c>
      <c r="Q167" s="15" t="s">
        <v>1033</v>
      </c>
      <c r="R167" s="15" t="s">
        <v>1033</v>
      </c>
      <c r="S167" s="15" t="s">
        <v>1033</v>
      </c>
      <c r="T167" s="15" t="s">
        <v>1033</v>
      </c>
      <c r="U167" s="15" t="s">
        <v>1033</v>
      </c>
      <c r="V167" s="15" t="s">
        <v>1033</v>
      </c>
      <c r="W167" s="15" t="s">
        <v>1033</v>
      </c>
      <c r="X167" s="15" t="s">
        <v>1033</v>
      </c>
      <c r="Y167" s="15" t="s">
        <v>1033</v>
      </c>
      <c r="Z167" s="15" t="s">
        <v>1033</v>
      </c>
    </row>
    <row r="168" spans="1:26" x14ac:dyDescent="0.25">
      <c r="A168" s="11" t="s">
        <v>999</v>
      </c>
      <c r="B168" s="11" t="s">
        <v>1000</v>
      </c>
      <c r="C168" s="14" t="s">
        <v>1033</v>
      </c>
      <c r="D168" s="14" t="s">
        <v>1033</v>
      </c>
      <c r="E168" s="14" t="s">
        <v>1033</v>
      </c>
      <c r="F168" s="14" t="s">
        <v>1033</v>
      </c>
      <c r="G168" s="14" t="s">
        <v>1033</v>
      </c>
      <c r="H168" s="14" t="s">
        <v>1033</v>
      </c>
      <c r="I168" s="14" t="s">
        <v>1033</v>
      </c>
      <c r="J168" s="14">
        <v>1055</v>
      </c>
      <c r="K168" s="14" t="s">
        <v>1033</v>
      </c>
      <c r="L168" s="14" t="s">
        <v>1033</v>
      </c>
      <c r="M168" s="14" t="s">
        <v>1033</v>
      </c>
      <c r="N168" s="14" t="s">
        <v>1033</v>
      </c>
      <c r="O168" s="14" t="s">
        <v>1033</v>
      </c>
      <c r="P168" s="14" t="s">
        <v>1033</v>
      </c>
      <c r="Q168" s="14" t="s">
        <v>1033</v>
      </c>
      <c r="R168" s="14" t="s">
        <v>1033</v>
      </c>
      <c r="S168" s="14" t="s">
        <v>1033</v>
      </c>
      <c r="T168" s="14" t="s">
        <v>1033</v>
      </c>
      <c r="U168" s="14" t="s">
        <v>1033</v>
      </c>
      <c r="V168" s="14" t="s">
        <v>1033</v>
      </c>
      <c r="W168" s="14" t="s">
        <v>1033</v>
      </c>
      <c r="X168" s="14" t="s">
        <v>1033</v>
      </c>
      <c r="Y168" s="14">
        <v>3002</v>
      </c>
      <c r="Z168" s="14" t="s">
        <v>1033</v>
      </c>
    </row>
    <row r="169" spans="1:26" x14ac:dyDescent="0.25">
      <c r="A169" s="11" t="s">
        <v>1001</v>
      </c>
      <c r="B169" s="11" t="s">
        <v>1002</v>
      </c>
      <c r="C169" s="14" t="s">
        <v>1033</v>
      </c>
      <c r="D169" s="14" t="s">
        <v>1033</v>
      </c>
      <c r="E169" s="14" t="s">
        <v>1033</v>
      </c>
      <c r="F169" s="14" t="s">
        <v>1033</v>
      </c>
      <c r="G169" s="14" t="s">
        <v>1033</v>
      </c>
      <c r="H169" s="14" t="s">
        <v>1033</v>
      </c>
      <c r="I169" s="14" t="s">
        <v>1033</v>
      </c>
      <c r="J169" s="14">
        <v>1052</v>
      </c>
      <c r="K169" s="14" t="s">
        <v>1033</v>
      </c>
      <c r="L169" s="14" t="s">
        <v>1033</v>
      </c>
      <c r="M169" s="14" t="s">
        <v>1033</v>
      </c>
      <c r="N169" s="14" t="s">
        <v>1033</v>
      </c>
      <c r="O169" s="14" t="s">
        <v>1033</v>
      </c>
      <c r="P169" s="14" t="s">
        <v>1033</v>
      </c>
      <c r="Q169" s="14" t="s">
        <v>1033</v>
      </c>
      <c r="R169" s="14" t="s">
        <v>1033</v>
      </c>
      <c r="S169" s="14" t="s">
        <v>1033</v>
      </c>
      <c r="T169" s="14" t="s">
        <v>1033</v>
      </c>
      <c r="U169" s="14" t="s">
        <v>1033</v>
      </c>
      <c r="V169" s="14" t="s">
        <v>1033</v>
      </c>
      <c r="W169" s="14" t="s">
        <v>1033</v>
      </c>
      <c r="X169" s="14" t="s">
        <v>1033</v>
      </c>
      <c r="Y169" s="14">
        <v>3002</v>
      </c>
      <c r="Z169" s="14" t="s">
        <v>1033</v>
      </c>
    </row>
    <row r="170" spans="1:26" x14ac:dyDescent="0.25">
      <c r="A170" s="11" t="s">
        <v>1003</v>
      </c>
      <c r="B170" s="11" t="s">
        <v>1004</v>
      </c>
      <c r="C170" s="14" t="s">
        <v>1033</v>
      </c>
      <c r="D170" s="14" t="s">
        <v>1033</v>
      </c>
      <c r="E170" s="14" t="s">
        <v>1033</v>
      </c>
      <c r="F170" s="14" t="s">
        <v>1033</v>
      </c>
      <c r="G170" s="14" t="s">
        <v>1033</v>
      </c>
      <c r="H170" s="14" t="s">
        <v>1033</v>
      </c>
      <c r="I170" s="14" t="s">
        <v>1033</v>
      </c>
      <c r="J170" s="14">
        <v>0</v>
      </c>
      <c r="K170" s="14" t="s">
        <v>1033</v>
      </c>
      <c r="L170" s="14" t="s">
        <v>1033</v>
      </c>
      <c r="M170" s="14" t="s">
        <v>1033</v>
      </c>
      <c r="N170" s="14" t="s">
        <v>1033</v>
      </c>
      <c r="O170" s="14" t="s">
        <v>1033</v>
      </c>
      <c r="P170" s="14" t="s">
        <v>1033</v>
      </c>
      <c r="Q170" s="14" t="s">
        <v>1033</v>
      </c>
      <c r="R170" s="14" t="s">
        <v>1033</v>
      </c>
      <c r="S170" s="14" t="s">
        <v>1033</v>
      </c>
      <c r="T170" s="14" t="s">
        <v>1033</v>
      </c>
      <c r="U170" s="14" t="s">
        <v>1033</v>
      </c>
      <c r="V170" s="14" t="s">
        <v>1033</v>
      </c>
      <c r="W170" s="14" t="s">
        <v>1033</v>
      </c>
      <c r="X170" s="14" t="s">
        <v>1033</v>
      </c>
      <c r="Y170" s="14" t="s">
        <v>1033</v>
      </c>
      <c r="Z170" s="14" t="s">
        <v>1033</v>
      </c>
    </row>
    <row r="171" spans="1:26" x14ac:dyDescent="0.25">
      <c r="A171" s="11" t="s">
        <v>1005</v>
      </c>
      <c r="B171" s="11" t="s">
        <v>1006</v>
      </c>
      <c r="C171" s="14" t="s">
        <v>1033</v>
      </c>
      <c r="D171" s="14" t="s">
        <v>1033</v>
      </c>
      <c r="E171" s="14" t="s">
        <v>1033</v>
      </c>
      <c r="F171" s="14" t="s">
        <v>1033</v>
      </c>
      <c r="G171" s="14" t="s">
        <v>1033</v>
      </c>
      <c r="H171" s="14" t="s">
        <v>1033</v>
      </c>
      <c r="I171" s="14" t="s">
        <v>1033</v>
      </c>
      <c r="J171" s="14">
        <v>5519</v>
      </c>
      <c r="K171" s="14" t="s">
        <v>1033</v>
      </c>
      <c r="L171" s="14" t="s">
        <v>1033</v>
      </c>
      <c r="M171" s="14" t="s">
        <v>1033</v>
      </c>
      <c r="N171" s="14" t="s">
        <v>1033</v>
      </c>
      <c r="O171" s="14" t="s">
        <v>1033</v>
      </c>
      <c r="P171" s="14" t="s">
        <v>1033</v>
      </c>
      <c r="Q171" s="14" t="s">
        <v>1033</v>
      </c>
      <c r="R171" s="14" t="s">
        <v>1033</v>
      </c>
      <c r="S171" s="14" t="s">
        <v>1033</v>
      </c>
      <c r="T171" s="14" t="s">
        <v>1033</v>
      </c>
      <c r="U171" s="14" t="s">
        <v>1033</v>
      </c>
      <c r="V171" s="14" t="s">
        <v>1033</v>
      </c>
      <c r="W171" s="14" t="s">
        <v>1033</v>
      </c>
      <c r="X171" s="14" t="s">
        <v>1033</v>
      </c>
      <c r="Y171" s="14">
        <v>4577</v>
      </c>
      <c r="Z171" s="14" t="s">
        <v>1033</v>
      </c>
    </row>
    <row r="172" spans="1:26" x14ac:dyDescent="0.25">
      <c r="A172" s="11" t="s">
        <v>1007</v>
      </c>
      <c r="B172" s="11" t="s">
        <v>1008</v>
      </c>
      <c r="C172" s="14" t="s">
        <v>1033</v>
      </c>
      <c r="D172" s="14" t="s">
        <v>1033</v>
      </c>
      <c r="E172" s="14" t="s">
        <v>1033</v>
      </c>
      <c r="F172" s="14" t="s">
        <v>1033</v>
      </c>
      <c r="G172" s="14" t="s">
        <v>1033</v>
      </c>
      <c r="H172" s="14" t="s">
        <v>1033</v>
      </c>
      <c r="I172" s="14" t="s">
        <v>1033</v>
      </c>
      <c r="J172" s="14">
        <v>26941</v>
      </c>
      <c r="K172" s="14" t="s">
        <v>1033</v>
      </c>
      <c r="L172" s="14" t="s">
        <v>1033</v>
      </c>
      <c r="M172" s="14" t="s">
        <v>1033</v>
      </c>
      <c r="N172" s="14" t="s">
        <v>1033</v>
      </c>
      <c r="O172" s="14" t="s">
        <v>1033</v>
      </c>
      <c r="P172" s="14" t="s">
        <v>1033</v>
      </c>
      <c r="Q172" s="14" t="s">
        <v>1033</v>
      </c>
      <c r="R172" s="14" t="s">
        <v>1033</v>
      </c>
      <c r="S172" s="14" t="s">
        <v>1033</v>
      </c>
      <c r="T172" s="14" t="s">
        <v>1033</v>
      </c>
      <c r="U172" s="14" t="s">
        <v>1033</v>
      </c>
      <c r="V172" s="14" t="s">
        <v>1033</v>
      </c>
      <c r="W172" s="14" t="s">
        <v>1033</v>
      </c>
      <c r="X172" s="14" t="s">
        <v>1033</v>
      </c>
      <c r="Y172" s="14">
        <v>15281</v>
      </c>
      <c r="Z172" s="14" t="s">
        <v>1033</v>
      </c>
    </row>
    <row r="173" spans="1:26" x14ac:dyDescent="0.25">
      <c r="A173" s="11" t="s">
        <v>1009</v>
      </c>
      <c r="B173" s="11" t="s">
        <v>1010</v>
      </c>
      <c r="C173" s="14" t="s">
        <v>1033</v>
      </c>
      <c r="D173" s="14" t="s">
        <v>1033</v>
      </c>
      <c r="E173" s="14" t="s">
        <v>1033</v>
      </c>
      <c r="F173" s="14" t="s">
        <v>1033</v>
      </c>
      <c r="G173" s="14" t="s">
        <v>1033</v>
      </c>
      <c r="H173" s="14" t="s">
        <v>1033</v>
      </c>
      <c r="I173" s="14" t="s">
        <v>1033</v>
      </c>
      <c r="J173" s="14">
        <v>22442</v>
      </c>
      <c r="K173" s="14" t="s">
        <v>1033</v>
      </c>
      <c r="L173" s="14" t="s">
        <v>1033</v>
      </c>
      <c r="M173" s="14" t="s">
        <v>1033</v>
      </c>
      <c r="N173" s="14" t="s">
        <v>1033</v>
      </c>
      <c r="O173" s="14" t="s">
        <v>1033</v>
      </c>
      <c r="P173" s="14" t="s">
        <v>1033</v>
      </c>
      <c r="Q173" s="14" t="s">
        <v>1033</v>
      </c>
      <c r="R173" s="14" t="s">
        <v>1033</v>
      </c>
      <c r="S173" s="14" t="s">
        <v>1033</v>
      </c>
      <c r="T173" s="14" t="s">
        <v>1033</v>
      </c>
      <c r="U173" s="14" t="s">
        <v>1033</v>
      </c>
      <c r="V173" s="14" t="s">
        <v>1033</v>
      </c>
      <c r="W173" s="14" t="s">
        <v>1033</v>
      </c>
      <c r="X173" s="14" t="s">
        <v>1033</v>
      </c>
      <c r="Y173" s="14">
        <v>8283</v>
      </c>
      <c r="Z173" s="14" t="s">
        <v>1033</v>
      </c>
    </row>
    <row r="174" spans="1:26" x14ac:dyDescent="0.25">
      <c r="A174" s="11" t="s">
        <v>1011</v>
      </c>
      <c r="B174" s="11" t="s">
        <v>1012</v>
      </c>
      <c r="C174" s="15">
        <v>140.69999999999999</v>
      </c>
      <c r="D174" s="15" t="s">
        <v>1033</v>
      </c>
      <c r="E174" s="15">
        <v>120.1</v>
      </c>
      <c r="F174" s="15">
        <v>150.80000000000001</v>
      </c>
      <c r="G174" s="15">
        <v>207.6</v>
      </c>
      <c r="H174" s="15">
        <v>210.2</v>
      </c>
      <c r="I174" s="15">
        <v>183.7</v>
      </c>
      <c r="J174" s="15">
        <v>201.7</v>
      </c>
      <c r="K174" s="15">
        <v>221.9</v>
      </c>
      <c r="L174" s="15">
        <v>176.6</v>
      </c>
      <c r="M174" s="15">
        <v>160.4</v>
      </c>
      <c r="N174" s="15">
        <v>154.80000000000001</v>
      </c>
      <c r="O174" s="15">
        <v>169.8</v>
      </c>
      <c r="P174" s="15">
        <v>175.3</v>
      </c>
      <c r="Q174" s="15">
        <v>160.5</v>
      </c>
      <c r="R174" s="15">
        <v>177.7</v>
      </c>
      <c r="S174" s="15">
        <v>166.5</v>
      </c>
      <c r="T174" s="15">
        <v>156.30000000000001</v>
      </c>
      <c r="U174" s="15">
        <v>164.2</v>
      </c>
      <c r="V174" s="15">
        <v>183.5</v>
      </c>
      <c r="W174" s="15">
        <v>184</v>
      </c>
      <c r="X174" s="15">
        <v>175.8</v>
      </c>
      <c r="Y174" s="15">
        <v>162.4</v>
      </c>
      <c r="Z174" s="15">
        <v>162.6</v>
      </c>
    </row>
    <row r="175" spans="1:26" x14ac:dyDescent="0.25">
      <c r="A175" s="11" t="s">
        <v>1013</v>
      </c>
      <c r="B175" s="11" t="s">
        <v>1014</v>
      </c>
      <c r="C175" s="15" t="s">
        <v>1033</v>
      </c>
      <c r="D175" s="15" t="s">
        <v>1033</v>
      </c>
      <c r="E175" s="15" t="s">
        <v>1033</v>
      </c>
      <c r="F175" s="15" t="s">
        <v>1033</v>
      </c>
      <c r="G175" s="15" t="s">
        <v>1033</v>
      </c>
      <c r="H175" s="15" t="s">
        <v>1033</v>
      </c>
      <c r="I175" s="15" t="s">
        <v>1033</v>
      </c>
      <c r="J175" s="15" t="s">
        <v>1033</v>
      </c>
      <c r="K175" s="15" t="s">
        <v>1033</v>
      </c>
      <c r="L175" s="15" t="s">
        <v>1033</v>
      </c>
      <c r="M175" s="15" t="s">
        <v>1033</v>
      </c>
      <c r="N175" s="15" t="s">
        <v>1033</v>
      </c>
      <c r="O175" s="15" t="s">
        <v>1033</v>
      </c>
      <c r="P175" s="15" t="s">
        <v>1033</v>
      </c>
      <c r="Q175" s="15" t="s">
        <v>1033</v>
      </c>
      <c r="R175" s="15" t="s">
        <v>1033</v>
      </c>
      <c r="S175" s="15" t="s">
        <v>1033</v>
      </c>
      <c r="T175" s="15" t="s">
        <v>1033</v>
      </c>
      <c r="U175" s="15" t="s">
        <v>1033</v>
      </c>
      <c r="V175" s="15" t="s">
        <v>1033</v>
      </c>
      <c r="W175" s="15" t="s">
        <v>1033</v>
      </c>
      <c r="X175" s="15" t="s">
        <v>1033</v>
      </c>
      <c r="Y175" s="15">
        <v>135.1</v>
      </c>
      <c r="Z175" s="15" t="s">
        <v>1033</v>
      </c>
    </row>
    <row r="176" spans="1:26" x14ac:dyDescent="0.25">
      <c r="A176" s="11" t="s">
        <v>791</v>
      </c>
      <c r="B176" s="11" t="s">
        <v>1015</v>
      </c>
      <c r="C176" s="14" t="s">
        <v>1033</v>
      </c>
      <c r="D176" s="14" t="s">
        <v>1033</v>
      </c>
      <c r="E176" s="14" t="s">
        <v>1033</v>
      </c>
      <c r="F176" s="14" t="s">
        <v>1033</v>
      </c>
      <c r="G176" s="14" t="s">
        <v>1033</v>
      </c>
      <c r="H176" s="14" t="s">
        <v>1033</v>
      </c>
      <c r="I176" s="14" t="s">
        <v>1033</v>
      </c>
      <c r="J176" s="14" t="s">
        <v>1033</v>
      </c>
      <c r="K176" s="14" t="s">
        <v>1033</v>
      </c>
      <c r="L176" s="14" t="s">
        <v>1033</v>
      </c>
      <c r="M176" s="14" t="s">
        <v>1033</v>
      </c>
      <c r="N176" s="14" t="s">
        <v>1033</v>
      </c>
      <c r="O176" s="14">
        <v>104158</v>
      </c>
      <c r="P176" s="14" t="s">
        <v>1033</v>
      </c>
      <c r="Q176" s="14" t="s">
        <v>1033</v>
      </c>
      <c r="R176" s="14" t="s">
        <v>1033</v>
      </c>
      <c r="S176" s="14" t="s">
        <v>1033</v>
      </c>
      <c r="T176" s="14" t="s">
        <v>1033</v>
      </c>
      <c r="U176" s="14" t="s">
        <v>1033</v>
      </c>
      <c r="V176" s="14" t="s">
        <v>1033</v>
      </c>
      <c r="W176" s="14" t="s">
        <v>1033</v>
      </c>
      <c r="X176" s="14" t="s">
        <v>1033</v>
      </c>
      <c r="Y176" s="14" t="s">
        <v>1033</v>
      </c>
      <c r="Z176" s="14" t="s">
        <v>1033</v>
      </c>
    </row>
    <row r="177" spans="1:26" x14ac:dyDescent="0.25">
      <c r="A177" s="11" t="s">
        <v>1016</v>
      </c>
      <c r="B177" s="11" t="s">
        <v>1017</v>
      </c>
      <c r="C177" s="15" t="s">
        <v>1033</v>
      </c>
      <c r="D177" s="15" t="s">
        <v>1033</v>
      </c>
      <c r="E177" s="15" t="s">
        <v>1033</v>
      </c>
      <c r="F177" s="15" t="s">
        <v>1033</v>
      </c>
      <c r="G177" s="15" t="s">
        <v>1033</v>
      </c>
      <c r="H177" s="15" t="s">
        <v>1033</v>
      </c>
      <c r="I177" s="15" t="s">
        <v>1033</v>
      </c>
      <c r="J177" s="15" t="s">
        <v>1033</v>
      </c>
      <c r="K177" s="15" t="s">
        <v>1033</v>
      </c>
      <c r="L177" s="15" t="s">
        <v>1033</v>
      </c>
      <c r="M177" s="15" t="s">
        <v>1033</v>
      </c>
      <c r="N177" s="15" t="s">
        <v>1033</v>
      </c>
      <c r="O177" s="15" t="s">
        <v>1033</v>
      </c>
      <c r="P177" s="15" t="s">
        <v>1033</v>
      </c>
      <c r="Q177" s="15" t="s">
        <v>1033</v>
      </c>
      <c r="R177" s="15" t="s">
        <v>1033</v>
      </c>
      <c r="S177" s="15" t="s">
        <v>1033</v>
      </c>
      <c r="T177" s="15" t="s">
        <v>1033</v>
      </c>
      <c r="U177" s="15" t="s">
        <v>1033</v>
      </c>
      <c r="V177" s="15" t="s">
        <v>1033</v>
      </c>
      <c r="W177" s="15">
        <v>13.96</v>
      </c>
      <c r="X177" s="15">
        <v>14.82</v>
      </c>
      <c r="Y177" s="15" t="s">
        <v>1033</v>
      </c>
      <c r="Z177" s="15">
        <v>12.74</v>
      </c>
    </row>
    <row r="178" spans="1:26" x14ac:dyDescent="0.25">
      <c r="A178" s="11" t="s">
        <v>1018</v>
      </c>
      <c r="B178" s="11" t="s">
        <v>1019</v>
      </c>
      <c r="C178" s="14" t="s">
        <v>1033</v>
      </c>
      <c r="D178" s="14" t="s">
        <v>1033</v>
      </c>
      <c r="E178" s="14" t="s">
        <v>1033</v>
      </c>
      <c r="F178" s="14" t="s">
        <v>1033</v>
      </c>
      <c r="G178" s="14" t="s">
        <v>1033</v>
      </c>
      <c r="H178" s="14" t="s">
        <v>1033</v>
      </c>
      <c r="I178" s="14" t="s">
        <v>1033</v>
      </c>
      <c r="J178" s="14" t="s">
        <v>1033</v>
      </c>
      <c r="K178" s="14" t="s">
        <v>1033</v>
      </c>
      <c r="L178" s="14" t="s">
        <v>1033</v>
      </c>
      <c r="M178" s="14" t="s">
        <v>1033</v>
      </c>
      <c r="N178" s="14" t="s">
        <v>1033</v>
      </c>
      <c r="O178" s="14" t="s">
        <v>1033</v>
      </c>
      <c r="P178" s="14" t="s">
        <v>1033</v>
      </c>
      <c r="Q178" s="14" t="s">
        <v>1033</v>
      </c>
      <c r="R178" s="14" t="s">
        <v>1033</v>
      </c>
      <c r="S178" s="14" t="s">
        <v>1033</v>
      </c>
      <c r="T178" s="14" t="s">
        <v>1033</v>
      </c>
      <c r="U178" s="14" t="s">
        <v>1033</v>
      </c>
      <c r="V178" s="14" t="s">
        <v>1033</v>
      </c>
      <c r="W178" s="14">
        <v>1017833</v>
      </c>
      <c r="X178" s="14">
        <v>1030926</v>
      </c>
      <c r="Y178" s="14" t="s">
        <v>1033</v>
      </c>
      <c r="Z178" s="14">
        <v>1115897</v>
      </c>
    </row>
    <row r="179" spans="1:26" x14ac:dyDescent="0.25">
      <c r="A179" s="11" t="s">
        <v>1020</v>
      </c>
      <c r="B179" s="11" t="s">
        <v>1021</v>
      </c>
      <c r="C179" s="14" t="s">
        <v>1033</v>
      </c>
      <c r="D179" s="14" t="s">
        <v>1033</v>
      </c>
      <c r="E179" s="14" t="s">
        <v>1033</v>
      </c>
      <c r="F179" s="14" t="s">
        <v>1033</v>
      </c>
      <c r="G179" s="14" t="s">
        <v>1033</v>
      </c>
      <c r="H179" s="14" t="s">
        <v>1033</v>
      </c>
      <c r="I179" s="14" t="s">
        <v>1033</v>
      </c>
      <c r="J179" s="14" t="s">
        <v>1033</v>
      </c>
      <c r="K179" s="14" t="s">
        <v>1033</v>
      </c>
      <c r="L179" s="14" t="s">
        <v>1033</v>
      </c>
      <c r="M179" s="14" t="s">
        <v>1033</v>
      </c>
      <c r="N179" s="14" t="s">
        <v>1033</v>
      </c>
      <c r="O179" s="14" t="s">
        <v>1033</v>
      </c>
      <c r="P179" s="14" t="s">
        <v>1033</v>
      </c>
      <c r="Q179" s="14" t="s">
        <v>1033</v>
      </c>
      <c r="R179" s="14" t="s">
        <v>1033</v>
      </c>
      <c r="S179" s="14" t="s">
        <v>1033</v>
      </c>
      <c r="T179" s="14" t="s">
        <v>1033</v>
      </c>
      <c r="U179" s="14" t="s">
        <v>1033</v>
      </c>
      <c r="V179" s="14" t="s">
        <v>1033</v>
      </c>
      <c r="W179" s="14">
        <v>142080</v>
      </c>
      <c r="X179" s="14">
        <v>152761</v>
      </c>
      <c r="Y179" s="14" t="s">
        <v>1033</v>
      </c>
      <c r="Z179" s="14">
        <v>142204</v>
      </c>
    </row>
    <row r="180" spans="1:26" x14ac:dyDescent="0.25">
      <c r="A180" s="11" t="s">
        <v>1022</v>
      </c>
      <c r="B180" s="11" t="s">
        <v>1023</v>
      </c>
      <c r="C180" s="14">
        <v>146657</v>
      </c>
      <c r="D180" s="14" t="s">
        <v>1033</v>
      </c>
      <c r="E180" s="14">
        <v>156631</v>
      </c>
      <c r="F180" s="14">
        <v>169514</v>
      </c>
      <c r="G180" s="14">
        <v>207858</v>
      </c>
      <c r="H180" s="14">
        <v>215382</v>
      </c>
      <c r="I180" s="14">
        <v>233050</v>
      </c>
      <c r="J180" s="14">
        <v>258562</v>
      </c>
      <c r="K180" s="14">
        <v>282435</v>
      </c>
      <c r="L180" s="14">
        <v>298047</v>
      </c>
      <c r="M180" s="14">
        <v>306831</v>
      </c>
      <c r="N180" s="14">
        <v>320188</v>
      </c>
      <c r="O180" s="14">
        <v>313037</v>
      </c>
      <c r="P180" s="14">
        <v>332916</v>
      </c>
      <c r="Q180" s="14" t="s">
        <v>1033</v>
      </c>
      <c r="R180" s="14">
        <v>346345</v>
      </c>
      <c r="S180" s="14">
        <v>353305</v>
      </c>
      <c r="T180" s="14">
        <v>213788</v>
      </c>
      <c r="U180" s="14">
        <v>374746</v>
      </c>
      <c r="V180" s="14">
        <v>409632</v>
      </c>
      <c r="W180" s="14">
        <v>423023</v>
      </c>
      <c r="X180" s="14">
        <v>165534</v>
      </c>
      <c r="Y180" s="14">
        <v>387088</v>
      </c>
      <c r="Z180" s="14">
        <v>435082</v>
      </c>
    </row>
    <row r="181" spans="1:26" x14ac:dyDescent="0.25">
      <c r="A181" s="11" t="s">
        <v>1024</v>
      </c>
      <c r="B181" s="11" t="s">
        <v>1025</v>
      </c>
      <c r="C181" s="15" t="s">
        <v>1033</v>
      </c>
      <c r="D181" s="15" t="s">
        <v>1033</v>
      </c>
      <c r="E181" s="15" t="s">
        <v>1033</v>
      </c>
      <c r="F181" s="15" t="s">
        <v>1033</v>
      </c>
      <c r="G181" s="15" t="s">
        <v>1033</v>
      </c>
      <c r="H181" s="15" t="s">
        <v>1033</v>
      </c>
      <c r="I181" s="15" t="s">
        <v>1033</v>
      </c>
      <c r="J181" s="15" t="s">
        <v>1033</v>
      </c>
      <c r="K181" s="15" t="s">
        <v>1033</v>
      </c>
      <c r="L181" s="15" t="s">
        <v>1033</v>
      </c>
      <c r="M181" s="15" t="s">
        <v>1033</v>
      </c>
      <c r="N181" s="15" t="s">
        <v>1033</v>
      </c>
      <c r="O181" s="15" t="s">
        <v>1033</v>
      </c>
      <c r="P181" s="15" t="s">
        <v>1033</v>
      </c>
      <c r="Q181" s="15" t="s">
        <v>1033</v>
      </c>
      <c r="R181" s="15" t="s">
        <v>1033</v>
      </c>
      <c r="S181" s="15" t="s">
        <v>1033</v>
      </c>
      <c r="T181" s="15" t="s">
        <v>1033</v>
      </c>
      <c r="U181" s="15" t="s">
        <v>1033</v>
      </c>
      <c r="V181" s="15" t="s">
        <v>1033</v>
      </c>
      <c r="W181" s="15">
        <v>21.52</v>
      </c>
      <c r="X181" s="15">
        <v>22.1</v>
      </c>
      <c r="Y181" s="15" t="s">
        <v>1033</v>
      </c>
      <c r="Z181" s="15">
        <v>19.329999999999998</v>
      </c>
    </row>
    <row r="182" spans="1:26" x14ac:dyDescent="0.25">
      <c r="A182" s="11" t="s">
        <v>1026</v>
      </c>
      <c r="B182" s="11" t="s">
        <v>1027</v>
      </c>
      <c r="C182" s="14" t="s">
        <v>1033</v>
      </c>
      <c r="D182" s="14" t="s">
        <v>1033</v>
      </c>
      <c r="E182" s="14" t="s">
        <v>1033</v>
      </c>
      <c r="F182" s="14" t="s">
        <v>1033</v>
      </c>
      <c r="G182" s="14" t="s">
        <v>1033</v>
      </c>
      <c r="H182" s="14" t="s">
        <v>1033</v>
      </c>
      <c r="I182" s="14" t="s">
        <v>1033</v>
      </c>
      <c r="J182" s="14" t="s">
        <v>1033</v>
      </c>
      <c r="K182" s="14" t="s">
        <v>1033</v>
      </c>
      <c r="L182" s="14" t="s">
        <v>1033</v>
      </c>
      <c r="M182" s="14" t="s">
        <v>1033</v>
      </c>
      <c r="N182" s="14" t="s">
        <v>1033</v>
      </c>
      <c r="O182" s="14" t="s">
        <v>1033</v>
      </c>
      <c r="P182" s="14" t="s">
        <v>1033</v>
      </c>
      <c r="Q182" s="14" t="s">
        <v>1033</v>
      </c>
      <c r="R182" s="14" t="s">
        <v>1033</v>
      </c>
      <c r="S182" s="14" t="s">
        <v>1033</v>
      </c>
      <c r="T182" s="14" t="s">
        <v>1033</v>
      </c>
      <c r="U182" s="14" t="s">
        <v>1033</v>
      </c>
      <c r="V182" s="14" t="s">
        <v>1033</v>
      </c>
      <c r="W182" s="14">
        <v>219018</v>
      </c>
      <c r="X182" s="14">
        <v>227851</v>
      </c>
      <c r="Y182" s="14" t="s">
        <v>1033</v>
      </c>
      <c r="Z182" s="14">
        <v>215697</v>
      </c>
    </row>
    <row r="183" spans="1:26" x14ac:dyDescent="0.25">
      <c r="A183" s="11" t="s">
        <v>1028</v>
      </c>
      <c r="B183" s="11" t="s">
        <v>1029</v>
      </c>
      <c r="C183" s="14" t="s">
        <v>1033</v>
      </c>
      <c r="D183" s="14" t="s">
        <v>1033</v>
      </c>
      <c r="E183" s="14" t="s">
        <v>1033</v>
      </c>
      <c r="F183" s="14" t="s">
        <v>1033</v>
      </c>
      <c r="G183" s="14" t="s">
        <v>1033</v>
      </c>
      <c r="H183" s="14" t="s">
        <v>1033</v>
      </c>
      <c r="I183" s="14" t="s">
        <v>1033</v>
      </c>
      <c r="J183" s="14" t="s">
        <v>1033</v>
      </c>
      <c r="K183" s="14" t="s">
        <v>1033</v>
      </c>
      <c r="L183" s="14" t="s">
        <v>1033</v>
      </c>
      <c r="M183" s="14" t="s">
        <v>1033</v>
      </c>
      <c r="N183" s="14" t="s">
        <v>1033</v>
      </c>
      <c r="O183" s="14" t="s">
        <v>1033</v>
      </c>
      <c r="P183" s="14" t="s">
        <v>1033</v>
      </c>
      <c r="Q183" s="14" t="s">
        <v>1033</v>
      </c>
      <c r="R183" s="14" t="s">
        <v>1033</v>
      </c>
      <c r="S183" s="14" t="s">
        <v>1033</v>
      </c>
      <c r="T183" s="14" t="s">
        <v>1033</v>
      </c>
      <c r="U183" s="14" t="s">
        <v>1033</v>
      </c>
      <c r="V183" s="14" t="s">
        <v>1033</v>
      </c>
      <c r="W183" s="14">
        <v>2074</v>
      </c>
      <c r="X183" s="14">
        <v>2111</v>
      </c>
      <c r="Y183" s="14" t="s">
        <v>1033</v>
      </c>
      <c r="Z183" s="14">
        <v>4530</v>
      </c>
    </row>
    <row r="184" spans="1:26" x14ac:dyDescent="0.25">
      <c r="A184" s="11" t="s">
        <v>1030</v>
      </c>
      <c r="B184" s="11" t="s">
        <v>1031</v>
      </c>
      <c r="C184" s="14" t="s">
        <v>1033</v>
      </c>
      <c r="D184" s="14" t="s">
        <v>1033</v>
      </c>
      <c r="E184" s="14" t="s">
        <v>1033</v>
      </c>
      <c r="F184" s="14" t="s">
        <v>1033</v>
      </c>
      <c r="G184" s="14" t="s">
        <v>1033</v>
      </c>
      <c r="H184" s="14" t="s">
        <v>1033</v>
      </c>
      <c r="I184" s="14" t="s">
        <v>1033</v>
      </c>
      <c r="J184" s="14" t="s">
        <v>1033</v>
      </c>
      <c r="K184" s="14" t="s">
        <v>1033</v>
      </c>
      <c r="L184" s="14" t="s">
        <v>1033</v>
      </c>
      <c r="M184" s="14" t="s">
        <v>1033</v>
      </c>
      <c r="N184" s="14" t="s">
        <v>1033</v>
      </c>
      <c r="O184" s="14" t="s">
        <v>1033</v>
      </c>
      <c r="P184" s="14" t="s">
        <v>1033</v>
      </c>
      <c r="Q184" s="14" t="s">
        <v>1033</v>
      </c>
      <c r="R184" s="14" t="s">
        <v>1033</v>
      </c>
      <c r="S184" s="14" t="s">
        <v>1033</v>
      </c>
      <c r="T184" s="14" t="s">
        <v>1033</v>
      </c>
      <c r="U184" s="14" t="s">
        <v>1033</v>
      </c>
      <c r="V184" s="14" t="s">
        <v>1033</v>
      </c>
      <c r="W184" s="14">
        <v>221092</v>
      </c>
      <c r="X184" s="14">
        <v>229962</v>
      </c>
      <c r="Y184" s="14" t="s">
        <v>1033</v>
      </c>
      <c r="Z184" s="14">
        <v>220227</v>
      </c>
    </row>
    <row r="185" spans="1:26" x14ac:dyDescent="0.25">
      <c r="A185" s="8" t="s">
        <v>84</v>
      </c>
      <c r="B185" s="8"/>
      <c r="C185" s="8" t="s">
        <v>3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0"/>
  <sheetViews>
    <sheetView workbookViewId="0">
      <selection activeCell="M19" sqref="M19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1032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7" t="s">
        <v>65</v>
      </c>
      <c r="B6" s="7" t="s">
        <v>66</v>
      </c>
      <c r="C6" s="20" cm="1">
        <f t="array" ref="C6">_xll.BDH("GFNORTEO MM Equity","BS_TOT_ASSET","FQ1 2020","FQ1 2020","Currency=MXN","Period=FQ","BEST_FPERIOD_OVERRIDE=FQ","FILING_STATUS=MR","SCALING_FORMAT=MLN","Sort=A","Dates=H","DateFormat=P","Fill=—","Direction=H","UseDPDF=Y")</f>
        <v>1729280</v>
      </c>
      <c r="D6" s="20" cm="1">
        <f t="array" ref="D6">_xll.BDH("GFNORTEO MM Equity","BS_TOT_ASSET","FQ2 2020","FQ2 2020","Currency=MXN","Period=FQ","BEST_FPERIOD_OVERRIDE=FQ","FILING_STATUS=MR","SCALING_FORMAT=MLN","Sort=A","Dates=H","DateFormat=P","Fill=—","Direction=H","UseDPDF=Y")</f>
        <v>1783581.1784000001</v>
      </c>
      <c r="E6" s="20" cm="1">
        <f t="array" ref="E6">_xll.BDH("GFNORTEO MM Equity","BS_TOT_ASSET","FQ3 2020","FQ3 2020","Currency=MXN","Period=FQ","BEST_FPERIOD_OVERRIDE=FQ","FILING_STATUS=MR","SCALING_FORMAT=MLN","Sort=A","Dates=H","DateFormat=P","Fill=—","Direction=H","UseDPDF=Y")</f>
        <v>1795305.5882999999</v>
      </c>
      <c r="F6" s="20" cm="1">
        <f t="array" ref="F6">_xll.BDH("GFNORTEO MM Equity","BS_TOT_ASSET","FQ4 2020","FQ4 2020","Currency=MXN","Period=FQ","BEST_FPERIOD_OVERRIDE=FQ","FILING_STATUS=MR","SCALING_FORMAT=MLN","Sort=A","Dates=H","DateFormat=P","Fill=—","Direction=H","UseDPDF=Y")</f>
        <v>1787904</v>
      </c>
      <c r="G6" s="20" cm="1">
        <f t="array" ref="G6">_xll.BDH("GFNORTEO MM Equity","BS_TOT_ASSET","FQ1 2021","FQ1 2021","Currency=MXN","Period=FQ","BEST_FPERIOD_OVERRIDE=FQ","FILING_STATUS=MR","SCALING_FORMAT=MLN","Sort=A","Dates=H","DateFormat=P","Fill=—","Direction=H","UseDPDF=Y")</f>
        <v>1917900</v>
      </c>
      <c r="H6" s="20" cm="1">
        <f t="array" ref="H6">_xll.BDH("GFNORTEO MM Equity","BS_TOT_ASSET","FQ2 2021","FQ2 2021","Currency=MXN","Period=FQ","BEST_FPERIOD_OVERRIDE=FQ","FILING_STATUS=MR","SCALING_FORMAT=MLN","Sort=A","Dates=H","DateFormat=P","Fill=—","Direction=H","UseDPDF=Y")</f>
        <v>1802363.0895</v>
      </c>
      <c r="I6" s="20" cm="1">
        <f t="array" ref="I6">_xll.BDH("GFNORTEO MM Equity","BS_TOT_ASSET","FQ3 2021","FQ3 2021","Currency=MXN","Period=FQ","BEST_FPERIOD_OVERRIDE=FQ","FILING_STATUS=MR","SCALING_FORMAT=MLN","Sort=A","Dates=H","DateFormat=P","Fill=—","Direction=H","UseDPDF=Y")</f>
        <v>1803695.2135999999</v>
      </c>
      <c r="J6" s="20" cm="1">
        <f t="array" ref="J6">_xll.BDH("GFNORTEO MM Equity","BS_TOT_ASSET","FQ4 2021","FQ4 2021","Currency=MXN","Period=FQ","BEST_FPERIOD_OVERRIDE=FQ","FILING_STATUS=MR","SCALING_FORMAT=MLN","Sort=A","Dates=H","DateFormat=P","Fill=—","Direction=H","UseDPDF=Y")</f>
        <v>1850879</v>
      </c>
      <c r="K6" s="20" cm="1">
        <f t="array" ref="K6">_xll.BDH("GFNORTEO MM Equity","BS_TOT_ASSET","FQ1 2022","FQ1 2022","Currency=MXN","Period=FQ","BEST_FPERIOD_OVERRIDE=FQ","FILING_STATUS=MR","SCALING_FORMAT=MLN","Sort=A","Dates=H","DateFormat=P","Fill=—","Direction=H","UseDPDF=Y")</f>
        <v>2035427</v>
      </c>
      <c r="L6" s="20" cm="1">
        <f t="array" ref="L6">_xll.BDH("GFNORTEO MM Equity","BS_TOT_ASSET","FQ2 2022","FQ2 2022","Currency=MXN","Period=FQ","BEST_FPERIOD_OVERRIDE=FQ","FILING_STATUS=MR","SCALING_FORMAT=MLN","Sort=A","Dates=H","DateFormat=P","Fill=—","Direction=H","UseDPDF=Y")</f>
        <v>2033315.6011999999</v>
      </c>
      <c r="M6" s="20" cm="1">
        <f t="array" ref="M6">_xll.BDH("GFNORTEO MM Equity","BS_TOT_ASSET","FQ3 2022","FQ3 2022","Currency=MXN","Period=FQ","BEST_FPERIOD_OVERRIDE=FQ","FILING_STATUS=MR","SCALING_FORMAT=MLN","Sort=A","Dates=H","DateFormat=P","Fill=—","Direction=H","UseDPDF=Y")</f>
        <v>2033008.0985000001</v>
      </c>
      <c r="N6" s="20" cm="1">
        <f t="array" ref="N6">_xll.BDH("GFNORTEO MM Equity","BS_TOT_ASSET","FQ4 2022","FQ4 2022","Currency=MXN","Period=FQ","BEST_FPERIOD_OVERRIDE=FQ","FILING_STATUS=MR","SCALING_FORMAT=MLN","Sort=A","Dates=H","DateFormat=P","Fill=—","Direction=H","UseDPDF=Y")</f>
        <v>2070072</v>
      </c>
      <c r="O6" s="20" cm="1">
        <f t="array" ref="O6">_xll.BDH("GFNORTEO MM Equity","BS_TOT_ASSET","FQ1 2023","FQ1 2023","Currency=MXN","Period=FQ","BEST_FPERIOD_OVERRIDE=FQ","FILING_STATUS=MR","SCALING_FORMAT=MLN","Sort=A","Dates=H","DateFormat=P","Fill=—","Direction=H","UseDPDF=Y")</f>
        <v>2130031</v>
      </c>
      <c r="P6" s="20" cm="1">
        <f t="array" ref="P6">_xll.BDH("GFNORTEO MM Equity","BS_TOT_ASSET","FQ2 2023","FQ2 2023","Currency=MXN","Period=FQ","BEST_FPERIOD_OVERRIDE=FQ","FILING_STATUS=MR","SCALING_FORMAT=MLN","Sort=A","Dates=H","DateFormat=P","Fill=—","Direction=H","UseDPDF=Y")</f>
        <v>2191378</v>
      </c>
      <c r="Q6" s="20" cm="1">
        <f t="array" ref="Q6">_xll.BDH("GFNORTEO MM Equity","BS_TOT_ASSET","FQ3 2023","FQ3 2023","Currency=MXN","Period=FQ","BEST_FPERIOD_OVERRIDE=FQ","FILING_STATUS=MR","SCALING_FORMAT=MLN","Sort=A","Dates=H","DateFormat=P","Fill=—","Direction=H","UseDPDF=Y")</f>
        <v>2298368</v>
      </c>
      <c r="R6" s="20" cm="1">
        <f t="array" ref="R6">_xll.BDH("GFNORTEO MM Equity","BS_TOT_ASSET","FQ4 2023","FQ4 2023","Currency=MXN","Period=FQ","BEST_FPERIOD_OVERRIDE=FQ","FILING_STATUS=MR","SCALING_FORMAT=MLN","Sort=A","Dates=H","DateFormat=P","Fill=—","Direction=H","UseDPDF=Y")</f>
        <v>2274859</v>
      </c>
      <c r="S6" s="20" cm="1">
        <f t="array" ref="S6">_xll.BDH("GFNORTEO MM Equity","BS_TOT_ASSET","FQ1 2024","FQ1 2024","Currency=MXN","Period=FQ","BEST_FPERIOD_OVERRIDE=FQ","FILING_STATUS=MR","SCALING_FORMAT=MLN","Sort=A","Dates=H","DateFormat=P","Fill=—","Direction=H","UseDPDF=Y")</f>
        <v>2395399</v>
      </c>
      <c r="T6" s="20" cm="1">
        <f t="array" ref="T6">_xll.BDH("GFNORTEO MM Equity","BS_TOT_ASSET","FQ2 2024","FQ2 2024","Currency=MXN","Period=FQ","BEST_FPERIOD_OVERRIDE=FQ","FILING_STATUS=MR","SCALING_FORMAT=MLN","Sort=A","Dates=H","DateFormat=P","Fill=—","Direction=H","UseDPDF=Y")</f>
        <v>2435013</v>
      </c>
      <c r="U6" s="20" cm="1">
        <f t="array" ref="U6">_xll.BDH("GFNORTEO MM Equity","BS_TOT_ASSET","FQ3 2024","FQ3 2024","Currency=MXN","Period=FQ","BEST_FPERIOD_OVERRIDE=FQ","FILING_STATUS=MR","SCALING_FORMAT=MLN","Sort=A","Dates=H","DateFormat=P","Fill=—","Direction=H","UseDPDF=Y")</f>
        <v>2420031</v>
      </c>
      <c r="V6" s="20" cm="1">
        <f t="array" ref="V6">_xll.BDH("GFNORTEO MM Equity","BS_TOT_ASSET","FQ4 2024","FQ4 2024","Currency=MXN","Period=FQ","BEST_FPERIOD_OVERRIDE=FQ","FILING_STATUS=MR","SCALING_FORMAT=MLN","Sort=A","Dates=H","DateFormat=P","Fill=—","Direction=H","UseDPDF=Y")</f>
        <v>2471209</v>
      </c>
      <c r="W6" s="20" cm="1">
        <f t="array" ref="W6">_xll.BDH("GFNORTEO MM Equity","BS_TOT_ASSET","FQ1 2025","FQ1 2025","Currency=MXN","Period=FQ","BEST_FPERIOD_OVERRIDE=FQ","FILING_STATUS=MR","SCALING_FORMAT=MLN","Sort=A","Dates=H","DateFormat=P","Fill=—","Direction=H","UseDPDF=Y")</f>
        <v>2552759</v>
      </c>
      <c r="X6" s="20" cm="1">
        <f t="array" ref="X6">_xll.BDH("GFNORTEO MM Equity","BS_TOT_ASSET","FQ2 2025","FQ2 2025","Currency=MXN","Period=FQ","BEST_FPERIOD_OVERRIDE=FQ","FILING_STATUS=MR","SCALING_FORMAT=MLN","Sort=A","Dates=H","DateFormat=P","Fill=—","Direction=H","UseDPDF=Y")</f>
        <v>2524481</v>
      </c>
      <c r="Y6" s="20" cm="1">
        <f t="array" ref="Y6">_xll.BDH("GFNORTEO MM Equity","BS_TOT_ASSET","FQ3 2025","FQ3 2025","Currency=MXN","Period=FQ","BEST_FPERIOD_OVERRIDE=FQ","FILING_STATUS=MR","SCALING_FORMAT=MLN","Sort=A","Dates=H","DateFormat=P","Fill=—","Direction=H","UseDPDF=Y")</f>
        <v>2509263</v>
      </c>
      <c r="Z6" s="20" cm="1">
        <f t="array" ref="Z6">_xll.BDH("GFNORTEO MM Equity","BS_TOT_ASSET","FQ4 2025","FQ4 2025","Currency=MXN","Period=FQ","BEST_FPERIOD_OVERRIDE=FQ","FILING_STATUS=MR","SCALING_FORMAT=MLN","Sort=A","Dates=H","DateFormat=P","Fill=—","Direction=H","UseDPDF=Y")</f>
        <v>2598663</v>
      </c>
      <c r="AA6" s="20" cm="1">
        <f t="array" ref="AA6">_xll.BDH("GFNORTEO MM Equity","BS_TOT_ASSET","FQ1 2026","FQ1 2026","Currency=MXN","Period=FQ","BEST_FPERIOD_OVERRIDE=FQ","FILING_STATUS=MR","SCALING_FORMAT=MLN","Sort=A","Dates=H","DateFormat=P","Fill=—","Direction=H","UseDPDF=Y")</f>
        <v>2635909</v>
      </c>
    </row>
    <row r="7" spans="1:27" x14ac:dyDescent="0.25">
      <c r="A7" s="7" t="s">
        <v>65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11" t="s">
        <v>585</v>
      </c>
      <c r="B8" s="11" t="s">
        <v>586</v>
      </c>
      <c r="C8" s="14">
        <v>5.2551929126572903</v>
      </c>
      <c r="D8" s="14">
        <v>5.9457487848123396</v>
      </c>
      <c r="E8" s="14">
        <v>5.57456889842799</v>
      </c>
      <c r="F8" s="14">
        <v>6.1136392110538402</v>
      </c>
      <c r="G8" s="14">
        <v>6.0685645758381597</v>
      </c>
      <c r="H8" s="14">
        <v>6.1503761059622803</v>
      </c>
      <c r="I8" s="14">
        <v>3.7572087166684902</v>
      </c>
      <c r="J8" s="14">
        <v>5.3402734592590901</v>
      </c>
      <c r="K8" s="14">
        <v>6.1201408844434102</v>
      </c>
      <c r="L8" s="14">
        <v>4.8791597828562798</v>
      </c>
      <c r="M8" s="14">
        <v>4.5128352565344496</v>
      </c>
      <c r="N8" s="14">
        <v>5.22947994079433</v>
      </c>
      <c r="O8" s="14">
        <v>5.03518493392819</v>
      </c>
      <c r="P8" s="14">
        <v>5.95826005371962</v>
      </c>
      <c r="Q8" s="14">
        <v>4.7521980814212501</v>
      </c>
      <c r="R8" s="14">
        <v>4.40598736009572</v>
      </c>
      <c r="S8" s="14">
        <v>5.22134308313563</v>
      </c>
      <c r="T8" s="14">
        <v>5.1701572024461502</v>
      </c>
      <c r="U8" s="14">
        <v>4.1366412248438102</v>
      </c>
      <c r="V8" s="14">
        <v>3.99415832493326</v>
      </c>
      <c r="W8" s="14">
        <v>5.3630601243595697</v>
      </c>
      <c r="X8" s="14">
        <v>5.5330976941398999</v>
      </c>
      <c r="Y8" s="14">
        <v>3.8870776000762</v>
      </c>
      <c r="Z8" s="14">
        <v>3.8594846657685098</v>
      </c>
      <c r="AA8" s="14">
        <v>3.4200725442342699</v>
      </c>
    </row>
    <row r="9" spans="1:27" x14ac:dyDescent="0.25">
      <c r="A9" s="11" t="s">
        <v>587</v>
      </c>
      <c r="B9" s="11" t="s">
        <v>588</v>
      </c>
      <c r="C9" s="14">
        <v>0.68681763508512195</v>
      </c>
      <c r="D9" s="14">
        <v>0.64085682194869298</v>
      </c>
      <c r="E9" s="14">
        <v>0.76191220136332005</v>
      </c>
      <c r="F9" s="14">
        <v>0.85060495418098503</v>
      </c>
      <c r="G9" s="14">
        <v>5.7813233223838596</v>
      </c>
      <c r="H9" s="14">
        <v>0.65476522293914297</v>
      </c>
      <c r="I9" s="14">
        <v>0.61793015482223201</v>
      </c>
      <c r="J9" s="14">
        <v>0.83219918752117195</v>
      </c>
      <c r="K9" s="14">
        <v>0.81742061985028203</v>
      </c>
      <c r="L9" s="14">
        <v>3.45885631909288</v>
      </c>
      <c r="M9" s="14">
        <v>3.5841412269238599</v>
      </c>
      <c r="N9" s="14">
        <v>1.98577634014662</v>
      </c>
      <c r="O9" s="14">
        <v>0.90308544805216495</v>
      </c>
      <c r="P9" s="14">
        <v>1.0052122454455601</v>
      </c>
      <c r="Q9" s="14">
        <v>0.93879657217643098</v>
      </c>
      <c r="R9" s="14">
        <v>2.9539852799667998</v>
      </c>
      <c r="S9" s="14">
        <v>3.7481855841135401</v>
      </c>
      <c r="T9" s="14">
        <v>3.2778880441295399</v>
      </c>
      <c r="U9" s="14">
        <v>1.7696467524589601</v>
      </c>
      <c r="V9" s="14">
        <v>1.7525429860444799</v>
      </c>
      <c r="W9" s="14">
        <v>1.6636901485804201</v>
      </c>
      <c r="X9" s="14">
        <v>1.8137193347860401</v>
      </c>
      <c r="Y9" s="14">
        <v>1.89454034909852</v>
      </c>
      <c r="Z9" s="14">
        <v>1.9884071155051699</v>
      </c>
      <c r="AA9" s="14">
        <v>1.7312054399450101</v>
      </c>
    </row>
    <row r="10" spans="1:27" x14ac:dyDescent="0.25">
      <c r="A10" s="11" t="s">
        <v>589</v>
      </c>
      <c r="B10" s="11" t="s">
        <v>590</v>
      </c>
      <c r="C10" s="14">
        <v>0.16249537379718701</v>
      </c>
      <c r="D10" s="14">
        <v>0.10811149227818501</v>
      </c>
      <c r="E10" s="14">
        <v>0.21146845410308099</v>
      </c>
      <c r="F10" s="14">
        <v>0.225739189576174</v>
      </c>
      <c r="G10" s="14">
        <v>5.3409979665258902</v>
      </c>
      <c r="H10" s="14">
        <v>0.162448346345483</v>
      </c>
      <c r="I10" s="14">
        <v>0.16395964000348701</v>
      </c>
      <c r="J10" s="14">
        <v>0.24242535573638299</v>
      </c>
      <c r="K10" s="14" t="s">
        <v>1033</v>
      </c>
      <c r="L10" s="14">
        <v>2.6092569769220999</v>
      </c>
      <c r="M10" s="14">
        <v>2.6951982091566502</v>
      </c>
      <c r="N10" s="14">
        <v>1.10266696037626</v>
      </c>
      <c r="O10" s="14" t="s">
        <v>1033</v>
      </c>
      <c r="P10" s="14" t="s">
        <v>1033</v>
      </c>
      <c r="Q10" s="14" t="s">
        <v>1033</v>
      </c>
      <c r="R10" s="14">
        <v>1.8289485194466999</v>
      </c>
      <c r="S10" s="14">
        <v>2.6964610071224002</v>
      </c>
      <c r="T10" s="14">
        <v>2.1744442432134901</v>
      </c>
      <c r="U10" s="14">
        <v>0.22218723644449201</v>
      </c>
      <c r="V10" s="14">
        <v>0.16194502367060001</v>
      </c>
      <c r="W10" s="14">
        <v>0.18407534749657101</v>
      </c>
      <c r="X10" s="14">
        <v>7.9224204895976605E-2</v>
      </c>
      <c r="Y10" s="14">
        <v>0.13948318689591299</v>
      </c>
      <c r="Z10" s="14">
        <v>0.11351991389418301</v>
      </c>
      <c r="AA10" s="14">
        <v>3.4143819077213998E-2</v>
      </c>
    </row>
    <row r="11" spans="1:27" x14ac:dyDescent="0.25">
      <c r="A11" s="11" t="s">
        <v>591</v>
      </c>
      <c r="B11" s="11" t="s">
        <v>592</v>
      </c>
      <c r="C11" s="14">
        <v>0.52432226128793502</v>
      </c>
      <c r="D11" s="14">
        <v>0.53274532967050803</v>
      </c>
      <c r="E11" s="14">
        <v>0.55044374726024003</v>
      </c>
      <c r="F11" s="14">
        <v>0.62486576460481102</v>
      </c>
      <c r="G11" s="14">
        <v>0.44032535585797</v>
      </c>
      <c r="H11" s="14">
        <v>0.49231687659366002</v>
      </c>
      <c r="I11" s="14">
        <v>0.45397051481874501</v>
      </c>
      <c r="J11" s="14">
        <v>0.58977383178479004</v>
      </c>
      <c r="K11" s="14">
        <v>0.81742061985028203</v>
      </c>
      <c r="L11" s="14">
        <v>0.84959934217077704</v>
      </c>
      <c r="M11" s="14">
        <v>0.88894301776721596</v>
      </c>
      <c r="N11" s="14">
        <v>0.88310937977036597</v>
      </c>
      <c r="O11" s="14">
        <v>0.90308544805216495</v>
      </c>
      <c r="P11" s="14">
        <v>1.0052122454455601</v>
      </c>
      <c r="Q11" s="14">
        <v>0.93879657217643098</v>
      </c>
      <c r="R11" s="14">
        <v>1.1250367605200999</v>
      </c>
      <c r="S11" s="14">
        <v>1.0517245769911401</v>
      </c>
      <c r="T11" s="14">
        <v>1.1034438009160501</v>
      </c>
      <c r="U11" s="14">
        <v>1.54745951601446</v>
      </c>
      <c r="V11" s="14">
        <v>1.59059796237388</v>
      </c>
      <c r="W11" s="14">
        <v>1.4796148010838499</v>
      </c>
      <c r="X11" s="14">
        <v>1.7344951298900599</v>
      </c>
      <c r="Y11" s="14">
        <v>1.7550571622026101</v>
      </c>
      <c r="Z11" s="14">
        <v>1.8748872016109801</v>
      </c>
      <c r="AA11" s="14">
        <v>1.69706162086779</v>
      </c>
    </row>
    <row r="12" spans="1:27" x14ac:dyDescent="0.25">
      <c r="A12" s="11" t="s">
        <v>593</v>
      </c>
      <c r="B12" s="11" t="s">
        <v>594</v>
      </c>
      <c r="C12" s="14">
        <v>34.728326239822401</v>
      </c>
      <c r="D12" s="14">
        <v>36.133073453663698</v>
      </c>
      <c r="E12" s="14">
        <v>37.004402915595797</v>
      </c>
      <c r="F12" s="14">
        <v>37.019045765320698</v>
      </c>
      <c r="G12" s="14">
        <v>36.715261483914702</v>
      </c>
      <c r="H12" s="14">
        <v>38.837455962957101</v>
      </c>
      <c r="I12" s="14">
        <v>40.377591772678599</v>
      </c>
      <c r="J12" s="14">
        <v>40.540575585978303</v>
      </c>
      <c r="K12" s="14">
        <v>37.876868096964401</v>
      </c>
      <c r="L12" s="14">
        <v>38.732987778755501</v>
      </c>
      <c r="M12" s="14">
        <v>38.975480733989002</v>
      </c>
      <c r="N12" s="14">
        <v>39.247427142630798</v>
      </c>
      <c r="O12" s="14">
        <v>38.223246516130502</v>
      </c>
      <c r="P12" s="14">
        <v>37.044955274717601</v>
      </c>
      <c r="Q12" s="14">
        <v>37.6807804494319</v>
      </c>
      <c r="R12" s="14">
        <v>39.4025300029584</v>
      </c>
      <c r="S12" s="14">
        <v>39.015253826189301</v>
      </c>
      <c r="T12" s="14">
        <v>38.425831812807601</v>
      </c>
      <c r="U12" s="14">
        <v>39.953951003107001</v>
      </c>
      <c r="V12" s="14">
        <v>39.5189965721232</v>
      </c>
      <c r="W12" s="14">
        <v>38.422859345516002</v>
      </c>
      <c r="X12" s="14">
        <v>39.015266900404498</v>
      </c>
      <c r="Y12" s="14">
        <v>39.632712872265699</v>
      </c>
      <c r="Z12" s="14">
        <v>39.355699450063398</v>
      </c>
      <c r="AA12" s="14">
        <v>40.498552871134798</v>
      </c>
    </row>
    <row r="13" spans="1:27" x14ac:dyDescent="0.25">
      <c r="A13" s="11" t="s">
        <v>595</v>
      </c>
      <c r="B13" s="11" t="s">
        <v>596</v>
      </c>
      <c r="C13" s="14">
        <v>13.8182364914878</v>
      </c>
      <c r="D13" s="14">
        <v>13.6710557535046</v>
      </c>
      <c r="E13" s="14">
        <v>12.463169039936201</v>
      </c>
      <c r="F13" s="14">
        <v>12.4945187213631</v>
      </c>
      <c r="G13" s="14">
        <v>13.558058292924599</v>
      </c>
      <c r="H13" s="14">
        <v>14.031612981660899</v>
      </c>
      <c r="I13" s="14">
        <v>14.4569312382701</v>
      </c>
      <c r="J13" s="14">
        <v>13.950182588921299</v>
      </c>
      <c r="K13" s="14">
        <v>12.643784326335499</v>
      </c>
      <c r="L13" s="14">
        <v>13.1315796894594</v>
      </c>
      <c r="M13" s="14">
        <v>13.282926714463001</v>
      </c>
      <c r="N13" s="14">
        <v>14.002169972831901</v>
      </c>
      <c r="O13" s="14">
        <v>13.695246688897999</v>
      </c>
      <c r="P13" s="14">
        <v>14.154609565305501</v>
      </c>
      <c r="Q13" s="14">
        <v>13.752584442526199</v>
      </c>
      <c r="R13" s="14">
        <v>14.7594202541784</v>
      </c>
      <c r="S13" s="14">
        <v>14.9079965383638</v>
      </c>
      <c r="T13" s="14">
        <v>14.791994950335001</v>
      </c>
      <c r="U13" s="14">
        <v>16.506358802841799</v>
      </c>
      <c r="V13" s="14">
        <v>16.217648932162401</v>
      </c>
      <c r="W13" s="14">
        <v>16.046638166783499</v>
      </c>
      <c r="X13" s="14">
        <v>16.756830413855401</v>
      </c>
      <c r="Y13" s="14">
        <v>17.4461186412106</v>
      </c>
      <c r="Z13" s="14">
        <v>16.7828610327695</v>
      </c>
      <c r="AA13" s="14">
        <v>16.5059567686138</v>
      </c>
    </row>
    <row r="14" spans="1:27" x14ac:dyDescent="0.25">
      <c r="A14" s="11" t="s">
        <v>597</v>
      </c>
      <c r="B14" s="11" t="s">
        <v>598</v>
      </c>
      <c r="C14" s="14">
        <v>11.852505088823101</v>
      </c>
      <c r="D14" s="14">
        <v>12.9578686351502</v>
      </c>
      <c r="E14" s="14">
        <v>13.9934131077466</v>
      </c>
      <c r="F14" s="14">
        <v>13.6932967318156</v>
      </c>
      <c r="G14" s="14">
        <v>12.3194118567183</v>
      </c>
      <c r="H14" s="14">
        <v>12.8558866002399</v>
      </c>
      <c r="I14" s="14">
        <v>12.999936517229701</v>
      </c>
      <c r="J14" s="14">
        <v>12.620706161775001</v>
      </c>
      <c r="K14" s="14">
        <v>11.3428288020155</v>
      </c>
      <c r="L14" s="14">
        <v>10.9432525863342</v>
      </c>
      <c r="M14" s="14">
        <v>10.600101284400999</v>
      </c>
      <c r="N14" s="14">
        <v>10.1132231149448</v>
      </c>
      <c r="O14" s="14">
        <v>9.4821155185065393</v>
      </c>
      <c r="P14" s="14">
        <v>8.6054071912741694</v>
      </c>
      <c r="Q14" s="14">
        <v>9.4433093394965493</v>
      </c>
      <c r="R14" s="14">
        <v>9.7596378500821395</v>
      </c>
      <c r="S14" s="14">
        <v>9.6416087674746507</v>
      </c>
      <c r="T14" s="14">
        <v>9.1206905260875395</v>
      </c>
      <c r="U14" s="14">
        <v>8.8341017119202192</v>
      </c>
      <c r="V14" s="14">
        <v>8.1368674199551698</v>
      </c>
      <c r="W14" s="14">
        <v>7.34942076396558</v>
      </c>
      <c r="X14" s="14">
        <v>7.0855356011790098</v>
      </c>
      <c r="Y14" s="14">
        <v>6.5969171027508899</v>
      </c>
      <c r="Z14" s="14">
        <v>7.6771016480397796</v>
      </c>
      <c r="AA14" s="14">
        <v>8.4757478349973407</v>
      </c>
    </row>
    <row r="15" spans="1:27" x14ac:dyDescent="0.25">
      <c r="A15" s="11" t="s">
        <v>599</v>
      </c>
      <c r="B15" s="11" t="s">
        <v>600</v>
      </c>
      <c r="C15" s="14">
        <v>9.0575846595114697</v>
      </c>
      <c r="D15" s="14">
        <v>9.5041490650089102</v>
      </c>
      <c r="E15" s="14">
        <v>10.5478207679131</v>
      </c>
      <c r="F15" s="14">
        <v>10.831230312142001</v>
      </c>
      <c r="G15" s="14">
        <v>10.8377913342719</v>
      </c>
      <c r="H15" s="14">
        <v>11.9499563810563</v>
      </c>
      <c r="I15" s="14">
        <v>12.9207240171788</v>
      </c>
      <c r="J15" s="14">
        <v>13.969686835281999</v>
      </c>
      <c r="K15" s="14">
        <v>13.890254968613499</v>
      </c>
      <c r="L15" s="14">
        <v>14.673127080901899</v>
      </c>
      <c r="M15" s="14">
        <v>15.1070463941578</v>
      </c>
      <c r="N15" s="14">
        <v>15.132034054854101</v>
      </c>
      <c r="O15" s="14">
        <v>15.045884308726</v>
      </c>
      <c r="P15" s="14">
        <v>14.284938518137899</v>
      </c>
      <c r="Q15" s="14">
        <v>14.4921526926932</v>
      </c>
      <c r="R15" s="14">
        <v>14.8834718986979</v>
      </c>
      <c r="S15" s="14">
        <v>14.4656485203509</v>
      </c>
      <c r="T15" s="14">
        <v>14.5131463363851</v>
      </c>
      <c r="U15" s="14">
        <v>14.613490488345001</v>
      </c>
      <c r="V15" s="14">
        <v>15.1644802200057</v>
      </c>
      <c r="W15" s="14">
        <v>15.0268004147669</v>
      </c>
      <c r="X15" s="14">
        <v>15.1757529567464</v>
      </c>
      <c r="Y15" s="14">
        <v>15.589677128304199</v>
      </c>
      <c r="Z15" s="14">
        <v>14.895736769254</v>
      </c>
      <c r="AA15" s="14">
        <v>15.5168482675237</v>
      </c>
    </row>
    <row r="16" spans="1:27" x14ac:dyDescent="0.25">
      <c r="A16" s="11" t="s">
        <v>601</v>
      </c>
      <c r="B16" s="11" t="s">
        <v>602</v>
      </c>
      <c r="C16" s="14" t="s">
        <v>1033</v>
      </c>
      <c r="D16" s="14" t="s">
        <v>1033</v>
      </c>
      <c r="E16" s="14" t="s">
        <v>1033</v>
      </c>
      <c r="F16" s="14">
        <v>0</v>
      </c>
      <c r="G16" s="14" t="s">
        <v>1033</v>
      </c>
      <c r="H16" s="14" t="s">
        <v>1033</v>
      </c>
      <c r="I16" s="14" t="s">
        <v>1033</v>
      </c>
      <c r="J16" s="14" t="s">
        <v>1033</v>
      </c>
      <c r="K16" s="14" t="s">
        <v>1033</v>
      </c>
      <c r="L16" s="14">
        <v>-1.4971577940052201E-2</v>
      </c>
      <c r="M16" s="14">
        <v>-1.4593659081984799E-2</v>
      </c>
      <c r="N16" s="14">
        <v>0</v>
      </c>
      <c r="O16" s="14" t="s">
        <v>1033</v>
      </c>
      <c r="P16" s="14" t="s">
        <v>1033</v>
      </c>
      <c r="Q16" s="14">
        <v>-7.2660252840276197E-3</v>
      </c>
      <c r="R16" s="14">
        <v>0</v>
      </c>
      <c r="S16" s="14" t="s">
        <v>1033</v>
      </c>
      <c r="T16" s="14" t="s">
        <v>1033</v>
      </c>
      <c r="U16" s="14">
        <v>0</v>
      </c>
      <c r="V16" s="14">
        <v>0</v>
      </c>
      <c r="W16" s="14" t="s">
        <v>1033</v>
      </c>
      <c r="X16" s="14">
        <v>-2.8520713762551601E-3</v>
      </c>
      <c r="Y16" s="14">
        <v>0</v>
      </c>
      <c r="Z16" s="14" t="s">
        <v>1033</v>
      </c>
      <c r="AA16" s="14" t="s">
        <v>1033</v>
      </c>
    </row>
    <row r="17" spans="1:27" x14ac:dyDescent="0.25">
      <c r="A17" s="11" t="s">
        <v>603</v>
      </c>
      <c r="B17" s="11" t="s">
        <v>604</v>
      </c>
      <c r="C17" s="14">
        <v>6.0719490192450003</v>
      </c>
      <c r="D17" s="14">
        <v>4.0883650721713698</v>
      </c>
      <c r="E17" s="14">
        <v>4.1548869332443896</v>
      </c>
      <c r="F17" s="14">
        <v>3.2706454037800698</v>
      </c>
      <c r="G17" s="14">
        <v>4.0779498409719004</v>
      </c>
      <c r="H17" s="14">
        <v>3.90391449207603</v>
      </c>
      <c r="I17" s="14">
        <v>3.6529935279928698</v>
      </c>
      <c r="J17" s="14">
        <v>2.6828874280814698</v>
      </c>
      <c r="K17" s="14">
        <v>4.63720880188776</v>
      </c>
      <c r="L17" s="14">
        <v>3.4330368635350799</v>
      </c>
      <c r="M17" s="14">
        <v>2.3954211226519901</v>
      </c>
      <c r="N17" s="14">
        <v>1.97766068040145</v>
      </c>
      <c r="O17" s="14">
        <v>4.0922878587213098</v>
      </c>
      <c r="P17" s="14">
        <v>3.8213398144911599</v>
      </c>
      <c r="Q17" s="14">
        <v>2.8795649782802402</v>
      </c>
      <c r="R17" s="14">
        <v>2.0232462759230301</v>
      </c>
      <c r="S17" s="14">
        <v>2.61255014300332</v>
      </c>
      <c r="T17" s="14">
        <v>2.7979316742867502</v>
      </c>
      <c r="U17" s="14">
        <v>2.9878956096017002</v>
      </c>
      <c r="V17" s="14">
        <v>2.31081223805838</v>
      </c>
      <c r="W17" s="14">
        <v>3.2491512124724702</v>
      </c>
      <c r="X17" s="14">
        <v>2.3868668451059798</v>
      </c>
      <c r="Y17" s="14">
        <v>2.4179211186710998</v>
      </c>
      <c r="Z17" s="14">
        <v>1.7726038351259901</v>
      </c>
      <c r="AA17" s="14">
        <v>2.4310399182976301</v>
      </c>
    </row>
    <row r="18" spans="1:27" x14ac:dyDescent="0.25">
      <c r="A18" s="11" t="s">
        <v>605</v>
      </c>
      <c r="B18" s="11" t="s">
        <v>606</v>
      </c>
      <c r="C18" s="14">
        <v>18.822053108808301</v>
      </c>
      <c r="D18" s="14">
        <v>18.453850751420099</v>
      </c>
      <c r="E18" s="14">
        <v>18.224926445039799</v>
      </c>
      <c r="F18" s="14">
        <v>18.3294516931558</v>
      </c>
      <c r="G18" s="14">
        <v>17.111319672558501</v>
      </c>
      <c r="H18" s="14">
        <v>17.564442800951401</v>
      </c>
      <c r="I18" s="14">
        <v>18.096884259683701</v>
      </c>
      <c r="J18" s="14">
        <v>18.005769150765701</v>
      </c>
      <c r="K18" s="14">
        <v>16.237428313567602</v>
      </c>
      <c r="L18" s="14">
        <v>16.629536468831699</v>
      </c>
      <c r="M18" s="14">
        <v>16.631215284350901</v>
      </c>
      <c r="N18" s="14">
        <v>17.323117263554099</v>
      </c>
      <c r="O18" s="14">
        <v>17.169937902312199</v>
      </c>
      <c r="P18" s="14">
        <v>17.2289764705131</v>
      </c>
      <c r="Q18" s="14">
        <v>17.417619806749801</v>
      </c>
      <c r="R18" s="14">
        <v>17.8513921082581</v>
      </c>
      <c r="S18" s="14">
        <v>17.305258956858498</v>
      </c>
      <c r="T18" s="14">
        <v>18.119369383243502</v>
      </c>
      <c r="U18" s="14">
        <v>18.7365781678003</v>
      </c>
      <c r="V18" s="14">
        <v>19.599677728593601</v>
      </c>
      <c r="W18" s="14">
        <v>19.155588130332699</v>
      </c>
      <c r="X18" s="14">
        <v>19.3057107579736</v>
      </c>
      <c r="Y18" s="14">
        <v>19.572599603947499</v>
      </c>
      <c r="Z18" s="14">
        <v>19.722026288133598</v>
      </c>
      <c r="AA18" s="14">
        <v>19.306622497210601</v>
      </c>
    </row>
    <row r="19" spans="1:27" x14ac:dyDescent="0.25">
      <c r="A19" s="11" t="s">
        <v>607</v>
      </c>
      <c r="B19" s="11" t="s">
        <v>608</v>
      </c>
      <c r="C19" s="14">
        <v>18.822053108808301</v>
      </c>
      <c r="D19" s="14">
        <v>18.453850751420099</v>
      </c>
      <c r="E19" s="14">
        <v>18.224926445039799</v>
      </c>
      <c r="F19" s="14">
        <v>18.3294516931558</v>
      </c>
      <c r="G19" s="14">
        <v>17.111319672558501</v>
      </c>
      <c r="H19" s="14">
        <v>17.564442800951401</v>
      </c>
      <c r="I19" s="14">
        <v>18.096884259683701</v>
      </c>
      <c r="J19" s="14">
        <v>18.005769150765701</v>
      </c>
      <c r="K19" s="14">
        <v>16.237428313567602</v>
      </c>
      <c r="L19" s="14">
        <v>16.629536468831699</v>
      </c>
      <c r="M19" s="14">
        <v>16.631215284350901</v>
      </c>
      <c r="N19" s="14">
        <v>17.323117263554099</v>
      </c>
      <c r="O19" s="14">
        <v>17.169937902312199</v>
      </c>
      <c r="P19" s="14">
        <v>17.2289764705131</v>
      </c>
      <c r="Q19" s="14">
        <v>17.417619806749801</v>
      </c>
      <c r="R19" s="14">
        <v>17.8513921082581</v>
      </c>
      <c r="S19" s="14">
        <v>17.305258956858498</v>
      </c>
      <c r="T19" s="14">
        <v>18.119369383243502</v>
      </c>
      <c r="U19" s="14">
        <v>18.7365781678003</v>
      </c>
      <c r="V19" s="14">
        <v>19.599677728593601</v>
      </c>
      <c r="W19" s="14">
        <v>19.155588130332699</v>
      </c>
      <c r="X19" s="14">
        <v>19.3057107579736</v>
      </c>
      <c r="Y19" s="14">
        <v>19.572599603947499</v>
      </c>
      <c r="Z19" s="14">
        <v>19.722026288133598</v>
      </c>
      <c r="AA19" s="14">
        <v>19.306622497210601</v>
      </c>
    </row>
    <row r="20" spans="1:27" x14ac:dyDescent="0.25">
      <c r="A20" s="11" t="s">
        <v>609</v>
      </c>
      <c r="B20" s="11" t="s">
        <v>610</v>
      </c>
      <c r="C20" s="14">
        <v>17.1681277757217</v>
      </c>
      <c r="D20" s="14">
        <v>16.787444514892002</v>
      </c>
      <c r="E20" s="14">
        <v>16.9979840801535</v>
      </c>
      <c r="F20" s="14">
        <v>17.371346559994301</v>
      </c>
      <c r="G20" s="14">
        <v>16.3761405704156</v>
      </c>
      <c r="H20" s="14">
        <v>17.752484707312199</v>
      </c>
      <c r="I20" s="14">
        <v>17.884027513265401</v>
      </c>
      <c r="J20" s="14">
        <v>17.545771495597499</v>
      </c>
      <c r="K20" s="14">
        <v>15.9446150611149</v>
      </c>
      <c r="L20" s="14">
        <v>16.9037074826539</v>
      </c>
      <c r="M20" s="14">
        <v>17.764131279880999</v>
      </c>
      <c r="N20" s="14">
        <v>18.3040010202544</v>
      </c>
      <c r="O20" s="14">
        <v>17.984855619472199</v>
      </c>
      <c r="P20" s="14">
        <v>18.295748154814</v>
      </c>
      <c r="Q20" s="14">
        <v>18.392441941412301</v>
      </c>
      <c r="R20" s="14">
        <v>19.2149491462987</v>
      </c>
      <c r="S20" s="14">
        <v>18.406829091938299</v>
      </c>
      <c r="T20" s="14">
        <v>18.697230774537999</v>
      </c>
      <c r="U20" s="14">
        <v>19.423966056633201</v>
      </c>
      <c r="V20" s="14">
        <v>19.566576521856302</v>
      </c>
      <c r="W20" s="14">
        <v>19.366458016600902</v>
      </c>
      <c r="X20" s="14">
        <v>20.1936952585502</v>
      </c>
      <c r="Y20" s="14">
        <v>20.960736279935599</v>
      </c>
      <c r="Z20" s="14">
        <v>20.6720148014575</v>
      </c>
      <c r="AA20" s="14">
        <v>20.798555640577899</v>
      </c>
    </row>
    <row r="21" spans="1:27" x14ac:dyDescent="0.25">
      <c r="A21" s="11" t="s">
        <v>611</v>
      </c>
      <c r="B21" s="11" t="s">
        <v>612</v>
      </c>
      <c r="C21" s="14" t="s">
        <v>1033</v>
      </c>
      <c r="D21" s="14">
        <v>2.0993157167555099</v>
      </c>
      <c r="E21" s="14">
        <v>2.1492162811446298</v>
      </c>
      <c r="F21" s="14">
        <v>2.22444829252577</v>
      </c>
      <c r="G21" s="14" t="s">
        <v>1033</v>
      </c>
      <c r="H21" s="14">
        <v>2.0159090147869598</v>
      </c>
      <c r="I21" s="14">
        <v>2.0549480710632202</v>
      </c>
      <c r="J21" s="14">
        <v>2.18550213168986</v>
      </c>
      <c r="K21" s="14" t="s">
        <v>1033</v>
      </c>
      <c r="L21" s="14">
        <v>2.0641163612453699</v>
      </c>
      <c r="M21" s="14">
        <v>2.1707242599373</v>
      </c>
      <c r="N21" s="14">
        <v>2.2335454998666702</v>
      </c>
      <c r="O21" s="14" t="s">
        <v>1033</v>
      </c>
      <c r="P21" s="14">
        <v>2.2961807593213002</v>
      </c>
      <c r="Q21" s="14">
        <v>2.3008935035642701</v>
      </c>
      <c r="R21" s="14">
        <v>2.64222969423599</v>
      </c>
      <c r="S21" s="14" t="s">
        <v>1033</v>
      </c>
      <c r="T21" s="14" t="s">
        <v>1033</v>
      </c>
      <c r="U21" s="14">
        <v>0</v>
      </c>
      <c r="V21" s="14" t="s">
        <v>1033</v>
      </c>
      <c r="W21" s="14" t="s">
        <v>1033</v>
      </c>
      <c r="X21" s="14" t="s">
        <v>1033</v>
      </c>
      <c r="Y21" s="14">
        <v>0</v>
      </c>
      <c r="Z21" s="14" t="s">
        <v>1033</v>
      </c>
      <c r="AA21" s="14">
        <v>0</v>
      </c>
    </row>
    <row r="22" spans="1:27" x14ac:dyDescent="0.25">
      <c r="A22" s="11" t="s">
        <v>613</v>
      </c>
      <c r="B22" s="11" t="s">
        <v>614</v>
      </c>
      <c r="C22" s="14">
        <v>10.1369356032568</v>
      </c>
      <c r="D22" s="14">
        <v>10.068919280280699</v>
      </c>
      <c r="E22" s="14">
        <v>10.2765379991886</v>
      </c>
      <c r="F22" s="14">
        <v>10.5930743485109</v>
      </c>
      <c r="G22" s="14">
        <v>10.0783148235049</v>
      </c>
      <c r="H22" s="14">
        <v>10.9906324943251</v>
      </c>
      <c r="I22" s="14">
        <v>11.0812497670066</v>
      </c>
      <c r="J22" s="14">
        <v>10.942692634148401</v>
      </c>
      <c r="K22" s="14">
        <v>10.042364575099</v>
      </c>
      <c r="L22" s="14">
        <v>10.297410817782</v>
      </c>
      <c r="M22" s="14">
        <v>10.8185994050106</v>
      </c>
      <c r="N22" s="14">
        <v>11.052610730448</v>
      </c>
      <c r="O22" s="14">
        <v>11.0743928140013</v>
      </c>
      <c r="P22" s="14">
        <v>11.111638430248</v>
      </c>
      <c r="Q22" s="14">
        <v>10.9187475634885</v>
      </c>
      <c r="R22" s="14">
        <v>11.223376921382799</v>
      </c>
      <c r="S22" s="14">
        <v>10.7673919877231</v>
      </c>
      <c r="T22" s="14">
        <v>10.825855960522601</v>
      </c>
      <c r="U22" s="14">
        <v>11.107626307266299</v>
      </c>
      <c r="V22" s="14">
        <v>11.1196584343939</v>
      </c>
      <c r="W22" s="14">
        <v>10.917285963931599</v>
      </c>
      <c r="X22" s="14">
        <v>11.283348933899701</v>
      </c>
      <c r="Y22" s="14">
        <v>11.5733982448233</v>
      </c>
      <c r="Z22" s="14">
        <v>11.368115065324</v>
      </c>
      <c r="AA22" s="14">
        <v>11.3019834903253</v>
      </c>
    </row>
    <row r="23" spans="1:27" x14ac:dyDescent="0.25">
      <c r="A23" s="11" t="s">
        <v>615</v>
      </c>
      <c r="B23" s="11" t="s">
        <v>616</v>
      </c>
      <c r="C23" s="14" t="s">
        <v>1033</v>
      </c>
      <c r="D23" s="14" t="s">
        <v>1033</v>
      </c>
      <c r="E23" s="14" t="s">
        <v>1033</v>
      </c>
      <c r="F23" s="14">
        <v>1.5843132517182099</v>
      </c>
      <c r="G23" s="14" t="s">
        <v>1033</v>
      </c>
      <c r="H23" s="14" t="s">
        <v>1033</v>
      </c>
      <c r="I23" s="14" t="s">
        <v>1033</v>
      </c>
      <c r="J23" s="14">
        <v>1.51387529924971</v>
      </c>
      <c r="K23" s="14" t="s">
        <v>1033</v>
      </c>
      <c r="L23" s="14" t="s">
        <v>1033</v>
      </c>
      <c r="M23" s="14" t="s">
        <v>1033</v>
      </c>
      <c r="N23" s="14" t="s">
        <v>1033</v>
      </c>
      <c r="O23" s="14" t="s">
        <v>1033</v>
      </c>
      <c r="P23" s="14" t="s">
        <v>1033</v>
      </c>
      <c r="Q23" s="14" t="s">
        <v>1033</v>
      </c>
      <c r="R23" s="14" t="s">
        <v>1033</v>
      </c>
      <c r="S23" s="14" t="s">
        <v>1033</v>
      </c>
      <c r="T23" s="14" t="s">
        <v>1033</v>
      </c>
      <c r="U23" s="14" t="s">
        <v>1033</v>
      </c>
      <c r="V23" s="14" t="s">
        <v>1033</v>
      </c>
      <c r="W23" s="14" t="s">
        <v>1033</v>
      </c>
      <c r="X23" s="14" t="s">
        <v>1033</v>
      </c>
      <c r="Y23" s="14" t="s">
        <v>1033</v>
      </c>
      <c r="Z23" s="14" t="s">
        <v>1033</v>
      </c>
      <c r="AA23" s="14" t="s">
        <v>1033</v>
      </c>
    </row>
    <row r="24" spans="1:27" x14ac:dyDescent="0.25">
      <c r="A24" s="11" t="s">
        <v>617</v>
      </c>
      <c r="B24" s="11" t="s">
        <v>618</v>
      </c>
      <c r="C24" s="14">
        <v>7.0311921724648396</v>
      </c>
      <c r="D24" s="14">
        <v>4.6192095178557802</v>
      </c>
      <c r="E24" s="14">
        <v>4.5722297998202803</v>
      </c>
      <c r="F24" s="14">
        <v>2.9695106672393998</v>
      </c>
      <c r="G24" s="14">
        <v>6.2978257469106804</v>
      </c>
      <c r="H24" s="14">
        <v>4.7459431982002203</v>
      </c>
      <c r="I24" s="14">
        <v>4.7478296751955602</v>
      </c>
      <c r="J24" s="14">
        <v>2.9037014305094999</v>
      </c>
      <c r="K24" s="14">
        <v>5.9022504860159604</v>
      </c>
      <c r="L24" s="14">
        <v>4.5421803036265702</v>
      </c>
      <c r="M24" s="14">
        <v>4.7748076149331</v>
      </c>
      <c r="N24" s="14">
        <v>5.0178447899396703</v>
      </c>
      <c r="O24" s="14">
        <v>6.9104628054709103</v>
      </c>
      <c r="P24" s="14">
        <v>4.8879289652446998</v>
      </c>
      <c r="Q24" s="14">
        <v>5.1728008743595497</v>
      </c>
      <c r="R24" s="14">
        <v>5.3493425306799196</v>
      </c>
      <c r="S24" s="14">
        <v>7.6394371042152098</v>
      </c>
      <c r="T24" s="14">
        <v>7.8713748140153701</v>
      </c>
      <c r="U24" s="14">
        <v>8.3163397493668505</v>
      </c>
      <c r="V24" s="14">
        <v>8.4469180874624499</v>
      </c>
      <c r="W24" s="14">
        <v>8.4491720526692902</v>
      </c>
      <c r="X24" s="14">
        <v>8.9103463246504901</v>
      </c>
      <c r="Y24" s="14">
        <v>9.3873380351123004</v>
      </c>
      <c r="Z24" s="14">
        <v>9.3038997361335394</v>
      </c>
      <c r="AA24" s="14">
        <v>9.4965721502525309</v>
      </c>
    </row>
    <row r="25" spans="1:27" x14ac:dyDescent="0.25">
      <c r="A25" s="11" t="s">
        <v>619</v>
      </c>
      <c r="B25" s="11" t="s">
        <v>620</v>
      </c>
      <c r="C25" s="14">
        <v>9.3444670614359708</v>
      </c>
      <c r="D25" s="14">
        <v>9.1295024493802703</v>
      </c>
      <c r="E25" s="14">
        <v>9.0735052443874498</v>
      </c>
      <c r="F25" s="14">
        <v>9.0385166093929001</v>
      </c>
      <c r="G25" s="14">
        <v>7.9822201366077499</v>
      </c>
      <c r="H25" s="14">
        <v>8.8957092763338093</v>
      </c>
      <c r="I25" s="14">
        <v>9.2049598159339094</v>
      </c>
      <c r="J25" s="14">
        <v>8.6665308753300501</v>
      </c>
      <c r="K25" s="14">
        <v>8.0610112767492996</v>
      </c>
      <c r="L25" s="14">
        <v>8.5270231811130195</v>
      </c>
      <c r="M25" s="14">
        <v>8.4055082937702092</v>
      </c>
      <c r="N25" s="14">
        <v>8.5627456436297908</v>
      </c>
      <c r="O25" s="14">
        <v>8.6858829754120901</v>
      </c>
      <c r="P25" s="14">
        <v>7.7094869073249797</v>
      </c>
      <c r="Q25" s="14">
        <v>7.7957054744932099</v>
      </c>
      <c r="R25" s="14">
        <v>7.8035605723255799</v>
      </c>
      <c r="S25" s="14">
        <v>7.3652030413304796</v>
      </c>
      <c r="T25" s="14">
        <v>7.63330626982279</v>
      </c>
      <c r="U25" s="14">
        <v>7.4170950702697596</v>
      </c>
      <c r="V25" s="14">
        <v>7.5835754887587399</v>
      </c>
      <c r="W25" s="14">
        <v>7.1312646434700699</v>
      </c>
      <c r="X25" s="14">
        <v>6.2240912092426104</v>
      </c>
      <c r="Y25" s="14">
        <v>6.3605528794709896</v>
      </c>
      <c r="Z25" s="14">
        <v>7.2823601983019701</v>
      </c>
      <c r="AA25" s="14">
        <v>6.56809472557664</v>
      </c>
    </row>
    <row r="26" spans="1:27" x14ac:dyDescent="0.25">
      <c r="A26" s="11" t="s">
        <v>621</v>
      </c>
      <c r="B26" s="11" t="s">
        <v>64</v>
      </c>
      <c r="C26" s="14">
        <v>45.334647945965898</v>
      </c>
      <c r="D26" s="14">
        <v>44.370797715692397</v>
      </c>
      <c r="E26" s="14">
        <v>44.296415769580797</v>
      </c>
      <c r="F26" s="14">
        <v>44.739314862542997</v>
      </c>
      <c r="G26" s="14">
        <v>41.469680379581803</v>
      </c>
      <c r="H26" s="14">
        <v>44.2126367845975</v>
      </c>
      <c r="I26" s="14">
        <v>45.185871588883003</v>
      </c>
      <c r="J26" s="14">
        <v>44.218071521693197</v>
      </c>
      <c r="K26" s="14">
        <v>40.243054651431898</v>
      </c>
      <c r="L26" s="14">
        <v>42.060267132598597</v>
      </c>
      <c r="M26" s="14">
        <v>42.800854858001998</v>
      </c>
      <c r="N26" s="14">
        <v>44.189863927438303</v>
      </c>
      <c r="O26" s="14">
        <v>43.840676497196498</v>
      </c>
      <c r="P26" s="14">
        <v>43.234211532652097</v>
      </c>
      <c r="Q26" s="14">
        <v>43.605767222655402</v>
      </c>
      <c r="R26" s="14">
        <v>44.869901826882497</v>
      </c>
      <c r="S26" s="14">
        <v>43.077291090127403</v>
      </c>
      <c r="T26" s="14">
        <v>44.449906427604297</v>
      </c>
      <c r="U26" s="14">
        <v>45.577639294703197</v>
      </c>
      <c r="V26" s="14">
        <v>46.7498297392086</v>
      </c>
      <c r="W26" s="14">
        <v>45.653310790403602</v>
      </c>
      <c r="X26" s="14">
        <v>45.723497225766401</v>
      </c>
      <c r="Y26" s="14">
        <v>46.893888763353999</v>
      </c>
      <c r="Z26" s="14">
        <v>47.676401287893</v>
      </c>
      <c r="AA26" s="14">
        <v>46.673272863365199</v>
      </c>
    </row>
    <row r="27" spans="1:27" x14ac:dyDescent="0.25">
      <c r="A27" s="11" t="s">
        <v>622</v>
      </c>
      <c r="B27" s="11" t="s">
        <v>623</v>
      </c>
      <c r="C27" s="14">
        <v>1.07004071058475</v>
      </c>
      <c r="D27" s="14">
        <v>1.0402959336715001</v>
      </c>
      <c r="E27" s="14">
        <v>0.98398827008317202</v>
      </c>
      <c r="F27" s="14">
        <v>1.1188520189003399</v>
      </c>
      <c r="G27" s="14">
        <v>1.02560091767037</v>
      </c>
      <c r="H27" s="14">
        <v>1.00837383860616</v>
      </c>
      <c r="I27" s="14">
        <v>0.95898960137237999</v>
      </c>
      <c r="J27" s="14">
        <v>0.878015256534868</v>
      </c>
      <c r="K27" s="14">
        <v>0.830538260522239</v>
      </c>
      <c r="L27" s="14">
        <v>0.83668803598467201</v>
      </c>
      <c r="M27" s="14">
        <v>0.84832974502024705</v>
      </c>
      <c r="N27" s="14">
        <v>0.86465591534980402</v>
      </c>
      <c r="O27" s="14">
        <v>0.84698297818200796</v>
      </c>
      <c r="P27" s="14">
        <v>0.845495391484262</v>
      </c>
      <c r="Q27" s="14">
        <v>0.84542597182000401</v>
      </c>
      <c r="R27" s="14">
        <v>0.87288926478520201</v>
      </c>
      <c r="S27" s="14">
        <v>0.81464507583079104</v>
      </c>
      <c r="T27" s="14">
        <v>0.83605303133905196</v>
      </c>
      <c r="U27" s="14">
        <v>0.83874958626563001</v>
      </c>
      <c r="V27" s="14">
        <v>0.82688271206522801</v>
      </c>
      <c r="W27" s="14">
        <v>0.81707673932400204</v>
      </c>
      <c r="X27" s="14">
        <v>0.84670868982574998</v>
      </c>
      <c r="Y27" s="14">
        <v>0.96542291501528499</v>
      </c>
      <c r="Z27" s="14">
        <v>0.92728453054513005</v>
      </c>
      <c r="AA27" s="14">
        <v>0.96828077145303604</v>
      </c>
    </row>
    <row r="28" spans="1:27" x14ac:dyDescent="0.25">
      <c r="A28" s="11" t="s">
        <v>624</v>
      </c>
      <c r="B28" s="11" t="s">
        <v>110</v>
      </c>
      <c r="C28" s="14">
        <v>44.264607235381199</v>
      </c>
      <c r="D28" s="14">
        <v>43.330501782020903</v>
      </c>
      <c r="E28" s="14">
        <v>43.312427499497602</v>
      </c>
      <c r="F28" s="14">
        <v>43.620462843642599</v>
      </c>
      <c r="G28" s="14">
        <v>40.4440794619115</v>
      </c>
      <c r="H28" s="14">
        <v>43.204262945991303</v>
      </c>
      <c r="I28" s="14">
        <v>44.226881987510701</v>
      </c>
      <c r="J28" s="14">
        <v>43.340056265158303</v>
      </c>
      <c r="K28" s="14">
        <v>39.412516390909602</v>
      </c>
      <c r="L28" s="14">
        <v>41.223579096613904</v>
      </c>
      <c r="M28" s="14">
        <v>41.952525112981803</v>
      </c>
      <c r="N28" s="14">
        <v>43.325208012088503</v>
      </c>
      <c r="O28" s="14">
        <v>42.993693519014499</v>
      </c>
      <c r="P28" s="14">
        <v>42.388716141167798</v>
      </c>
      <c r="Q28" s="14">
        <v>42.760341250835403</v>
      </c>
      <c r="R28" s="14">
        <v>43.997012562097296</v>
      </c>
      <c r="S28" s="14">
        <v>42.2626460142966</v>
      </c>
      <c r="T28" s="14">
        <v>43.613853396265199</v>
      </c>
      <c r="U28" s="14">
        <v>44.738889708437597</v>
      </c>
      <c r="V28" s="14">
        <v>45.922947027143401</v>
      </c>
      <c r="W28" s="14">
        <v>44.8362340510796</v>
      </c>
      <c r="X28" s="14">
        <v>44.876788535940697</v>
      </c>
      <c r="Y28" s="14">
        <v>45.928465848338703</v>
      </c>
      <c r="Z28" s="14">
        <v>46.749116757347899</v>
      </c>
      <c r="AA28" s="14">
        <v>45.704992091912104</v>
      </c>
    </row>
    <row r="29" spans="1:27" x14ac:dyDescent="0.25">
      <c r="A29" s="11" t="s">
        <v>625</v>
      </c>
      <c r="B29" s="11" t="s">
        <v>626</v>
      </c>
      <c r="C29" s="14">
        <v>1.1468935048112501</v>
      </c>
      <c r="D29" s="14">
        <v>1.74655092179858</v>
      </c>
      <c r="E29" s="14">
        <v>1.76471220779942</v>
      </c>
      <c r="F29" s="14">
        <v>1.8248742661798401</v>
      </c>
      <c r="G29" s="14">
        <v>1.70691902601804</v>
      </c>
      <c r="H29" s="14">
        <v>1.1375316155041</v>
      </c>
      <c r="I29" s="14">
        <v>1.15337837379567</v>
      </c>
      <c r="J29" s="14">
        <v>1.1589628495433799</v>
      </c>
      <c r="K29" s="14">
        <v>1.4104165858072999</v>
      </c>
      <c r="L29" s="14">
        <v>1.0885054118506401</v>
      </c>
      <c r="M29" s="14">
        <v>1.44771361201835</v>
      </c>
      <c r="N29" s="14">
        <v>1.73409427304944</v>
      </c>
      <c r="O29" s="14">
        <v>1.66960011380116</v>
      </c>
      <c r="P29" s="14">
        <v>1.5435036766819801</v>
      </c>
      <c r="Q29" s="14">
        <v>1.45955739028737</v>
      </c>
      <c r="R29" s="14">
        <v>1.5145554076098799</v>
      </c>
      <c r="S29" s="14">
        <v>1.44990458792043</v>
      </c>
      <c r="T29" s="14">
        <v>1.43596769298562</v>
      </c>
      <c r="U29" s="14">
        <v>1.4567995203367201</v>
      </c>
      <c r="V29" s="14">
        <v>1.4710613307089799</v>
      </c>
      <c r="W29" s="14">
        <v>1.4113357351790701</v>
      </c>
      <c r="X29" s="14">
        <v>1.43459190225634</v>
      </c>
      <c r="Y29" s="14">
        <v>1.45074470073484</v>
      </c>
      <c r="Z29" s="14">
        <v>1.53190313634357</v>
      </c>
      <c r="AA29" s="14">
        <v>1.50380760489076</v>
      </c>
    </row>
    <row r="30" spans="1:27" x14ac:dyDescent="0.25">
      <c r="A30" s="11" t="s">
        <v>627</v>
      </c>
      <c r="B30" s="11" t="s">
        <v>628</v>
      </c>
      <c r="C30" s="14">
        <v>1.1468935048112501</v>
      </c>
      <c r="D30" s="14">
        <v>1.74655092179858</v>
      </c>
      <c r="E30" s="14">
        <v>1.76471220779942</v>
      </c>
      <c r="F30" s="14">
        <v>1.8248742661798401</v>
      </c>
      <c r="G30" s="14">
        <v>1.70691902601804</v>
      </c>
      <c r="H30" s="14">
        <v>1.1375316155041</v>
      </c>
      <c r="I30" s="14">
        <v>1.15337837379567</v>
      </c>
      <c r="J30" s="14">
        <v>1.1589628495433799</v>
      </c>
      <c r="K30" s="14">
        <v>1.4104165858072999</v>
      </c>
      <c r="L30" s="14">
        <v>1.0885054118506401</v>
      </c>
      <c r="M30" s="14">
        <v>1.44771361201835</v>
      </c>
      <c r="N30" s="14">
        <v>1.73409427304944</v>
      </c>
      <c r="O30" s="14">
        <v>1.66960011380116</v>
      </c>
      <c r="P30" s="14">
        <v>1.5435036766819801</v>
      </c>
      <c r="Q30" s="14">
        <v>1.45955739028737</v>
      </c>
      <c r="R30" s="14">
        <v>1.5145554076098799</v>
      </c>
      <c r="S30" s="14">
        <v>1.44990458792043</v>
      </c>
      <c r="T30" s="14">
        <v>1.43596769298562</v>
      </c>
      <c r="U30" s="14">
        <v>1.4567995203367201</v>
      </c>
      <c r="V30" s="14">
        <v>1.4710613307089799</v>
      </c>
      <c r="W30" s="14">
        <v>1.4113357351790701</v>
      </c>
      <c r="X30" s="14">
        <v>1.43459190225634</v>
      </c>
      <c r="Y30" s="14">
        <v>1.45074470073484</v>
      </c>
      <c r="Z30" s="14">
        <v>1.53190313634357</v>
      </c>
      <c r="AA30" s="14">
        <v>1.50380760489076</v>
      </c>
    </row>
    <row r="31" spans="1:27" x14ac:dyDescent="0.25">
      <c r="A31" s="11" t="s">
        <v>629</v>
      </c>
      <c r="B31" s="11" t="s">
        <v>630</v>
      </c>
      <c r="C31" s="14">
        <v>1.5037472242783101</v>
      </c>
      <c r="D31" s="14">
        <v>2.2654421614513498</v>
      </c>
      <c r="E31" s="14">
        <v>2.1865915338243802</v>
      </c>
      <c r="F31" s="14">
        <v>1.4944873997709001</v>
      </c>
      <c r="G31" s="14">
        <v>1.6192189373794299</v>
      </c>
      <c r="H31" s="14">
        <v>3.01909200857689</v>
      </c>
      <c r="I31" s="14">
        <v>3.02340437499773</v>
      </c>
      <c r="J31" s="14">
        <v>1.4442867415968299</v>
      </c>
      <c r="K31" s="14">
        <v>2.1340976610804501</v>
      </c>
      <c r="L31" s="14">
        <v>2.18906031428976</v>
      </c>
      <c r="M31" s="14">
        <v>2.1996295679113298</v>
      </c>
      <c r="N31" s="14">
        <v>2.1655768495008898</v>
      </c>
      <c r="O31" s="14">
        <v>2.0976690010614898</v>
      </c>
      <c r="P31" s="14">
        <v>2.0317809159350899</v>
      </c>
      <c r="Q31" s="14">
        <v>1.9300651592782401</v>
      </c>
      <c r="R31" s="14">
        <v>1.93836189407783</v>
      </c>
      <c r="S31" s="14">
        <v>1.81957160372865</v>
      </c>
      <c r="T31" s="14">
        <v>1.7627010615549099</v>
      </c>
      <c r="U31" s="14">
        <v>1.79233241227075</v>
      </c>
      <c r="V31" s="14">
        <v>1.7386226741647499</v>
      </c>
      <c r="W31" s="14">
        <v>1.66705905257801</v>
      </c>
      <c r="X31" s="14">
        <v>1.6551520886867399</v>
      </c>
      <c r="Y31" s="14">
        <v>1.57643897829761</v>
      </c>
      <c r="Z31" s="14">
        <v>1.50338847322642</v>
      </c>
      <c r="AA31" s="14">
        <v>1.4685635960877299</v>
      </c>
    </row>
    <row r="32" spans="1:27" x14ac:dyDescent="0.25">
      <c r="A32" s="11" t="s">
        <v>631</v>
      </c>
      <c r="B32" s="11" t="s">
        <v>632</v>
      </c>
      <c r="C32" s="14">
        <v>1.4647136380458901</v>
      </c>
      <c r="D32" s="14">
        <v>1.5015857043011001</v>
      </c>
      <c r="E32" s="14">
        <v>1.4907768445912899</v>
      </c>
      <c r="F32" s="14">
        <v>1.4944873997709001</v>
      </c>
      <c r="G32" s="14">
        <v>1.3937640127222499</v>
      </c>
      <c r="H32" s="14">
        <v>1.4824981800822301</v>
      </c>
      <c r="I32" s="14">
        <v>1.4821240195260501</v>
      </c>
      <c r="J32" s="14">
        <v>1.4442867415968299</v>
      </c>
      <c r="K32" s="14">
        <v>1.31274666200262</v>
      </c>
      <c r="L32" s="14">
        <v>1.3143376710092001</v>
      </c>
      <c r="M32" s="14">
        <v>1.3145286313467801</v>
      </c>
      <c r="N32" s="14">
        <v>1.2917908169377701</v>
      </c>
      <c r="O32" s="14">
        <v>1.2539723600266801</v>
      </c>
      <c r="P32" s="14">
        <v>1.2180007283088501</v>
      </c>
      <c r="Q32" s="14">
        <v>1.1615633353753601</v>
      </c>
      <c r="R32" s="14">
        <v>1.1791939632302499</v>
      </c>
      <c r="S32" s="14">
        <v>1.11977169565488</v>
      </c>
      <c r="T32" s="14">
        <v>1.1030331254904999</v>
      </c>
      <c r="U32" s="14">
        <v>1.1561008929224501</v>
      </c>
      <c r="V32" s="14">
        <v>1.1357598649082301</v>
      </c>
      <c r="W32" s="14">
        <v>1.0981843566118099</v>
      </c>
      <c r="X32" s="14">
        <v>1.10537571881111</v>
      </c>
      <c r="Y32" s="14">
        <v>1.10167806244304</v>
      </c>
      <c r="Z32" s="14">
        <v>1.0573898962658901</v>
      </c>
      <c r="AA32" s="14">
        <v>1.0437006740369299</v>
      </c>
    </row>
    <row r="33" spans="1:27" x14ac:dyDescent="0.25">
      <c r="A33" s="11" t="s">
        <v>633</v>
      </c>
      <c r="B33" s="11" t="s">
        <v>634</v>
      </c>
      <c r="C33" s="14">
        <v>3.9033586232420397E-2</v>
      </c>
      <c r="D33" s="14">
        <v>0.76385645715025496</v>
      </c>
      <c r="E33" s="14">
        <v>0.69581468923308898</v>
      </c>
      <c r="F33" s="14" t="s">
        <v>1033</v>
      </c>
      <c r="G33" s="14">
        <v>0.22545492465717701</v>
      </c>
      <c r="H33" s="14">
        <v>1.5365938284946601</v>
      </c>
      <c r="I33" s="14">
        <v>1.5412803554716701</v>
      </c>
      <c r="J33" s="14" t="s">
        <v>1033</v>
      </c>
      <c r="K33" s="14">
        <v>0.82135099907783504</v>
      </c>
      <c r="L33" s="14">
        <v>0.87472264328055205</v>
      </c>
      <c r="M33" s="14">
        <v>0.88510093656455102</v>
      </c>
      <c r="N33" s="14">
        <v>0.87378603256311804</v>
      </c>
      <c r="O33" s="14">
        <v>0.84369664103480202</v>
      </c>
      <c r="P33" s="14">
        <v>0.81378018762623305</v>
      </c>
      <c r="Q33" s="14">
        <v>0.76850182390287403</v>
      </c>
      <c r="R33" s="14">
        <v>0.75916793084758205</v>
      </c>
      <c r="S33" s="14">
        <v>0.69979990807377002</v>
      </c>
      <c r="T33" s="14">
        <v>0.65966793606440699</v>
      </c>
      <c r="U33" s="14">
        <v>0.63623151934830602</v>
      </c>
      <c r="V33" s="14">
        <v>0.60286280925652203</v>
      </c>
      <c r="W33" s="14">
        <v>0.56887469596620799</v>
      </c>
      <c r="X33" s="14">
        <v>0.54977636987563006</v>
      </c>
      <c r="Y33" s="14">
        <v>0.47476091585457603</v>
      </c>
      <c r="Z33" s="14">
        <v>0.44599857696053702</v>
      </c>
      <c r="AA33" s="14">
        <v>0.42486292205079901</v>
      </c>
    </row>
    <row r="34" spans="1:27" x14ac:dyDescent="0.25">
      <c r="A34" s="11" t="s">
        <v>635</v>
      </c>
      <c r="B34" s="11" t="s">
        <v>636</v>
      </c>
      <c r="C34" s="14">
        <v>0.78003562176165797</v>
      </c>
      <c r="D34" s="14">
        <v>0.77898013535796795</v>
      </c>
      <c r="E34" s="14">
        <v>0.80031506032470801</v>
      </c>
      <c r="F34" s="14">
        <v>0.82806459407216504</v>
      </c>
      <c r="G34" s="14">
        <v>0.70446842901089701</v>
      </c>
      <c r="H34" s="14">
        <v>0.78538460222750395</v>
      </c>
      <c r="I34" s="14">
        <v>0.80258543914426606</v>
      </c>
      <c r="J34" s="14">
        <v>0.81064186259609605</v>
      </c>
      <c r="K34" s="14">
        <v>0.65932111542197303</v>
      </c>
      <c r="L34" s="14">
        <v>0.69917726410262204</v>
      </c>
      <c r="M34" s="14">
        <v>0.71205991328255902</v>
      </c>
      <c r="N34" s="14">
        <v>0.72239033231694405</v>
      </c>
      <c r="O34" s="14">
        <v>0.68003705110395096</v>
      </c>
      <c r="P34" s="14">
        <v>0.67377695678244498</v>
      </c>
      <c r="Q34" s="14">
        <v>0.65289805635999099</v>
      </c>
      <c r="R34" s="14">
        <v>0.68114111687801304</v>
      </c>
      <c r="S34" s="14">
        <v>0.60591158299723802</v>
      </c>
      <c r="T34" s="14">
        <v>0.60911379117893805</v>
      </c>
      <c r="U34" s="14">
        <v>0.63152083589011898</v>
      </c>
      <c r="V34" s="14">
        <v>0.63244347200095197</v>
      </c>
      <c r="W34" s="14">
        <v>0.57435895828787598</v>
      </c>
      <c r="X34" s="14">
        <v>0.59362696728555298</v>
      </c>
      <c r="Y34" s="14">
        <v>0.61456292146339397</v>
      </c>
      <c r="Z34" s="14">
        <v>0.60638874682865795</v>
      </c>
      <c r="AA34" s="14">
        <v>0.55350924481839103</v>
      </c>
    </row>
    <row r="35" spans="1:27" x14ac:dyDescent="0.25">
      <c r="A35" s="11" t="s">
        <v>637</v>
      </c>
      <c r="B35" s="11" t="s">
        <v>638</v>
      </c>
      <c r="C35" s="14">
        <v>0.216390636565507</v>
      </c>
      <c r="D35" s="14">
        <v>1.12838686813504E-2</v>
      </c>
      <c r="E35" s="14">
        <v>0</v>
      </c>
      <c r="F35" s="14" t="s">
        <v>1033</v>
      </c>
      <c r="G35" s="14" t="s">
        <v>1033</v>
      </c>
      <c r="H35" s="14">
        <v>1.10965432640885E-10</v>
      </c>
      <c r="I35" s="14">
        <v>0</v>
      </c>
      <c r="J35" s="14">
        <v>0</v>
      </c>
      <c r="K35" s="14">
        <v>0</v>
      </c>
      <c r="L35" s="14" t="s">
        <v>1033</v>
      </c>
      <c r="M35" s="14" t="s">
        <v>1033</v>
      </c>
      <c r="N35" s="14">
        <v>0</v>
      </c>
      <c r="O35" s="14">
        <v>0</v>
      </c>
      <c r="P35" s="14" t="s">
        <v>1033</v>
      </c>
      <c r="Q35" s="14">
        <v>5.2210960124749405E-4</v>
      </c>
      <c r="R35" s="14">
        <v>0</v>
      </c>
      <c r="S35" s="14">
        <v>0</v>
      </c>
      <c r="T35" s="14">
        <v>8.3079638589198507E-2</v>
      </c>
      <c r="U35" s="14">
        <v>6.8759449775643397E-2</v>
      </c>
      <c r="V35" s="14">
        <v>0</v>
      </c>
      <c r="W35" s="14">
        <v>0.106551382249558</v>
      </c>
      <c r="X35" s="14">
        <v>8.88895578932858E-2</v>
      </c>
      <c r="Y35" s="14">
        <v>7.7233833201222804E-2</v>
      </c>
      <c r="Z35" s="14">
        <v>0.13226032001840901</v>
      </c>
      <c r="AA35" s="14">
        <v>7.1512332178386998E-2</v>
      </c>
    </row>
    <row r="36" spans="1:27" x14ac:dyDescent="0.25">
      <c r="A36" s="11" t="s">
        <v>639</v>
      </c>
      <c r="B36" s="11" t="s">
        <v>640</v>
      </c>
      <c r="C36" s="14">
        <v>3.46577766469282</v>
      </c>
      <c r="D36" s="14">
        <v>4.6256918100776199</v>
      </c>
      <c r="E36" s="14">
        <v>4.01457161175151</v>
      </c>
      <c r="F36" s="14">
        <v>2.81502809994273</v>
      </c>
      <c r="G36" s="14">
        <v>2.0897335627509301</v>
      </c>
      <c r="H36" s="14">
        <v>1.8765307947344101</v>
      </c>
      <c r="I36" s="14">
        <v>1.9439524914392301</v>
      </c>
      <c r="J36" s="14">
        <v>1.5147397533820399</v>
      </c>
      <c r="K36" s="14">
        <v>5.8534155241136103</v>
      </c>
      <c r="L36" s="14">
        <v>2.0454148437939401</v>
      </c>
      <c r="M36" s="14">
        <v>2.2852322751660998</v>
      </c>
      <c r="N36" s="14">
        <v>2.0788165822251599</v>
      </c>
      <c r="O36" s="14">
        <v>3.61670792584709</v>
      </c>
      <c r="P36" s="14">
        <v>4.7530366737276699</v>
      </c>
      <c r="Q36" s="14">
        <v>5.8555026871240798</v>
      </c>
      <c r="R36" s="14">
        <v>1.6843681300687201</v>
      </c>
      <c r="S36" s="14">
        <v>1.6111303377850601</v>
      </c>
      <c r="T36" s="14">
        <v>1.2364205037098399</v>
      </c>
      <c r="U36" s="14">
        <v>0.99961529418424799</v>
      </c>
      <c r="V36" s="14">
        <v>1.0572962464931099</v>
      </c>
      <c r="W36" s="14">
        <v>0.85914886599165796</v>
      </c>
      <c r="X36" s="14">
        <v>0.93171626167913302</v>
      </c>
      <c r="Y36" s="14">
        <v>0.87926215785272399</v>
      </c>
      <c r="Z36" s="14">
        <v>0.85705610923771203</v>
      </c>
      <c r="AA36" s="14">
        <v>0.90811177472363402</v>
      </c>
    </row>
    <row r="37" spans="1:27" x14ac:dyDescent="0.25">
      <c r="A37" s="11" t="s">
        <v>641</v>
      </c>
      <c r="B37" s="11" t="s">
        <v>642</v>
      </c>
      <c r="C37" s="14" t="s">
        <v>1033</v>
      </c>
      <c r="D37" s="14" t="s">
        <v>1033</v>
      </c>
      <c r="E37" s="14" t="s">
        <v>1033</v>
      </c>
      <c r="F37" s="14">
        <v>0</v>
      </c>
      <c r="G37" s="14" t="s">
        <v>1033</v>
      </c>
      <c r="H37" s="14" t="s">
        <v>1033</v>
      </c>
      <c r="I37" s="14">
        <v>0</v>
      </c>
      <c r="J37" s="14" t="s">
        <v>1033</v>
      </c>
      <c r="K37" s="14" t="s">
        <v>1033</v>
      </c>
      <c r="L37" s="14" t="s">
        <v>1033</v>
      </c>
      <c r="M37" s="14" t="s">
        <v>1033</v>
      </c>
      <c r="N37" s="14">
        <v>0</v>
      </c>
      <c r="O37" s="14" t="s">
        <v>1033</v>
      </c>
      <c r="P37" s="14" t="s">
        <v>1033</v>
      </c>
      <c r="Q37" s="14">
        <v>0</v>
      </c>
      <c r="R37" s="14">
        <v>0</v>
      </c>
      <c r="S37" s="14" t="s">
        <v>1033</v>
      </c>
      <c r="T37" s="14" t="s">
        <v>1033</v>
      </c>
      <c r="U37" s="14">
        <v>0</v>
      </c>
      <c r="V37" s="14">
        <v>0</v>
      </c>
      <c r="W37" s="14" t="s">
        <v>1033</v>
      </c>
      <c r="X37" s="14" t="s">
        <v>1033</v>
      </c>
      <c r="Y37" s="14">
        <v>0</v>
      </c>
      <c r="Z37" s="14">
        <v>0</v>
      </c>
      <c r="AA37" s="14">
        <v>0</v>
      </c>
    </row>
    <row r="38" spans="1:27" x14ac:dyDescent="0.25">
      <c r="A38" s="11" t="s">
        <v>643</v>
      </c>
      <c r="B38" s="11" t="s">
        <v>644</v>
      </c>
      <c r="C38" s="14">
        <v>1.8802623056994801</v>
      </c>
      <c r="D38" s="14">
        <v>0.43350518801617</v>
      </c>
      <c r="E38" s="14">
        <v>0.425611138170851</v>
      </c>
      <c r="F38" s="14">
        <v>2.1631474620561302</v>
      </c>
      <c r="G38" s="14">
        <v>0.79248135982063705</v>
      </c>
      <c r="H38" s="14">
        <v>0.43068624892023699</v>
      </c>
      <c r="I38" s="14">
        <v>0.444073160950271</v>
      </c>
      <c r="J38" s="14">
        <v>2.3353768668832502</v>
      </c>
      <c r="K38" s="14">
        <v>1.07859431952116</v>
      </c>
      <c r="L38" s="14">
        <v>2.25022232510941</v>
      </c>
      <c r="M38" s="14">
        <v>1.93496117858977</v>
      </c>
      <c r="N38" s="14">
        <v>1.53356984684591</v>
      </c>
      <c r="O38" s="14">
        <v>0.68848763233962296</v>
      </c>
      <c r="P38" s="14">
        <v>0.77941824733113096</v>
      </c>
      <c r="Q38" s="14">
        <v>1.0897732652038301</v>
      </c>
      <c r="R38" s="14">
        <v>1.39881197032431</v>
      </c>
      <c r="S38" s="14">
        <v>1.65350323683027</v>
      </c>
      <c r="T38" s="14">
        <v>1.5870551820462599</v>
      </c>
      <c r="U38" s="14">
        <v>1.46394818909345</v>
      </c>
      <c r="V38" s="14">
        <v>1.6011191283294901</v>
      </c>
      <c r="W38" s="14">
        <v>1.8465511237057599</v>
      </c>
      <c r="X38" s="14">
        <v>1.67028391182188</v>
      </c>
      <c r="Y38" s="14">
        <v>1.6410396199999799</v>
      </c>
      <c r="Z38" s="14">
        <v>1.64369139053429</v>
      </c>
      <c r="AA38" s="14">
        <v>1.70863258177729</v>
      </c>
    </row>
    <row r="39" spans="1:27" x14ac:dyDescent="0.25">
      <c r="A39" s="7" t="s">
        <v>65</v>
      </c>
      <c r="B39" s="7" t="s">
        <v>66</v>
      </c>
      <c r="C39" s="20">
        <v>100</v>
      </c>
      <c r="D39" s="20">
        <v>100</v>
      </c>
      <c r="E39" s="20">
        <v>100</v>
      </c>
      <c r="F39" s="20">
        <v>100</v>
      </c>
      <c r="G39" s="20">
        <v>100</v>
      </c>
      <c r="H39" s="20">
        <v>100</v>
      </c>
      <c r="I39" s="20">
        <v>100</v>
      </c>
      <c r="J39" s="20">
        <v>100</v>
      </c>
      <c r="K39" s="20">
        <v>100</v>
      </c>
      <c r="L39" s="20">
        <v>100</v>
      </c>
      <c r="M39" s="20">
        <v>100</v>
      </c>
      <c r="N39" s="20">
        <v>100</v>
      </c>
      <c r="O39" s="20">
        <v>100</v>
      </c>
      <c r="P39" s="20">
        <v>100</v>
      </c>
      <c r="Q39" s="20">
        <v>100</v>
      </c>
      <c r="R39" s="20">
        <v>100</v>
      </c>
      <c r="S39" s="20">
        <v>100</v>
      </c>
      <c r="T39" s="20">
        <v>100</v>
      </c>
      <c r="U39" s="20">
        <v>100</v>
      </c>
      <c r="V39" s="20">
        <v>100</v>
      </c>
      <c r="W39" s="20">
        <v>100</v>
      </c>
      <c r="X39" s="20">
        <v>100</v>
      </c>
      <c r="Y39" s="20">
        <v>100</v>
      </c>
      <c r="Z39" s="20">
        <v>100</v>
      </c>
      <c r="AA39" s="20">
        <v>100</v>
      </c>
    </row>
    <row r="40" spans="1:27" x14ac:dyDescent="0.25">
      <c r="A40" s="7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x14ac:dyDescent="0.25">
      <c r="A41" s="7" t="s">
        <v>645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x14ac:dyDescent="0.25">
      <c r="A42" s="11" t="s">
        <v>646</v>
      </c>
      <c r="B42" s="11" t="s">
        <v>647</v>
      </c>
      <c r="C42" s="14">
        <v>25.088418301258301</v>
      </c>
      <c r="D42" s="14">
        <v>26.476431545217999</v>
      </c>
      <c r="E42" s="14">
        <v>27.8019530116424</v>
      </c>
      <c r="F42" s="14">
        <v>29.100164214633502</v>
      </c>
      <c r="G42" s="14">
        <v>28.208040043797901</v>
      </c>
      <c r="H42" s="14">
        <v>29.50421709694</v>
      </c>
      <c r="I42" s="14">
        <v>28.4924172378641</v>
      </c>
      <c r="J42" s="14">
        <v>28.5297418145649</v>
      </c>
      <c r="K42" s="14">
        <v>28.037851517150902</v>
      </c>
      <c r="L42" s="14">
        <v>29.117769114166698</v>
      </c>
      <c r="M42" s="14">
        <v>29.072731410441602</v>
      </c>
      <c r="N42" s="14">
        <v>28.877353058251099</v>
      </c>
      <c r="O42" s="14">
        <v>28.326536092667201</v>
      </c>
      <c r="P42" s="14">
        <v>29.360247296450002</v>
      </c>
      <c r="Q42" s="14">
        <v>29.398164262641998</v>
      </c>
      <c r="R42" s="14">
        <v>29.844618941217899</v>
      </c>
      <c r="S42" s="14">
        <v>29.1147320342039</v>
      </c>
      <c r="T42" s="14">
        <v>28.963500400203198</v>
      </c>
      <c r="U42" s="14">
        <v>28.861407147263801</v>
      </c>
      <c r="V42" s="14">
        <v>29.223792888420199</v>
      </c>
      <c r="W42" s="14">
        <v>30.3121837980005</v>
      </c>
      <c r="X42" s="14">
        <v>30.788506627698901</v>
      </c>
      <c r="Y42" s="14">
        <v>29.609411209586199</v>
      </c>
      <c r="Z42" s="14">
        <v>31.290667547119401</v>
      </c>
      <c r="AA42" s="14">
        <v>30.730385608911401</v>
      </c>
    </row>
    <row r="43" spans="1:27" x14ac:dyDescent="0.25">
      <c r="A43" s="11" t="s">
        <v>648</v>
      </c>
      <c r="B43" s="11" t="s">
        <v>649</v>
      </c>
      <c r="C43" s="14">
        <v>17.439338915618102</v>
      </c>
      <c r="D43" s="14">
        <v>16.4575012435036</v>
      </c>
      <c r="E43" s="14">
        <v>15.4936655585583</v>
      </c>
      <c r="F43" s="14">
        <v>14.906784704324201</v>
      </c>
      <c r="G43" s="14">
        <v>13.2932895354294</v>
      </c>
      <c r="H43" s="14">
        <v>13.6710678388463</v>
      </c>
      <c r="I43" s="14">
        <v>13.8376739718151</v>
      </c>
      <c r="J43" s="14">
        <v>12.9749702708821</v>
      </c>
      <c r="K43" s="14">
        <v>11.544752034830999</v>
      </c>
      <c r="L43" s="14">
        <v>12.3752351920302</v>
      </c>
      <c r="M43" s="14">
        <v>12.7893483994751</v>
      </c>
      <c r="N43" s="14">
        <v>13.4852797390622</v>
      </c>
      <c r="O43" s="14">
        <v>13.285487394314901</v>
      </c>
      <c r="P43" s="14">
        <v>13.377609887477201</v>
      </c>
      <c r="Q43" s="14">
        <v>13.970565201047</v>
      </c>
      <c r="R43" s="14">
        <v>14.954597186023401</v>
      </c>
      <c r="S43" s="14">
        <v>13.580910737626599</v>
      </c>
      <c r="T43" s="14">
        <v>14.397376933921899</v>
      </c>
      <c r="U43" s="14">
        <v>15.514842578462799</v>
      </c>
      <c r="V43" s="14">
        <v>14.789481585733901</v>
      </c>
      <c r="W43" s="14">
        <v>14.2624509403355</v>
      </c>
      <c r="X43" s="14">
        <v>14.726789387600901</v>
      </c>
      <c r="Y43" s="14">
        <v>15.125596639331899</v>
      </c>
      <c r="Z43" s="14">
        <v>14.979741505535699</v>
      </c>
      <c r="AA43" s="14">
        <v>14.9355687165225</v>
      </c>
    </row>
    <row r="44" spans="1:27" x14ac:dyDescent="0.25">
      <c r="A44" s="11" t="s">
        <v>650</v>
      </c>
      <c r="B44" s="11" t="s">
        <v>651</v>
      </c>
      <c r="C44" s="14">
        <v>17.439338915618102</v>
      </c>
      <c r="D44" s="14">
        <v>16.4575012435036</v>
      </c>
      <c r="E44" s="14">
        <v>15.4936655585583</v>
      </c>
      <c r="F44" s="14">
        <v>14.906784704324201</v>
      </c>
      <c r="G44" s="14">
        <v>13.2932895354294</v>
      </c>
      <c r="H44" s="14">
        <v>13.6710678388463</v>
      </c>
      <c r="I44" s="14">
        <v>13.8376739718151</v>
      </c>
      <c r="J44" s="14">
        <v>12.9749702708821</v>
      </c>
      <c r="K44" s="14">
        <v>11.544752034830999</v>
      </c>
      <c r="L44" s="14">
        <v>12.3752351920302</v>
      </c>
      <c r="M44" s="14">
        <v>12.7893483994751</v>
      </c>
      <c r="N44" s="14">
        <v>13.4852797390622</v>
      </c>
      <c r="O44" s="14">
        <v>13.285487394314901</v>
      </c>
      <c r="P44" s="14">
        <v>13.377609887477201</v>
      </c>
      <c r="Q44" s="14">
        <v>13.970565201047</v>
      </c>
      <c r="R44" s="14">
        <v>14.954597186023401</v>
      </c>
      <c r="S44" s="14">
        <v>13.580910737626599</v>
      </c>
      <c r="T44" s="14">
        <v>14.397376933921899</v>
      </c>
      <c r="U44" s="14">
        <v>15.514842578462799</v>
      </c>
      <c r="V44" s="14">
        <v>14.789481585733901</v>
      </c>
      <c r="W44" s="14">
        <v>14.2624509403355</v>
      </c>
      <c r="X44" s="14">
        <v>14.726789387600901</v>
      </c>
      <c r="Y44" s="14">
        <v>15.125596639331899</v>
      </c>
      <c r="Z44" s="14">
        <v>14.979741505535699</v>
      </c>
      <c r="AA44" s="14">
        <v>14.9355687165225</v>
      </c>
    </row>
    <row r="45" spans="1:27" x14ac:dyDescent="0.25">
      <c r="A45" s="11" t="s">
        <v>652</v>
      </c>
      <c r="B45" s="11" t="s">
        <v>653</v>
      </c>
      <c r="C45" s="14">
        <v>2.1724648408586198</v>
      </c>
      <c r="D45" s="14">
        <v>1.98400480061299</v>
      </c>
      <c r="E45" s="14">
        <v>1.9949482109591199</v>
      </c>
      <c r="F45" s="14">
        <v>1.95256568585338</v>
      </c>
      <c r="G45" s="14">
        <v>1.8028051514677499</v>
      </c>
      <c r="H45" s="14">
        <v>1.7702678868786099</v>
      </c>
      <c r="I45" s="14">
        <v>1.6513816932704299</v>
      </c>
      <c r="J45" s="14">
        <v>1.66531685755795</v>
      </c>
      <c r="K45" s="14">
        <v>1.4912350086738599</v>
      </c>
      <c r="L45" s="14">
        <v>1.0577370573643701</v>
      </c>
      <c r="M45" s="14">
        <v>1.07487523199907</v>
      </c>
      <c r="N45" s="14">
        <v>0.97846838177609297</v>
      </c>
      <c r="O45" s="14">
        <v>1.4375377635349</v>
      </c>
      <c r="P45" s="14">
        <v>1.8366525537812299</v>
      </c>
      <c r="Q45" s="14">
        <v>1.7485885637112899</v>
      </c>
      <c r="R45" s="14">
        <v>1.4789048464102601</v>
      </c>
      <c r="S45" s="14">
        <v>2.0748109187655199</v>
      </c>
      <c r="T45" s="14">
        <v>2.02360315940818</v>
      </c>
      <c r="U45" s="14">
        <v>2.0944773021502598</v>
      </c>
      <c r="V45" s="14">
        <v>1.8549624900200701</v>
      </c>
      <c r="W45" s="14">
        <v>1.5446424828979199</v>
      </c>
      <c r="X45" s="14">
        <v>1.5609941211678799</v>
      </c>
      <c r="Y45" s="14">
        <v>1.56368622978141</v>
      </c>
      <c r="Z45" s="14">
        <v>1.5236681324204</v>
      </c>
      <c r="AA45" s="14">
        <v>1.5063494225331799</v>
      </c>
    </row>
    <row r="46" spans="1:27" x14ac:dyDescent="0.25">
      <c r="A46" s="11" t="s">
        <v>654</v>
      </c>
      <c r="B46" s="11" t="s">
        <v>62</v>
      </c>
      <c r="C46" s="14">
        <v>44.700222057734997</v>
      </c>
      <c r="D46" s="14">
        <v>44.9179375893345</v>
      </c>
      <c r="E46" s="14">
        <v>45.290566781159797</v>
      </c>
      <c r="F46" s="14">
        <v>45.959514604810998</v>
      </c>
      <c r="G46" s="14">
        <v>43.304134730694997</v>
      </c>
      <c r="H46" s="14">
        <v>44.945552822665</v>
      </c>
      <c r="I46" s="14">
        <v>43.981472902949598</v>
      </c>
      <c r="J46" s="14">
        <v>43.170028943004901</v>
      </c>
      <c r="K46" s="14">
        <v>41.073838560655801</v>
      </c>
      <c r="L46" s="14">
        <v>42.550741363561301</v>
      </c>
      <c r="M46" s="14">
        <v>42.936955041915802</v>
      </c>
      <c r="N46" s="14">
        <v>43.341101179089399</v>
      </c>
      <c r="O46" s="14">
        <v>43.049561250517002</v>
      </c>
      <c r="P46" s="14">
        <v>44.574509737708397</v>
      </c>
      <c r="Q46" s="14">
        <v>45.117318027400302</v>
      </c>
      <c r="R46" s="14">
        <v>46.278120973651603</v>
      </c>
      <c r="S46" s="14">
        <v>44.770453690596</v>
      </c>
      <c r="T46" s="14">
        <v>45.384480493533303</v>
      </c>
      <c r="U46" s="14">
        <v>46.470727027876897</v>
      </c>
      <c r="V46" s="14">
        <v>45.868236964174201</v>
      </c>
      <c r="W46" s="14">
        <v>46.119277221234</v>
      </c>
      <c r="X46" s="14">
        <v>47.076290136467698</v>
      </c>
      <c r="Y46" s="14">
        <v>46.298694078699597</v>
      </c>
      <c r="Z46" s="14">
        <v>47.794077185075601</v>
      </c>
      <c r="AA46" s="14">
        <v>47.172303747967</v>
      </c>
    </row>
    <row r="47" spans="1:27" x14ac:dyDescent="0.25">
      <c r="A47" s="11" t="s">
        <v>655</v>
      </c>
      <c r="B47" s="11" t="s">
        <v>656</v>
      </c>
      <c r="C47" s="14">
        <v>21.9790895632865</v>
      </c>
      <c r="D47" s="14">
        <v>22.459540730423502</v>
      </c>
      <c r="E47" s="14">
        <v>20.877451999764201</v>
      </c>
      <c r="F47" s="14">
        <v>18.9993981779782</v>
      </c>
      <c r="G47" s="14">
        <v>25.589133948589598</v>
      </c>
      <c r="H47" s="14">
        <v>22.315292373761501</v>
      </c>
      <c r="I47" s="14">
        <v>21.687430269853301</v>
      </c>
      <c r="J47" s="14">
        <v>19.913835534359599</v>
      </c>
      <c r="K47" s="14">
        <v>23.857696689687199</v>
      </c>
      <c r="L47" s="14">
        <v>21.766715035929799</v>
      </c>
      <c r="M47" s="14">
        <v>21.378982523428402</v>
      </c>
      <c r="N47" s="14">
        <v>22.424727255863601</v>
      </c>
      <c r="O47" s="14">
        <v>22.238080103059499</v>
      </c>
      <c r="P47" s="14">
        <v>22.663000176144902</v>
      </c>
      <c r="Q47" s="14">
        <v>22.766893726330999</v>
      </c>
      <c r="R47" s="14">
        <v>21.754666992547701</v>
      </c>
      <c r="S47" s="14">
        <v>23.5038505067423</v>
      </c>
      <c r="T47" s="14">
        <v>23.408540324014702</v>
      </c>
      <c r="U47" s="14">
        <v>21.824348531072499</v>
      </c>
      <c r="V47" s="14">
        <v>21.622695611743101</v>
      </c>
      <c r="W47" s="14">
        <v>20.8472480167536</v>
      </c>
      <c r="X47" s="14">
        <v>21.183997819749901</v>
      </c>
      <c r="Y47" s="14">
        <v>20.998635854432202</v>
      </c>
      <c r="Z47" s="14">
        <v>21.011458584664499</v>
      </c>
      <c r="AA47" s="14">
        <v>20.344025533506699</v>
      </c>
    </row>
    <row r="48" spans="1:27" x14ac:dyDescent="0.25">
      <c r="A48" s="11" t="s">
        <v>657</v>
      </c>
      <c r="B48" s="11" t="s">
        <v>658</v>
      </c>
      <c r="C48" s="14">
        <v>20.485635640266501</v>
      </c>
      <c r="D48" s="14">
        <v>19.803901440008101</v>
      </c>
      <c r="E48" s="14">
        <v>19.641737130796901</v>
      </c>
      <c r="F48" s="14">
        <v>17.740997279496</v>
      </c>
      <c r="G48" s="14">
        <v>24.5435111319673</v>
      </c>
      <c r="H48" s="14">
        <v>21.2316640887612</v>
      </c>
      <c r="I48" s="14">
        <v>20.754422352828801</v>
      </c>
      <c r="J48" s="14">
        <v>18.516067230758999</v>
      </c>
      <c r="K48" s="14">
        <v>22.8722032281187</v>
      </c>
      <c r="L48" s="14">
        <v>21.015004395435799</v>
      </c>
      <c r="M48" s="14">
        <v>20.5119282360276</v>
      </c>
      <c r="N48" s="14">
        <v>21.342301137351701</v>
      </c>
      <c r="O48" s="14">
        <v>21.375886078653298</v>
      </c>
      <c r="P48" s="14">
        <v>21.841416679367999</v>
      </c>
      <c r="Q48" s="14">
        <v>21.9688927099577</v>
      </c>
      <c r="R48" s="14">
        <v>20.623563921983699</v>
      </c>
      <c r="S48" s="14">
        <v>22.477340935685501</v>
      </c>
      <c r="T48" s="14">
        <v>22.2676429242883</v>
      </c>
      <c r="U48" s="14">
        <v>20.773081005987098</v>
      </c>
      <c r="V48" s="14">
        <v>20.7245117673171</v>
      </c>
      <c r="W48" s="14">
        <v>19.912808063745899</v>
      </c>
      <c r="X48" s="14">
        <v>20.158282038961701</v>
      </c>
      <c r="Y48" s="14">
        <v>20.056367148441598</v>
      </c>
      <c r="Z48" s="14">
        <v>19.968653111234499</v>
      </c>
      <c r="AA48" s="14">
        <v>19.323922032209801</v>
      </c>
    </row>
    <row r="49" spans="1:27" x14ac:dyDescent="0.25">
      <c r="A49" s="11" t="s">
        <v>659</v>
      </c>
      <c r="B49" s="11" t="s">
        <v>660</v>
      </c>
      <c r="C49" s="14">
        <v>1.4934539230199899</v>
      </c>
      <c r="D49" s="14">
        <v>2.65563929041538</v>
      </c>
      <c r="E49" s="14">
        <v>1.2357148689673401</v>
      </c>
      <c r="F49" s="14">
        <v>1.2584008984822499</v>
      </c>
      <c r="G49" s="14">
        <v>1.04562281662235</v>
      </c>
      <c r="H49" s="14">
        <v>1.08362828500032</v>
      </c>
      <c r="I49" s="14">
        <v>0.93300791702442998</v>
      </c>
      <c r="J49" s="14">
        <v>1.3977683036006101</v>
      </c>
      <c r="K49" s="14">
        <v>0.98549346156850604</v>
      </c>
      <c r="L49" s="14">
        <v>0.75171064049400804</v>
      </c>
      <c r="M49" s="14">
        <v>0.86705428740088397</v>
      </c>
      <c r="N49" s="14">
        <v>1.08242611851182</v>
      </c>
      <c r="O49" s="14">
        <v>0.86219402440621795</v>
      </c>
      <c r="P49" s="14">
        <v>0.821583496776914</v>
      </c>
      <c r="Q49" s="14">
        <v>0.79800101637335696</v>
      </c>
      <c r="R49" s="14">
        <v>1.13110307056393</v>
      </c>
      <c r="S49" s="14">
        <v>1.0265095710568499</v>
      </c>
      <c r="T49" s="14">
        <v>1.14089739972641</v>
      </c>
      <c r="U49" s="14">
        <v>1.05126752508542</v>
      </c>
      <c r="V49" s="14">
        <v>0.89818384442594701</v>
      </c>
      <c r="W49" s="14">
        <v>0.93443995300770699</v>
      </c>
      <c r="X49" s="14">
        <v>1.02571578078821</v>
      </c>
      <c r="Y49" s="14">
        <v>0.942268705990564</v>
      </c>
      <c r="Z49" s="14">
        <v>1.0428054734299901</v>
      </c>
      <c r="AA49" s="14">
        <v>1.0201035012969</v>
      </c>
    </row>
    <row r="50" spans="1:27" x14ac:dyDescent="0.25">
      <c r="A50" s="11" t="s">
        <v>661</v>
      </c>
      <c r="B50" s="11" t="s">
        <v>662</v>
      </c>
      <c r="C50" s="14">
        <v>4.0535945595854903</v>
      </c>
      <c r="D50" s="14">
        <v>4.0240527600171401</v>
      </c>
      <c r="E50" s="14">
        <v>4.4262067591141401</v>
      </c>
      <c r="F50" s="14">
        <v>3.9533442511454799</v>
      </c>
      <c r="G50" s="14">
        <v>4.2354137337713098</v>
      </c>
      <c r="H50" s="14">
        <v>3.9663326985166201</v>
      </c>
      <c r="I50" s="14">
        <v>4.0552283783846503</v>
      </c>
      <c r="J50" s="14">
        <v>5.0889334202830101</v>
      </c>
      <c r="K50" s="14">
        <v>4.8534779188838497</v>
      </c>
      <c r="L50" s="14">
        <v>4.7369978232321799</v>
      </c>
      <c r="M50" s="14">
        <v>4.4238852826824102</v>
      </c>
      <c r="N50" s="14">
        <v>4.2293214921992996</v>
      </c>
      <c r="O50" s="14">
        <v>3.9110698388896701</v>
      </c>
      <c r="P50" s="14">
        <v>3.4431759376976498</v>
      </c>
      <c r="Q50" s="14">
        <v>3.2724959623524201</v>
      </c>
      <c r="R50" s="14">
        <v>2.9355225972247099</v>
      </c>
      <c r="S50" s="14">
        <v>2.7638819253076399</v>
      </c>
      <c r="T50" s="14">
        <v>3.0829404196199399</v>
      </c>
      <c r="U50" s="14">
        <v>2.8389718974674301</v>
      </c>
      <c r="V50" s="14">
        <v>4.2234388107197702</v>
      </c>
      <c r="W50" s="14">
        <v>3.96382893959046</v>
      </c>
      <c r="X50" s="14">
        <v>3.5741207796770902</v>
      </c>
      <c r="Y50" s="14">
        <v>3.5263740787633702</v>
      </c>
      <c r="Z50" s="14">
        <v>3.4606641953958599</v>
      </c>
      <c r="AA50" s="14">
        <v>3.3879394167249299</v>
      </c>
    </row>
    <row r="51" spans="1:27" x14ac:dyDescent="0.25">
      <c r="A51" s="11" t="s">
        <v>663</v>
      </c>
      <c r="B51" s="11" t="s">
        <v>664</v>
      </c>
      <c r="C51" s="14" t="s">
        <v>1033</v>
      </c>
      <c r="D51" s="14" t="s">
        <v>1033</v>
      </c>
      <c r="E51" s="14" t="s">
        <v>1033</v>
      </c>
      <c r="F51" s="14" t="s">
        <v>1033</v>
      </c>
      <c r="G51" s="14">
        <v>0.44293237395067497</v>
      </c>
      <c r="H51" s="14" t="s">
        <v>1033</v>
      </c>
      <c r="I51" s="14" t="s">
        <v>1033</v>
      </c>
      <c r="J51" s="14" t="s">
        <v>1033</v>
      </c>
      <c r="K51" s="14">
        <v>0.37805335195022999</v>
      </c>
      <c r="L51" s="14">
        <v>0.36428142619131398</v>
      </c>
      <c r="M51" s="14">
        <v>0.34918816065411101</v>
      </c>
      <c r="N51" s="14">
        <v>0.32709007222937198</v>
      </c>
      <c r="O51" s="14">
        <v>0.30220217452234299</v>
      </c>
      <c r="P51" s="14">
        <v>0.18727941961633299</v>
      </c>
      <c r="Q51" s="14">
        <v>0.17603795388728</v>
      </c>
      <c r="R51" s="14">
        <v>0.17350525900726199</v>
      </c>
      <c r="S51" s="14">
        <v>0.171912904697714</v>
      </c>
      <c r="T51" s="14">
        <v>0.17831526977473999</v>
      </c>
      <c r="U51" s="14">
        <v>0.185328204473414</v>
      </c>
      <c r="V51" s="14">
        <v>0.18521298684166301</v>
      </c>
      <c r="W51" s="14">
        <v>0.16711330760169699</v>
      </c>
      <c r="X51" s="14">
        <v>0.16771764176478299</v>
      </c>
      <c r="Y51" s="14">
        <v>0.179654344721936</v>
      </c>
      <c r="Z51" s="14">
        <v>0.181516418250462</v>
      </c>
      <c r="AA51" s="14">
        <v>0.18327643329113399</v>
      </c>
    </row>
    <row r="52" spans="1:27" x14ac:dyDescent="0.25">
      <c r="A52" s="11" t="s">
        <v>665</v>
      </c>
      <c r="B52" s="11" t="s">
        <v>666</v>
      </c>
      <c r="C52" s="14">
        <v>4.0535945595854903</v>
      </c>
      <c r="D52" s="14">
        <v>4.0240527600171401</v>
      </c>
      <c r="E52" s="14">
        <v>4.4262067591141401</v>
      </c>
      <c r="F52" s="14">
        <v>3.9533442511454799</v>
      </c>
      <c r="G52" s="14">
        <v>3.7924813598206399</v>
      </c>
      <c r="H52" s="14">
        <v>3.9663326985166201</v>
      </c>
      <c r="I52" s="14">
        <v>4.0552283783846503</v>
      </c>
      <c r="J52" s="14">
        <v>5.0889334202830101</v>
      </c>
      <c r="K52" s="14">
        <v>4.4754245669336203</v>
      </c>
      <c r="L52" s="14">
        <v>4.3727163970408602</v>
      </c>
      <c r="M52" s="14">
        <v>4.0746971220282902</v>
      </c>
      <c r="N52" s="14">
        <v>3.9022314199699299</v>
      </c>
      <c r="O52" s="14">
        <v>3.6088676643673301</v>
      </c>
      <c r="P52" s="14">
        <v>3.25589651808132</v>
      </c>
      <c r="Q52" s="14">
        <v>3.0964580084651399</v>
      </c>
      <c r="R52" s="14">
        <v>2.7620173382174502</v>
      </c>
      <c r="S52" s="14">
        <v>2.59196902060993</v>
      </c>
      <c r="T52" s="14">
        <v>2.9046251498452</v>
      </c>
      <c r="U52" s="14">
        <v>2.6536436929940201</v>
      </c>
      <c r="V52" s="14">
        <v>4.0382258238781104</v>
      </c>
      <c r="W52" s="14">
        <v>3.7967156319887598</v>
      </c>
      <c r="X52" s="14">
        <v>3.4064031379123101</v>
      </c>
      <c r="Y52" s="14">
        <v>3.3467197340414301</v>
      </c>
      <c r="Z52" s="14">
        <v>3.2791477771454001</v>
      </c>
      <c r="AA52" s="14">
        <v>3.2046629834338001</v>
      </c>
    </row>
    <row r="53" spans="1:27" x14ac:dyDescent="0.25">
      <c r="A53" s="11" t="s">
        <v>667</v>
      </c>
      <c r="B53" s="11" t="s">
        <v>668</v>
      </c>
      <c r="C53" s="14" t="s">
        <v>1033</v>
      </c>
      <c r="D53" s="14" t="s">
        <v>1033</v>
      </c>
      <c r="E53" s="14" t="s">
        <v>1033</v>
      </c>
      <c r="F53" s="14">
        <v>0.17909238974799499</v>
      </c>
      <c r="G53" s="14" t="s">
        <v>1033</v>
      </c>
      <c r="H53" s="14" t="s">
        <v>1033</v>
      </c>
      <c r="I53" s="14" t="s">
        <v>1033</v>
      </c>
      <c r="J53" s="14">
        <v>0.18169745293992701</v>
      </c>
      <c r="K53" s="14" t="s">
        <v>1033</v>
      </c>
      <c r="L53" s="14">
        <v>0.34632281392347097</v>
      </c>
      <c r="M53" s="14">
        <v>0.39420534522353401</v>
      </c>
      <c r="N53" s="14">
        <v>0.46133661051403002</v>
      </c>
      <c r="O53" s="14" t="s">
        <v>1033</v>
      </c>
      <c r="P53" s="14" t="s">
        <v>1033</v>
      </c>
      <c r="Q53" s="14" t="s">
        <v>1033</v>
      </c>
      <c r="R53" s="14">
        <v>0.50108600137415105</v>
      </c>
      <c r="S53" s="14" t="s">
        <v>1033</v>
      </c>
      <c r="T53" s="14" t="s">
        <v>1033</v>
      </c>
      <c r="U53" s="14" t="s">
        <v>1033</v>
      </c>
      <c r="V53" s="14">
        <v>0.51173332567176599</v>
      </c>
      <c r="W53" s="14" t="s">
        <v>1033</v>
      </c>
      <c r="X53" s="14" t="s">
        <v>1033</v>
      </c>
      <c r="Y53" s="14" t="s">
        <v>1033</v>
      </c>
      <c r="Z53" s="14" t="s">
        <v>1033</v>
      </c>
      <c r="AA53" s="14" t="s">
        <v>1033</v>
      </c>
    </row>
    <row r="54" spans="1:27" x14ac:dyDescent="0.25">
      <c r="A54" s="11" t="s">
        <v>669</v>
      </c>
      <c r="B54" s="11" t="s">
        <v>670</v>
      </c>
      <c r="C54" s="14">
        <v>0</v>
      </c>
      <c r="D54" s="14">
        <v>5.60669742476699E-11</v>
      </c>
      <c r="E54" s="14">
        <v>4.9983882624167898E-2</v>
      </c>
      <c r="F54" s="14">
        <v>9.0497028923253106E-2</v>
      </c>
      <c r="G54" s="14" t="s">
        <v>1033</v>
      </c>
      <c r="H54" s="14">
        <v>0.124386506752535</v>
      </c>
      <c r="I54" s="14">
        <v>0.14934622022997601</v>
      </c>
      <c r="J54" s="14">
        <v>0.180778970424323</v>
      </c>
      <c r="K54" s="14" t="s">
        <v>1033</v>
      </c>
      <c r="L54" s="14" t="s">
        <v>1033</v>
      </c>
      <c r="M54" s="14" t="s">
        <v>1033</v>
      </c>
      <c r="N54" s="14" t="s">
        <v>1033</v>
      </c>
      <c r="O54" s="14" t="s">
        <v>1033</v>
      </c>
      <c r="P54" s="14" t="s">
        <v>1033</v>
      </c>
      <c r="Q54" s="14" t="s">
        <v>1033</v>
      </c>
      <c r="R54" s="14" t="s">
        <v>1033</v>
      </c>
      <c r="S54" s="14" t="s">
        <v>1033</v>
      </c>
      <c r="T54" s="14" t="s">
        <v>1033</v>
      </c>
      <c r="U54" s="14" t="s">
        <v>1033</v>
      </c>
      <c r="V54" s="14" t="s">
        <v>1033</v>
      </c>
      <c r="W54" s="14" t="s">
        <v>1033</v>
      </c>
      <c r="X54" s="14" t="s">
        <v>1033</v>
      </c>
      <c r="Y54" s="14" t="s">
        <v>1033</v>
      </c>
      <c r="Z54" s="14" t="s">
        <v>1033</v>
      </c>
      <c r="AA54" s="14" t="s">
        <v>1033</v>
      </c>
    </row>
    <row r="55" spans="1:27" x14ac:dyDescent="0.25">
      <c r="A55" s="11" t="s">
        <v>671</v>
      </c>
      <c r="B55" s="11" t="s">
        <v>672</v>
      </c>
      <c r="C55" s="14">
        <v>2.92456976313842</v>
      </c>
      <c r="D55" s="14">
        <v>3.29416668853395</v>
      </c>
      <c r="E55" s="14">
        <v>2.7917878199508199</v>
      </c>
      <c r="F55" s="14">
        <v>2.7455053515177501</v>
      </c>
      <c r="G55" s="14">
        <v>1.27785598832056</v>
      </c>
      <c r="H55" s="14">
        <v>1.1102664553447199</v>
      </c>
      <c r="I55" s="14">
        <v>1.1995916592060301</v>
      </c>
      <c r="J55" s="14">
        <v>1.56752548383768</v>
      </c>
      <c r="K55" s="14">
        <v>1.12286021557147</v>
      </c>
      <c r="L55" s="14">
        <v>1.3363574779559</v>
      </c>
      <c r="M55" s="14">
        <v>1.5979739080445901</v>
      </c>
      <c r="N55" s="14">
        <v>1.4067143558291699</v>
      </c>
      <c r="O55" s="14">
        <v>1.11904474629712</v>
      </c>
      <c r="P55" s="14">
        <v>1.1147323738761601</v>
      </c>
      <c r="Q55" s="14">
        <v>1.15225238081978</v>
      </c>
      <c r="R55" s="14">
        <v>0.94660811944828205</v>
      </c>
      <c r="S55" s="14">
        <v>0.92377094588417197</v>
      </c>
      <c r="T55" s="14">
        <v>0.88377351578821195</v>
      </c>
      <c r="U55" s="14">
        <v>0.749081313421192</v>
      </c>
      <c r="V55" s="14">
        <v>0.895513086914138</v>
      </c>
      <c r="W55" s="14">
        <v>0.57561250396139996</v>
      </c>
      <c r="X55" s="14">
        <v>0.37290833244536198</v>
      </c>
      <c r="Y55" s="14">
        <v>0.30985193660449301</v>
      </c>
      <c r="Z55" s="14">
        <v>0.31874082941881998</v>
      </c>
      <c r="AA55" s="14">
        <v>0.36981549818297998</v>
      </c>
    </row>
    <row r="56" spans="1:27" x14ac:dyDescent="0.25">
      <c r="A56" s="11" t="s">
        <v>673</v>
      </c>
      <c r="B56" s="11" t="s">
        <v>674</v>
      </c>
      <c r="C56" s="14">
        <v>14.9221641376758</v>
      </c>
      <c r="D56" s="14">
        <v>13.6230570217199</v>
      </c>
      <c r="E56" s="14">
        <v>14.456266285175801</v>
      </c>
      <c r="F56" s="14">
        <v>15.4822630297824</v>
      </c>
      <c r="G56" s="14">
        <v>13.593774440794601</v>
      </c>
      <c r="H56" s="14">
        <v>14.8147414926914</v>
      </c>
      <c r="I56" s="14">
        <v>15.7905547155324</v>
      </c>
      <c r="J56" s="14">
        <v>17.079506547969899</v>
      </c>
      <c r="K56" s="14">
        <v>17.099999164794401</v>
      </c>
      <c r="L56" s="14">
        <v>17.7915504058282</v>
      </c>
      <c r="M56" s="14">
        <v>17.270471981743</v>
      </c>
      <c r="N56" s="14">
        <v>16.589761129081499</v>
      </c>
      <c r="O56" s="14">
        <v>17.824670157382702</v>
      </c>
      <c r="P56" s="14">
        <v>17.1332832582968</v>
      </c>
      <c r="Q56" s="14">
        <v>16.6715686957006</v>
      </c>
      <c r="R56" s="14">
        <v>16.468537170875202</v>
      </c>
      <c r="S56" s="14">
        <v>17.115937678858501</v>
      </c>
      <c r="T56" s="14">
        <v>17.290174631511199</v>
      </c>
      <c r="U56" s="14">
        <v>17.654773843806101</v>
      </c>
      <c r="V56" s="14">
        <v>16.825489062236301</v>
      </c>
      <c r="W56" s="14">
        <v>18.068646511480299</v>
      </c>
      <c r="X56" s="14">
        <v>17.833883479416201</v>
      </c>
      <c r="Y56" s="14">
        <v>18.467255126306</v>
      </c>
      <c r="Z56" s="14">
        <v>17.709568343413501</v>
      </c>
      <c r="AA56" s="14">
        <v>18.694044445388698</v>
      </c>
    </row>
    <row r="57" spans="1:27" x14ac:dyDescent="0.25">
      <c r="A57" s="7" t="s">
        <v>115</v>
      </c>
      <c r="B57" s="7" t="s">
        <v>116</v>
      </c>
      <c r="C57" s="20">
        <v>88.579640081421203</v>
      </c>
      <c r="D57" s="20">
        <v>88.318754790084995</v>
      </c>
      <c r="E57" s="20">
        <v>87.892263527788998</v>
      </c>
      <c r="F57" s="20">
        <v>87.409614833906105</v>
      </c>
      <c r="G57" s="20">
        <v>88.000312842171098</v>
      </c>
      <c r="H57" s="20">
        <v>87.276572349731794</v>
      </c>
      <c r="I57" s="20">
        <v>86.8636241461559</v>
      </c>
      <c r="J57" s="20">
        <v>87.182306352819396</v>
      </c>
      <c r="K57" s="20">
        <v>88.007872549592804</v>
      </c>
      <c r="L57" s="20">
        <v>88.528684920430806</v>
      </c>
      <c r="M57" s="20">
        <v>88.002474083037697</v>
      </c>
      <c r="N57" s="20">
        <v>88.452962022576997</v>
      </c>
      <c r="O57" s="20">
        <v>88.142426096145996</v>
      </c>
      <c r="P57" s="20">
        <v>88.928701483723898</v>
      </c>
      <c r="Q57" s="20">
        <v>88.980528792604105</v>
      </c>
      <c r="R57" s="20">
        <v>89.045255112514695</v>
      </c>
      <c r="S57" s="20">
        <v>89.077894747388598</v>
      </c>
      <c r="T57" s="20">
        <v>90.049909384467398</v>
      </c>
      <c r="U57" s="20">
        <v>89.537902613644206</v>
      </c>
      <c r="V57" s="20">
        <v>89.947106861459304</v>
      </c>
      <c r="W57" s="20">
        <v>89.5746131930198</v>
      </c>
      <c r="X57" s="20">
        <v>90.041200547756105</v>
      </c>
      <c r="Y57" s="20">
        <v>89.600811074805605</v>
      </c>
      <c r="Z57" s="20">
        <v>90.294509137968305</v>
      </c>
      <c r="AA57" s="20">
        <v>89.968128641770306</v>
      </c>
    </row>
    <row r="58" spans="1:27" x14ac:dyDescent="0.25">
      <c r="A58" s="11" t="s">
        <v>675</v>
      </c>
      <c r="B58" s="11" t="s">
        <v>169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</row>
    <row r="59" spans="1:27" x14ac:dyDescent="0.25">
      <c r="A59" s="11" t="s">
        <v>676</v>
      </c>
      <c r="B59" s="11" t="s">
        <v>677</v>
      </c>
      <c r="C59" s="14">
        <v>3.6451586787564798</v>
      </c>
      <c r="D59" s="14">
        <v>3.54441065864098</v>
      </c>
      <c r="E59" s="14">
        <v>3.5319839608539501</v>
      </c>
      <c r="F59" s="14">
        <v>3.5341942296678099</v>
      </c>
      <c r="G59" s="14">
        <v>3.27436258407633</v>
      </c>
      <c r="H59" s="14">
        <v>3.5075492497615599</v>
      </c>
      <c r="I59" s="14">
        <v>3.5166659488408198</v>
      </c>
      <c r="J59" s="14">
        <v>3.4172412134990999</v>
      </c>
      <c r="K59" s="14">
        <v>3.1034765678159899</v>
      </c>
      <c r="L59" s="14">
        <v>3.1182087092514599</v>
      </c>
      <c r="M59" s="14">
        <v>3.1281274545255902</v>
      </c>
      <c r="N59" s="14">
        <v>3.06245386633895</v>
      </c>
      <c r="O59" s="14">
        <v>2.9751679670389799</v>
      </c>
      <c r="P59" s="14">
        <v>2.9057971741981499</v>
      </c>
      <c r="Q59" s="14">
        <v>2.7851066495878798</v>
      </c>
      <c r="R59" s="14">
        <v>2.75340141960447</v>
      </c>
      <c r="S59" s="14">
        <v>2.6134268236732199</v>
      </c>
      <c r="T59" s="14">
        <v>2.58117718468033</v>
      </c>
      <c r="U59" s="14">
        <v>2.6038922641900002</v>
      </c>
      <c r="V59" s="14">
        <v>2.5441797921584102</v>
      </c>
      <c r="W59" s="14">
        <v>2.4563227472707001</v>
      </c>
      <c r="X59" s="14">
        <v>2.4998801733900899</v>
      </c>
      <c r="Y59" s="14">
        <v>2.5036833524425299</v>
      </c>
      <c r="Z59" s="14">
        <v>2.1862780976217402</v>
      </c>
      <c r="AA59" s="14">
        <v>2.1448388392770799</v>
      </c>
    </row>
    <row r="60" spans="1:27" x14ac:dyDescent="0.25">
      <c r="A60" s="11" t="s">
        <v>678</v>
      </c>
      <c r="B60" s="11" t="s">
        <v>679</v>
      </c>
      <c r="C60" s="14">
        <v>0.86417468541820897</v>
      </c>
      <c r="D60" s="14">
        <v>0.83546025934556001</v>
      </c>
      <c r="E60" s="14">
        <v>0.83001684789088703</v>
      </c>
      <c r="F60" s="14">
        <v>0.83444077534364303</v>
      </c>
      <c r="G60" s="14">
        <v>0.77876844465300599</v>
      </c>
      <c r="H60" s="14">
        <v>0.82869415486740206</v>
      </c>
      <c r="I60" s="14">
        <v>0.82825651358663299</v>
      </c>
      <c r="J60" s="14">
        <v>0.80810252858236598</v>
      </c>
      <c r="K60" s="14">
        <v>0.73542308321546301</v>
      </c>
      <c r="L60" s="14">
        <v>0.73480669160392098</v>
      </c>
      <c r="M60" s="14">
        <v>0.73475829103850898</v>
      </c>
      <c r="N60" s="14">
        <v>0.722438639815427</v>
      </c>
      <c r="O60" s="14">
        <v>0.70271277741967098</v>
      </c>
      <c r="P60" s="14">
        <v>0.68304053431220002</v>
      </c>
      <c r="Q60" s="14">
        <v>0.651375236689686</v>
      </c>
      <c r="R60" s="14">
        <v>0.65885402128219805</v>
      </c>
      <c r="S60" s="14">
        <v>0.62628397189779195</v>
      </c>
      <c r="T60" s="14">
        <v>0.61096183059392295</v>
      </c>
      <c r="U60" s="14">
        <v>0.608793854293602</v>
      </c>
      <c r="V60" s="14">
        <v>0.59529566297306302</v>
      </c>
      <c r="W60" s="14">
        <v>0.57686604963492405</v>
      </c>
      <c r="X60" s="14">
        <v>0.58305053593194001</v>
      </c>
      <c r="Y60" s="14">
        <v>0.58507219051968595</v>
      </c>
      <c r="Z60" s="14">
        <v>0.56467498863838805</v>
      </c>
      <c r="AA60" s="14">
        <v>0.55643043822833005</v>
      </c>
    </row>
    <row r="61" spans="1:27" x14ac:dyDescent="0.25">
      <c r="A61" s="11" t="s">
        <v>680</v>
      </c>
      <c r="B61" s="11" t="s">
        <v>681</v>
      </c>
      <c r="C61" s="14">
        <v>2.7809839933382698</v>
      </c>
      <c r="D61" s="14">
        <v>2.70895039929542</v>
      </c>
      <c r="E61" s="14">
        <v>2.70196711296306</v>
      </c>
      <c r="F61" s="14">
        <v>2.6997534543241701</v>
      </c>
      <c r="G61" s="14">
        <v>2.4955941394233299</v>
      </c>
      <c r="H61" s="14">
        <v>2.6788550948941601</v>
      </c>
      <c r="I61" s="14">
        <v>2.6884094352541799</v>
      </c>
      <c r="J61" s="14">
        <v>2.6091386849167302</v>
      </c>
      <c r="K61" s="14">
        <v>2.3680534846005301</v>
      </c>
      <c r="L61" s="14">
        <v>2.3834020176475401</v>
      </c>
      <c r="M61" s="14">
        <v>2.3933691634870802</v>
      </c>
      <c r="N61" s="14">
        <v>2.3400152265235201</v>
      </c>
      <c r="O61" s="14">
        <v>2.2724551896193099</v>
      </c>
      <c r="P61" s="14">
        <v>2.22275663988595</v>
      </c>
      <c r="Q61" s="14">
        <v>2.1337314128982001</v>
      </c>
      <c r="R61" s="14">
        <v>2.0945473983222702</v>
      </c>
      <c r="S61" s="14">
        <v>1.9871428517754199</v>
      </c>
      <c r="T61" s="14">
        <v>1.97021535408641</v>
      </c>
      <c r="U61" s="14">
        <v>1.9950984098964</v>
      </c>
      <c r="V61" s="14">
        <v>1.94888412918535</v>
      </c>
      <c r="W61" s="14">
        <v>1.8794566976357701</v>
      </c>
      <c r="X61" s="14">
        <v>1.9168296374581499</v>
      </c>
      <c r="Y61" s="14">
        <v>1.9186111619228401</v>
      </c>
      <c r="Z61" s="14">
        <v>1.62160310898335</v>
      </c>
      <c r="AA61" s="14">
        <v>1.58840840104875</v>
      </c>
    </row>
    <row r="62" spans="1:27" x14ac:dyDescent="0.25">
      <c r="A62" s="11" t="s">
        <v>682</v>
      </c>
      <c r="B62" s="11" t="s">
        <v>683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 t="s">
        <v>1033</v>
      </c>
      <c r="V62" s="14">
        <v>0</v>
      </c>
      <c r="W62" s="14">
        <v>0</v>
      </c>
      <c r="X62" s="14">
        <v>0</v>
      </c>
      <c r="Y62" s="14" t="s">
        <v>1033</v>
      </c>
      <c r="Z62" s="14">
        <v>0</v>
      </c>
      <c r="AA62" s="14">
        <v>0</v>
      </c>
    </row>
    <row r="63" spans="1:27" x14ac:dyDescent="0.25">
      <c r="A63" s="11" t="s">
        <v>684</v>
      </c>
      <c r="B63" s="11" t="s">
        <v>685</v>
      </c>
      <c r="C63" s="14">
        <v>7.8097242783123599</v>
      </c>
      <c r="D63" s="14">
        <v>6.7790514381310301</v>
      </c>
      <c r="E63" s="14">
        <v>6.66926435457213</v>
      </c>
      <c r="F63" s="14">
        <v>8.3494975121706805</v>
      </c>
      <c r="G63" s="14">
        <v>8.1809791959956204</v>
      </c>
      <c r="H63" s="14">
        <v>7.7430675352623499</v>
      </c>
      <c r="I63" s="14">
        <v>7.6868504173869896</v>
      </c>
      <c r="J63" s="14">
        <v>8.92138275921873</v>
      </c>
      <c r="K63" s="14">
        <v>8.5260733988494799</v>
      </c>
      <c r="L63" s="14">
        <v>8.1655486077765502</v>
      </c>
      <c r="M63" s="14">
        <v>8.6737887273357295</v>
      </c>
      <c r="N63" s="14">
        <v>7.0151183147252896</v>
      </c>
      <c r="O63" s="14">
        <v>7.3797048024183702</v>
      </c>
      <c r="P63" s="14">
        <v>6.6859756737541396</v>
      </c>
      <c r="Q63" s="14">
        <v>6.9123830474493202</v>
      </c>
      <c r="R63" s="14">
        <v>6.8544028443081499</v>
      </c>
      <c r="S63" s="14">
        <v>7.0630821838031999</v>
      </c>
      <c r="T63" s="14">
        <v>6.4144626743265896</v>
      </c>
      <c r="U63" s="14">
        <v>6.9994144703104997</v>
      </c>
      <c r="V63" s="14">
        <v>6.8921325553605497</v>
      </c>
      <c r="W63" s="14">
        <v>7.2089844752285703</v>
      </c>
      <c r="X63" s="14">
        <v>6.2978093318983204</v>
      </c>
      <c r="Y63" s="14">
        <v>6.7968562880813996</v>
      </c>
      <c r="Z63" s="14">
        <v>6.3623486385114196</v>
      </c>
      <c r="AA63" s="14">
        <v>6.8070255839636298</v>
      </c>
    </row>
    <row r="64" spans="1:27" x14ac:dyDescent="0.25">
      <c r="A64" s="11" t="s">
        <v>686</v>
      </c>
      <c r="B64" s="11" t="s">
        <v>687</v>
      </c>
      <c r="C64" s="14">
        <v>-0.166196336047372</v>
      </c>
      <c r="D64" s="14">
        <v>1.2207936512927999</v>
      </c>
      <c r="E64" s="14">
        <v>1.7550190217405</v>
      </c>
      <c r="F64" s="14">
        <v>0.546617715492554</v>
      </c>
      <c r="G64" s="14">
        <v>0.39272120548516598</v>
      </c>
      <c r="H64" s="14">
        <v>1.3049730492871401</v>
      </c>
      <c r="I64" s="14">
        <v>1.7722323659643799</v>
      </c>
      <c r="J64" s="14">
        <v>0.31666035435055501</v>
      </c>
      <c r="K64" s="14">
        <v>0.21155266192302599</v>
      </c>
      <c r="L64" s="14">
        <v>5.3772608067235397E-2</v>
      </c>
      <c r="M64" s="14">
        <v>5.6471591867413101E-2</v>
      </c>
      <c r="N64" s="14">
        <v>1.3250746833926501</v>
      </c>
      <c r="O64" s="14">
        <v>1.3534075325664301</v>
      </c>
      <c r="P64" s="14">
        <v>1.3340007976716</v>
      </c>
      <c r="Q64" s="14">
        <v>1.1834484294943199</v>
      </c>
      <c r="R64" s="14">
        <v>1.3534465213008799</v>
      </c>
      <c r="S64" s="14">
        <v>1.25486401221675</v>
      </c>
      <c r="T64" s="14">
        <v>0.97658616196299597</v>
      </c>
      <c r="U64" s="14">
        <v>0.88511262872252505</v>
      </c>
      <c r="V64" s="14">
        <v>0.65627795949270196</v>
      </c>
      <c r="W64" s="14">
        <v>0.79615819589706704</v>
      </c>
      <c r="X64" s="14">
        <v>1.2195377980662201</v>
      </c>
      <c r="Y64" s="14">
        <v>1.1727746354208399</v>
      </c>
      <c r="Z64" s="14">
        <v>1.0366869424777301</v>
      </c>
      <c r="AA64" s="14">
        <v>0.95485086928266505</v>
      </c>
    </row>
    <row r="65" spans="1:27" x14ac:dyDescent="0.25">
      <c r="A65" s="7" t="s">
        <v>688</v>
      </c>
      <c r="B65" s="7" t="s">
        <v>689</v>
      </c>
      <c r="C65" s="20">
        <v>11.288686621021499</v>
      </c>
      <c r="D65" s="20">
        <v>11.544255748064799</v>
      </c>
      <c r="E65" s="20">
        <v>11.956267337166601</v>
      </c>
      <c r="F65" s="20">
        <v>12.430309457330999</v>
      </c>
      <c r="G65" s="20">
        <v>11.8480629855571</v>
      </c>
      <c r="H65" s="20">
        <v>12.5555898343111</v>
      </c>
      <c r="I65" s="20">
        <v>12.9757487321922</v>
      </c>
      <c r="J65" s="20">
        <v>12.655284327068401</v>
      </c>
      <c r="K65" s="20">
        <v>11.8411026285885</v>
      </c>
      <c r="L65" s="20">
        <v>11.3375299250952</v>
      </c>
      <c r="M65" s="20">
        <v>11.858387773728699</v>
      </c>
      <c r="N65" s="20">
        <v>11.4026468644569</v>
      </c>
      <c r="O65" s="20">
        <v>11.7082803020238</v>
      </c>
      <c r="P65" s="20">
        <v>10.925773645623901</v>
      </c>
      <c r="Q65" s="20">
        <v>10.8809381265315</v>
      </c>
      <c r="R65" s="20">
        <v>10.961250785213499</v>
      </c>
      <c r="S65" s="20">
        <v>10.931373019693201</v>
      </c>
      <c r="T65" s="20">
        <v>9.9722260209699094</v>
      </c>
      <c r="U65" s="20">
        <v>10.488419363223001</v>
      </c>
      <c r="V65" s="20">
        <v>10.092590307011699</v>
      </c>
      <c r="W65" s="20">
        <v>10.461465418396299</v>
      </c>
      <c r="X65" s="20">
        <v>10.0172273033546</v>
      </c>
      <c r="Y65" s="20">
        <v>10.4733142759448</v>
      </c>
      <c r="Z65" s="20">
        <v>9.5853136786108806</v>
      </c>
      <c r="AA65" s="20">
        <v>9.9067152925233799</v>
      </c>
    </row>
    <row r="66" spans="1:27" x14ac:dyDescent="0.25">
      <c r="A66" s="11" t="s">
        <v>690</v>
      </c>
      <c r="B66" s="11" t="s">
        <v>171</v>
      </c>
      <c r="C66" s="14">
        <v>0.13167329755736501</v>
      </c>
      <c r="D66" s="14">
        <v>0.13698946185014799</v>
      </c>
      <c r="E66" s="14">
        <v>0.15146913504446899</v>
      </c>
      <c r="F66" s="14">
        <v>0.16007570876288699</v>
      </c>
      <c r="G66" s="14">
        <v>0.15162417227175601</v>
      </c>
      <c r="H66" s="14">
        <v>0.167837815957185</v>
      </c>
      <c r="I66" s="14">
        <v>0.160627121651919</v>
      </c>
      <c r="J66" s="14">
        <v>0.162409320112228</v>
      </c>
      <c r="K66" s="14">
        <v>0.15102482181871399</v>
      </c>
      <c r="L66" s="14">
        <v>0.13378515447393399</v>
      </c>
      <c r="M66" s="14">
        <v>0.13913814323353799</v>
      </c>
      <c r="N66" s="14">
        <v>0.14439111296611901</v>
      </c>
      <c r="O66" s="14">
        <v>0.14929360183020801</v>
      </c>
      <c r="P66" s="14">
        <v>0.14552487065216499</v>
      </c>
      <c r="Q66" s="14">
        <v>0.138533080864335</v>
      </c>
      <c r="R66" s="14">
        <v>-6.5058977281668897E-3</v>
      </c>
      <c r="S66" s="14">
        <v>-9.2677670818097496E-3</v>
      </c>
      <c r="T66" s="14">
        <v>-2.2135405437260499E-2</v>
      </c>
      <c r="U66" s="14">
        <v>-2.63219768672385E-2</v>
      </c>
      <c r="V66" s="14">
        <v>-3.9697168470979198E-2</v>
      </c>
      <c r="W66" s="14">
        <v>-3.6078611416118803E-2</v>
      </c>
      <c r="X66" s="14">
        <v>-5.8427851110782802E-2</v>
      </c>
      <c r="Y66" s="14">
        <v>-7.4125350750399596E-2</v>
      </c>
      <c r="Z66" s="14">
        <v>0.12017718342085899</v>
      </c>
      <c r="AA66" s="14">
        <v>0.12515606570636501</v>
      </c>
    </row>
    <row r="67" spans="1:27" x14ac:dyDescent="0.25">
      <c r="A67" s="7" t="s">
        <v>117</v>
      </c>
      <c r="B67" s="7" t="s">
        <v>118</v>
      </c>
      <c r="C67" s="20">
        <v>11.4203599185788</v>
      </c>
      <c r="D67" s="20">
        <v>11.681245209915</v>
      </c>
      <c r="E67" s="20">
        <v>12.107736472211</v>
      </c>
      <c r="F67" s="20">
        <v>12.590385166093901</v>
      </c>
      <c r="G67" s="20">
        <v>11.9996871578289</v>
      </c>
      <c r="H67" s="20">
        <v>12.723427650268199</v>
      </c>
      <c r="I67" s="20">
        <v>13.1363758538441</v>
      </c>
      <c r="J67" s="20">
        <v>12.817693647180599</v>
      </c>
      <c r="K67" s="20">
        <v>11.9921274504072</v>
      </c>
      <c r="L67" s="20">
        <v>11.4713150795692</v>
      </c>
      <c r="M67" s="20">
        <v>11.997525916962299</v>
      </c>
      <c r="N67" s="20">
        <v>11.547037977423001</v>
      </c>
      <c r="O67" s="20">
        <v>11.857573903854</v>
      </c>
      <c r="P67" s="20">
        <v>11.0712985162761</v>
      </c>
      <c r="Q67" s="20">
        <v>11.019471207395901</v>
      </c>
      <c r="R67" s="20">
        <v>10.954744887485299</v>
      </c>
      <c r="S67" s="20">
        <v>10.9221052526114</v>
      </c>
      <c r="T67" s="20">
        <v>9.9500906155326501</v>
      </c>
      <c r="U67" s="20">
        <v>10.462097386355801</v>
      </c>
      <c r="V67" s="20">
        <v>10.0528931385407</v>
      </c>
      <c r="W67" s="20">
        <v>10.4253868069802</v>
      </c>
      <c r="X67" s="20">
        <v>9.9587994522438503</v>
      </c>
      <c r="Y67" s="20">
        <v>10.3991889251944</v>
      </c>
      <c r="Z67" s="20">
        <v>9.7054908620317395</v>
      </c>
      <c r="AA67" s="20">
        <v>10.031871358229701</v>
      </c>
    </row>
    <row r="68" spans="1:27" x14ac:dyDescent="0.25">
      <c r="A68" s="7" t="s">
        <v>691</v>
      </c>
      <c r="B68" s="7" t="s">
        <v>692</v>
      </c>
      <c r="C68" s="20">
        <v>100</v>
      </c>
      <c r="D68" s="20">
        <v>100</v>
      </c>
      <c r="E68" s="20">
        <v>100</v>
      </c>
      <c r="F68" s="20">
        <v>100</v>
      </c>
      <c r="G68" s="20">
        <v>100</v>
      </c>
      <c r="H68" s="20">
        <v>100</v>
      </c>
      <c r="I68" s="20">
        <v>100</v>
      </c>
      <c r="J68" s="20">
        <v>100</v>
      </c>
      <c r="K68" s="20">
        <v>100</v>
      </c>
      <c r="L68" s="20">
        <v>100</v>
      </c>
      <c r="M68" s="20">
        <v>100</v>
      </c>
      <c r="N68" s="20">
        <v>100</v>
      </c>
      <c r="O68" s="20">
        <v>100</v>
      </c>
      <c r="P68" s="20">
        <v>100</v>
      </c>
      <c r="Q68" s="20">
        <v>100</v>
      </c>
      <c r="R68" s="20">
        <v>100</v>
      </c>
      <c r="S68" s="20">
        <v>100</v>
      </c>
      <c r="T68" s="20">
        <v>100</v>
      </c>
      <c r="U68" s="20">
        <v>100</v>
      </c>
      <c r="V68" s="20">
        <v>100</v>
      </c>
      <c r="W68" s="20">
        <v>100</v>
      </c>
      <c r="X68" s="20">
        <v>100</v>
      </c>
      <c r="Y68" s="20">
        <v>100</v>
      </c>
      <c r="Z68" s="20">
        <v>100</v>
      </c>
      <c r="AA68" s="20">
        <v>100</v>
      </c>
    </row>
    <row r="69" spans="1:27" x14ac:dyDescent="0.25">
      <c r="A69" s="7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x14ac:dyDescent="0.25">
      <c r="A70" s="7" t="s">
        <v>1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x14ac:dyDescent="0.25">
      <c r="A71" s="11" t="s">
        <v>340</v>
      </c>
      <c r="B71" s="11" t="s">
        <v>341</v>
      </c>
      <c r="C71" s="13" t="s">
        <v>342</v>
      </c>
      <c r="D71" s="13" t="s">
        <v>342</v>
      </c>
      <c r="E71" s="13" t="s">
        <v>342</v>
      </c>
      <c r="F71" s="13" t="s">
        <v>342</v>
      </c>
      <c r="G71" s="13" t="s">
        <v>342</v>
      </c>
      <c r="H71" s="13" t="s">
        <v>342</v>
      </c>
      <c r="I71" s="13" t="s">
        <v>342</v>
      </c>
      <c r="J71" s="13" t="s">
        <v>342</v>
      </c>
      <c r="K71" s="13" t="s">
        <v>342</v>
      </c>
      <c r="L71" s="13" t="s">
        <v>342</v>
      </c>
      <c r="M71" s="13" t="s">
        <v>342</v>
      </c>
      <c r="N71" s="13" t="s">
        <v>342</v>
      </c>
      <c r="O71" s="13" t="s">
        <v>342</v>
      </c>
      <c r="P71" s="13" t="s">
        <v>342</v>
      </c>
      <c r="Q71" s="13" t="s">
        <v>342</v>
      </c>
      <c r="R71" s="13" t="s">
        <v>342</v>
      </c>
      <c r="S71" s="13" t="s">
        <v>342</v>
      </c>
      <c r="T71" s="13" t="s">
        <v>342</v>
      </c>
      <c r="U71" s="13" t="s">
        <v>342</v>
      </c>
      <c r="V71" s="13" t="s">
        <v>342</v>
      </c>
      <c r="W71" s="13" t="s">
        <v>342</v>
      </c>
      <c r="X71" s="13" t="s">
        <v>342</v>
      </c>
      <c r="Y71" s="13" t="s">
        <v>342</v>
      </c>
      <c r="Z71" s="13" t="s">
        <v>342</v>
      </c>
      <c r="AA71" s="13" t="s">
        <v>342</v>
      </c>
    </row>
    <row r="72" spans="1:27" x14ac:dyDescent="0.25">
      <c r="A72" s="11" t="s">
        <v>693</v>
      </c>
      <c r="B72" s="11" t="s">
        <v>120</v>
      </c>
      <c r="C72" s="14">
        <v>0.166745697631384</v>
      </c>
      <c r="D72" s="14">
        <v>0.161666686600072</v>
      </c>
      <c r="E72" s="14">
        <v>0.16061090729036301</v>
      </c>
      <c r="F72" s="14">
        <v>0.15922802644884701</v>
      </c>
      <c r="G72" s="14">
        <v>0.15034673340633001</v>
      </c>
      <c r="H72" s="14">
        <v>0.15998200422721201</v>
      </c>
      <c r="I72" s="14">
        <v>0.15986384907149101</v>
      </c>
      <c r="J72" s="14">
        <v>0.15438278331538699</v>
      </c>
      <c r="K72" s="14">
        <v>0.14166560628310401</v>
      </c>
      <c r="L72" s="14">
        <v>0.14181057737946701</v>
      </c>
      <c r="M72" s="14">
        <v>0.14183202694414301</v>
      </c>
      <c r="N72" s="14">
        <v>0.138019377152099</v>
      </c>
      <c r="O72" s="14">
        <v>0.135371578817398</v>
      </c>
      <c r="P72" s="14">
        <v>0.13158189020789701</v>
      </c>
      <c r="Q72" s="14">
        <v>0.12545669770898299</v>
      </c>
      <c r="R72" s="14">
        <v>0.126004127640438</v>
      </c>
      <c r="S72" s="14">
        <v>0.120374793259912</v>
      </c>
      <c r="T72" s="14">
        <v>0.118416476380208</v>
      </c>
      <c r="U72" s="14">
        <v>0.116244651163559</v>
      </c>
      <c r="V72" s="14">
        <v>0.11279383479908001</v>
      </c>
      <c r="W72" s="14">
        <v>0.110200633667338</v>
      </c>
      <c r="X72" s="14">
        <v>0.111435047203762</v>
      </c>
      <c r="Y72" s="14">
        <v>0.11073464511292801</v>
      </c>
      <c r="Z72" s="14">
        <v>0.108253998075164</v>
      </c>
      <c r="AA72" s="14">
        <v>0.106724344201564</v>
      </c>
    </row>
    <row r="73" spans="1:27" x14ac:dyDescent="0.25">
      <c r="A73" s="11" t="s">
        <v>694</v>
      </c>
      <c r="B73" s="11" t="s">
        <v>695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2.9049214658820499E-3</v>
      </c>
      <c r="V73" s="14">
        <v>0</v>
      </c>
      <c r="W73" s="14">
        <v>0</v>
      </c>
      <c r="X73" s="14">
        <v>0</v>
      </c>
      <c r="Y73" s="14">
        <v>1.37622544946464E-3</v>
      </c>
      <c r="Z73" s="14">
        <v>0</v>
      </c>
      <c r="AA73" s="14">
        <v>0</v>
      </c>
    </row>
    <row r="74" spans="1:27" x14ac:dyDescent="0.25">
      <c r="A74" s="11" t="s">
        <v>696</v>
      </c>
      <c r="B74" s="11" t="s">
        <v>697</v>
      </c>
      <c r="C74" s="14" t="s">
        <v>1033</v>
      </c>
      <c r="D74" s="14" t="s">
        <v>1033</v>
      </c>
      <c r="E74" s="14" t="s">
        <v>1033</v>
      </c>
      <c r="F74" s="14">
        <v>0.17909238974799499</v>
      </c>
      <c r="G74" s="14" t="s">
        <v>1033</v>
      </c>
      <c r="H74" s="14" t="s">
        <v>1033</v>
      </c>
      <c r="I74" s="14" t="s">
        <v>1033</v>
      </c>
      <c r="J74" s="14">
        <v>0.18169745293992701</v>
      </c>
      <c r="K74" s="14" t="s">
        <v>1033</v>
      </c>
      <c r="L74" s="14">
        <v>0.34632281392347097</v>
      </c>
      <c r="M74" s="14">
        <v>0.39420534522353401</v>
      </c>
      <c r="N74" s="14">
        <v>0.46133661051403002</v>
      </c>
      <c r="O74" s="14" t="s">
        <v>1033</v>
      </c>
      <c r="P74" s="14" t="s">
        <v>1033</v>
      </c>
      <c r="Q74" s="14" t="s">
        <v>1033</v>
      </c>
      <c r="R74" s="14">
        <v>0.50108600137415105</v>
      </c>
      <c r="S74" s="14" t="s">
        <v>1033</v>
      </c>
      <c r="T74" s="14" t="s">
        <v>1033</v>
      </c>
      <c r="U74" s="14" t="s">
        <v>1033</v>
      </c>
      <c r="V74" s="14">
        <v>0.51173332567176599</v>
      </c>
      <c r="W74" s="14" t="s">
        <v>1033</v>
      </c>
      <c r="X74" s="14" t="s">
        <v>1033</v>
      </c>
      <c r="Y74" s="14" t="s">
        <v>1033</v>
      </c>
      <c r="Z74" s="14">
        <v>0.53431322183753704</v>
      </c>
      <c r="AA74" s="14" t="s">
        <v>1033</v>
      </c>
    </row>
    <row r="75" spans="1:27" x14ac:dyDescent="0.25">
      <c r="A75" s="11" t="s">
        <v>698</v>
      </c>
      <c r="B75" s="11" t="s">
        <v>699</v>
      </c>
      <c r="C75" s="14" t="s">
        <v>1033</v>
      </c>
      <c r="D75" s="14" t="s">
        <v>1033</v>
      </c>
      <c r="E75" s="14" t="s">
        <v>1033</v>
      </c>
      <c r="F75" s="14">
        <v>1.4189799899770901</v>
      </c>
      <c r="G75" s="14" t="s">
        <v>1033</v>
      </c>
      <c r="H75" s="14" t="s">
        <v>1033</v>
      </c>
      <c r="I75" s="14" t="s">
        <v>1033</v>
      </c>
      <c r="J75" s="14">
        <v>1.81384088316956</v>
      </c>
      <c r="K75" s="14" t="s">
        <v>1033</v>
      </c>
      <c r="L75" s="14" t="s">
        <v>1033</v>
      </c>
      <c r="M75" s="14" t="s">
        <v>1033</v>
      </c>
      <c r="N75" s="14" t="s">
        <v>1033</v>
      </c>
      <c r="O75" s="14" t="s">
        <v>1033</v>
      </c>
      <c r="P75" s="14" t="s">
        <v>1033</v>
      </c>
      <c r="Q75" s="14" t="s">
        <v>1033</v>
      </c>
      <c r="R75" s="14" t="s">
        <v>1033</v>
      </c>
      <c r="S75" s="14" t="s">
        <v>1033</v>
      </c>
      <c r="T75" s="14" t="s">
        <v>1033</v>
      </c>
      <c r="U75" s="14" t="s">
        <v>1033</v>
      </c>
      <c r="V75" s="14" t="s">
        <v>1033</v>
      </c>
      <c r="W75" s="14" t="s">
        <v>1033</v>
      </c>
      <c r="X75" s="14" t="s">
        <v>1033</v>
      </c>
      <c r="Y75" s="14" t="s">
        <v>1033</v>
      </c>
      <c r="Z75" s="14" t="s">
        <v>1033</v>
      </c>
      <c r="AA75" s="14" t="s">
        <v>1033</v>
      </c>
    </row>
    <row r="76" spans="1:27" x14ac:dyDescent="0.25">
      <c r="A76" s="11" t="s">
        <v>129</v>
      </c>
      <c r="B76" s="11" t="s">
        <v>130</v>
      </c>
      <c r="C76" s="14">
        <v>3.91492511334197E-3</v>
      </c>
      <c r="D76" s="14">
        <v>4.0036169849368202E-3</v>
      </c>
      <c r="E76" s="14">
        <v>4.1465050565889202E-3</v>
      </c>
      <c r="F76" s="14">
        <v>4.3663468508376296E-3</v>
      </c>
      <c r="G76" s="14">
        <v>4.1089173053861002E-3</v>
      </c>
      <c r="H76" s="14">
        <v>4.35435370698177E-3</v>
      </c>
      <c r="I76" s="14">
        <v>4.5000673277506001E-3</v>
      </c>
      <c r="J76" s="14">
        <v>4.4288911916986499E-3</v>
      </c>
      <c r="K76" s="14">
        <v>4.1065034019888702E-3</v>
      </c>
      <c r="L76" s="14">
        <v>3.9319232072509E-3</v>
      </c>
      <c r="M76" s="14">
        <v>4.1125598104051397E-3</v>
      </c>
      <c r="N76" s="14">
        <v>3.9909855792455498E-3</v>
      </c>
      <c r="O76" s="14">
        <v>4.0605016546707501E-3</v>
      </c>
      <c r="P76" s="14">
        <v>3.78912369294572E-3</v>
      </c>
      <c r="Q76" s="14">
        <v>3.7735744667520602E-3</v>
      </c>
      <c r="R76" s="14">
        <v>3.8240261923925801E-3</v>
      </c>
      <c r="S76" s="14">
        <v>3.7910655803062498E-3</v>
      </c>
      <c r="T76" s="14">
        <v>3.4584276552117E-3</v>
      </c>
      <c r="U76" s="14">
        <v>3.7283453806996698E-3</v>
      </c>
      <c r="V76" s="14">
        <v>3.6208272549994799E-3</v>
      </c>
      <c r="W76" s="14">
        <v>3.7187639726272599E-3</v>
      </c>
      <c r="X76" s="14">
        <v>3.5608495369939398E-3</v>
      </c>
      <c r="Y76" s="14">
        <v>3.7692455912353602E-3</v>
      </c>
      <c r="Z76" s="14">
        <v>3.4073160698405301E-3</v>
      </c>
      <c r="AA76" s="14">
        <v>3.52156553962978E-3</v>
      </c>
    </row>
    <row r="77" spans="1:27" x14ac:dyDescent="0.25">
      <c r="A77" s="11" t="s">
        <v>133</v>
      </c>
      <c r="B77" s="11" t="s">
        <v>134</v>
      </c>
      <c r="C77" s="14">
        <v>156.63698186528501</v>
      </c>
      <c r="D77" s="14">
        <v>161.40437199075899</v>
      </c>
      <c r="E77" s="14">
        <v>166.07579341557201</v>
      </c>
      <c r="F77" s="14">
        <v>166.43807497494299</v>
      </c>
      <c r="G77" s="14">
        <v>160.32785859533899</v>
      </c>
      <c r="H77" s="14">
        <v>172.075206050547</v>
      </c>
      <c r="I77" s="14">
        <v>175.06743801103801</v>
      </c>
      <c r="J77" s="14">
        <v>169.90813553992501</v>
      </c>
      <c r="K77" s="14">
        <v>157.64923035805299</v>
      </c>
      <c r="L77" s="14">
        <v>153.84271866911001</v>
      </c>
      <c r="M77" s="14">
        <v>155.492740160626</v>
      </c>
      <c r="N77" s="14">
        <v>155.26319857473601</v>
      </c>
      <c r="O77" s="14">
        <v>157.54944411607201</v>
      </c>
      <c r="P77" s="14">
        <v>171.76415935543801</v>
      </c>
      <c r="Q77" s="14">
        <v>167.66840645188199</v>
      </c>
      <c r="R77" s="14">
        <v>173.98005766511201</v>
      </c>
      <c r="S77" s="14">
        <v>172.939831735757</v>
      </c>
      <c r="T77" s="14">
        <v>176.234459528553</v>
      </c>
      <c r="U77" s="14">
        <v>183.356700802593</v>
      </c>
      <c r="V77" s="14">
        <v>181.93240636465799</v>
      </c>
      <c r="W77" s="14">
        <v>184.857285783734</v>
      </c>
      <c r="X77" s="14">
        <v>193.85121139751101</v>
      </c>
      <c r="Y77" s="14">
        <v>202.00979331381399</v>
      </c>
      <c r="Z77" s="14">
        <v>199.97471776832899</v>
      </c>
      <c r="AA77" s="14">
        <v>204.324959624934</v>
      </c>
    </row>
    <row r="78" spans="1:27" x14ac:dyDescent="0.25">
      <c r="A78" s="11" t="s">
        <v>700</v>
      </c>
      <c r="B78" s="11" t="s">
        <v>138</v>
      </c>
      <c r="C78" s="14">
        <v>0.764017394522576</v>
      </c>
      <c r="D78" s="14">
        <v>0.51883586336757603</v>
      </c>
      <c r="E78" s="14">
        <v>0.37098751913952499</v>
      </c>
      <c r="F78" s="14">
        <v>0.499523464347079</v>
      </c>
      <c r="G78" s="14">
        <v>0.51034986182804098</v>
      </c>
      <c r="H78" s="14">
        <v>0.62151193843178798</v>
      </c>
      <c r="I78" s="14">
        <v>0.55199272171136404</v>
      </c>
      <c r="J78" s="14">
        <v>0.45956542810199902</v>
      </c>
      <c r="K78" s="14">
        <v>0.41465500850681503</v>
      </c>
      <c r="L78" s="14">
        <v>0.43761473864533801</v>
      </c>
      <c r="M78" s="14">
        <v>0.45541700935492202</v>
      </c>
      <c r="N78" s="14">
        <v>0.481770682372401</v>
      </c>
      <c r="O78" s="14">
        <v>0.47008705507102899</v>
      </c>
      <c r="P78" s="14">
        <v>0.46997825112782898</v>
      </c>
      <c r="Q78" s="14">
        <v>0.449971458008465</v>
      </c>
      <c r="R78" s="14">
        <v>0.47871098824146902</v>
      </c>
      <c r="S78" s="14">
        <v>0.41224864834626701</v>
      </c>
      <c r="T78" s="14">
        <v>0.45929939593751701</v>
      </c>
      <c r="U78" s="14">
        <v>0.46891961301322199</v>
      </c>
      <c r="V78" s="14">
        <v>0.45018450483144101</v>
      </c>
      <c r="W78" s="14">
        <v>0.43490200210830698</v>
      </c>
      <c r="X78" s="14">
        <v>0.53412958940867405</v>
      </c>
      <c r="Y78" s="14">
        <v>0.66768608950118002</v>
      </c>
      <c r="Z78" s="14">
        <v>0.68646838778248698</v>
      </c>
      <c r="AA78" s="14">
        <v>0.69281602665342401</v>
      </c>
    </row>
    <row r="79" spans="1:27" x14ac:dyDescent="0.25">
      <c r="A79" s="11" t="s">
        <v>111</v>
      </c>
      <c r="B79" s="11" t="s">
        <v>112</v>
      </c>
      <c r="C79" s="14">
        <v>80.912287194670597</v>
      </c>
      <c r="D79" s="14">
        <v>81.252839483582903</v>
      </c>
      <c r="E79" s="14">
        <v>82.274199340642994</v>
      </c>
      <c r="F79" s="14">
        <v>82.834704771620807</v>
      </c>
      <c r="G79" s="14">
        <v>89.307263152406307</v>
      </c>
      <c r="H79" s="14">
        <v>83.867306316839205</v>
      </c>
      <c r="I79" s="14">
        <v>86.345353156387304</v>
      </c>
      <c r="J79" s="14">
        <v>85.833271650929106</v>
      </c>
      <c r="K79" s="14">
        <v>78.937343368246601</v>
      </c>
      <c r="L79" s="14">
        <v>86.861368207369097</v>
      </c>
      <c r="M79" s="14">
        <v>88.055675028071505</v>
      </c>
      <c r="N79" s="14">
        <v>86.525734370591906</v>
      </c>
      <c r="O79" s="14">
        <v>82.967008461379194</v>
      </c>
      <c r="P79" s="14">
        <v>81.284379052815197</v>
      </c>
      <c r="Q79" s="14">
        <v>82.232610269547806</v>
      </c>
      <c r="R79" s="14">
        <v>89.055365629254396</v>
      </c>
      <c r="S79" s="14">
        <v>88.532056663628893</v>
      </c>
      <c r="T79" s="14">
        <v>88.328070527754903</v>
      </c>
      <c r="U79" s="14">
        <v>87.523424286713706</v>
      </c>
      <c r="V79" s="14">
        <v>88.183314321046893</v>
      </c>
      <c r="W79" s="14">
        <v>85.918568889581806</v>
      </c>
      <c r="X79" s="14">
        <v>86.6317076658529</v>
      </c>
      <c r="Y79" s="14">
        <v>88.560625171614106</v>
      </c>
      <c r="Z79" s="14">
        <v>89.134027767355704</v>
      </c>
      <c r="AA79" s="14">
        <v>88.934253800112202</v>
      </c>
    </row>
    <row r="80" spans="1:27" x14ac:dyDescent="0.25">
      <c r="A80" s="11" t="s">
        <v>701</v>
      </c>
      <c r="B80" s="11" t="s">
        <v>150</v>
      </c>
      <c r="C80" s="14">
        <v>1.2426842385270201E-4</v>
      </c>
      <c r="D80" s="14">
        <v>1.1136386860404801E-4</v>
      </c>
      <c r="E80" s="14">
        <v>1.1061788104178499E-4</v>
      </c>
      <c r="F80" s="14">
        <v>1.01329713452176E-4</v>
      </c>
      <c r="G80" s="14">
        <v>8.5587413316648396E-5</v>
      </c>
      <c r="H80" s="14">
        <v>9.8972677060072694E-5</v>
      </c>
      <c r="I80" s="14">
        <v>9.8442685138763896E-5</v>
      </c>
      <c r="J80" s="14">
        <v>1.04076009290721E-4</v>
      </c>
      <c r="K80" s="14">
        <v>9.2587746944498603E-5</v>
      </c>
      <c r="L80" s="14">
        <v>1.03104456522585E-4</v>
      </c>
      <c r="M80" s="14">
        <v>1.09938617641561E-4</v>
      </c>
      <c r="N80" s="14">
        <v>1.11885818464285E-4</v>
      </c>
      <c r="O80" s="14">
        <v>1.0747050160302801E-4</v>
      </c>
      <c r="P80" s="14">
        <v>1.0637813284608999E-4</v>
      </c>
      <c r="Q80" s="14">
        <v>1.02391566537648E-4</v>
      </c>
      <c r="R80" s="14">
        <v>1.06063232930041E-4</v>
      </c>
      <c r="S80" s="14">
        <v>9.8903982175829597E-5</v>
      </c>
      <c r="T80" s="14">
        <v>9.6822809570215894E-5</v>
      </c>
      <c r="U80" s="14">
        <v>9.7221481873579297E-5</v>
      </c>
      <c r="V80" s="14">
        <v>9.5814275522628802E-5</v>
      </c>
      <c r="W80" s="14">
        <v>9.0675226294373995E-5</v>
      </c>
      <c r="X80" s="14">
        <v>9.2439792575186702E-5</v>
      </c>
      <c r="Y80" s="14">
        <v>9.1581352771710298E-5</v>
      </c>
      <c r="Z80" s="14">
        <v>8.9242506627446494E-5</v>
      </c>
      <c r="AA80" s="14">
        <v>8.6215722925184397E-5</v>
      </c>
    </row>
    <row r="81" spans="1:27" x14ac:dyDescent="0.25">
      <c r="A81" s="11" t="s">
        <v>702</v>
      </c>
      <c r="B81" s="11" t="s">
        <v>703</v>
      </c>
      <c r="C81" s="14">
        <v>-0.216390636565507</v>
      </c>
      <c r="D81" s="14">
        <v>-1.12838686252834E-2</v>
      </c>
      <c r="E81" s="14">
        <v>4.9983882624167898E-2</v>
      </c>
      <c r="F81" s="14">
        <v>9.0497028923253106E-2</v>
      </c>
      <c r="G81" s="14">
        <v>0</v>
      </c>
      <c r="H81" s="14">
        <v>0.12438650664157</v>
      </c>
      <c r="I81" s="14">
        <v>0.14934622022997601</v>
      </c>
      <c r="J81" s="14">
        <v>0.180778970424323</v>
      </c>
      <c r="K81" s="14">
        <v>0</v>
      </c>
      <c r="L81" s="14" t="s">
        <v>1033</v>
      </c>
      <c r="M81" s="14" t="s">
        <v>1033</v>
      </c>
      <c r="N81" s="14">
        <v>0</v>
      </c>
      <c r="O81" s="14">
        <v>0</v>
      </c>
      <c r="P81" s="14" t="s">
        <v>1033</v>
      </c>
      <c r="Q81" s="14">
        <v>-5.2210960124749405E-4</v>
      </c>
      <c r="R81" s="14">
        <v>0</v>
      </c>
      <c r="S81" s="14">
        <v>0</v>
      </c>
      <c r="T81" s="14">
        <v>-8.3079638589198507E-2</v>
      </c>
      <c r="U81" s="14">
        <v>-6.8759449775643397E-2</v>
      </c>
      <c r="V81" s="14">
        <v>0</v>
      </c>
      <c r="W81" s="14">
        <v>-0.106551382249558</v>
      </c>
      <c r="X81" s="14">
        <v>-8.88895578932858E-2</v>
      </c>
      <c r="Y81" s="14">
        <v>-7.7233833201222804E-2</v>
      </c>
      <c r="Z81" s="14">
        <v>-0.13226032001840901</v>
      </c>
      <c r="AA81" s="14">
        <v>-7.1512332178386998E-2</v>
      </c>
    </row>
    <row r="82" spans="1:27" x14ac:dyDescent="0.25">
      <c r="A82" s="11" t="s">
        <v>704</v>
      </c>
      <c r="B82" s="11" t="s">
        <v>705</v>
      </c>
      <c r="C82" s="14">
        <v>45.644487879348603</v>
      </c>
      <c r="D82" s="14">
        <v>44.925099534557098</v>
      </c>
      <c r="E82" s="14">
        <v>42.792272528395799</v>
      </c>
      <c r="F82" s="14">
        <v>39.812092819301299</v>
      </c>
      <c r="G82" s="14">
        <v>44.920642369257997</v>
      </c>
      <c r="H82" s="14">
        <v>41.722960798003101</v>
      </c>
      <c r="I82" s="14">
        <v>41.231714313323401</v>
      </c>
      <c r="J82" s="14">
        <v>39.643056083082698</v>
      </c>
      <c r="K82" s="14">
        <v>41.747161652076002</v>
      </c>
      <c r="L82" s="14">
        <v>39.936685108556503</v>
      </c>
      <c r="M82" s="14">
        <v>39.667091437585</v>
      </c>
      <c r="N82" s="14">
        <v>41.117796868901202</v>
      </c>
      <c r="O82" s="14">
        <v>40.872175099799001</v>
      </c>
      <c r="P82" s="14">
        <v>41.3204385551009</v>
      </c>
      <c r="Q82" s="14">
        <v>41.758543453441703</v>
      </c>
      <c r="R82" s="14">
        <v>41.123691622206003</v>
      </c>
      <c r="S82" s="14">
        <v>41.923454088442</v>
      </c>
      <c r="T82" s="14">
        <v>42.912460836964698</v>
      </c>
      <c r="U82" s="14">
        <v>42.272640309153097</v>
      </c>
      <c r="V82" s="14">
        <v>42.490578498216898</v>
      </c>
      <c r="W82" s="14">
        <v>40.618170379577499</v>
      </c>
      <c r="X82" s="14">
        <v>41.045902108195698</v>
      </c>
      <c r="Y82" s="14">
        <v>41.214292802308897</v>
      </c>
      <c r="Z82" s="14">
        <v>40.975532418016499</v>
      </c>
      <c r="AA82" s="14">
        <v>40.173883089287202</v>
      </c>
    </row>
    <row r="83" spans="1:27" x14ac:dyDescent="0.25">
      <c r="A83" s="11" t="s">
        <v>706</v>
      </c>
      <c r="B83" s="11" t="s">
        <v>707</v>
      </c>
      <c r="C83" s="14">
        <v>20.0906735751295</v>
      </c>
      <c r="D83" s="14">
        <v>19.8969878836796</v>
      </c>
      <c r="E83" s="14">
        <v>18.967177659087099</v>
      </c>
      <c r="F83" s="14">
        <v>15.9884982638889</v>
      </c>
      <c r="G83" s="14">
        <v>17.9746597841389</v>
      </c>
      <c r="H83" s="14">
        <v>19.476483743376701</v>
      </c>
      <c r="I83" s="14">
        <v>21.367519776747201</v>
      </c>
      <c r="J83" s="14">
        <v>18.830296307862401</v>
      </c>
      <c r="K83" s="14">
        <v>21.773613104277398</v>
      </c>
      <c r="L83" s="14">
        <v>18.1656967572128</v>
      </c>
      <c r="M83" s="14">
        <v>17.705891322652501</v>
      </c>
      <c r="N83" s="14">
        <v>19.4387924671219</v>
      </c>
      <c r="O83" s="14">
        <v>20.210879559968799</v>
      </c>
      <c r="P83" s="14">
        <v>19.142703814677301</v>
      </c>
      <c r="Q83" s="14">
        <v>20.348395035085801</v>
      </c>
      <c r="R83" s="14">
        <v>17.3302169497099</v>
      </c>
      <c r="S83" s="14">
        <v>17.2982037648008</v>
      </c>
      <c r="T83" s="14">
        <v>18.043435497058901</v>
      </c>
      <c r="U83" s="14">
        <v>18.757032451237201</v>
      </c>
      <c r="V83" s="14">
        <v>20.099433111485101</v>
      </c>
      <c r="W83" s="14">
        <v>17.7843266834041</v>
      </c>
      <c r="X83" s="14">
        <v>17.411301570500999</v>
      </c>
      <c r="Y83" s="14">
        <v>18.7433919840208</v>
      </c>
      <c r="Z83" s="14">
        <v>18.6242309987867</v>
      </c>
      <c r="AA83" s="14">
        <v>18.580686966052301</v>
      </c>
    </row>
    <row r="84" spans="1:27" x14ac:dyDescent="0.25">
      <c r="A84" s="11" t="s">
        <v>708</v>
      </c>
      <c r="B84" s="11" t="s">
        <v>152</v>
      </c>
      <c r="C84" s="14">
        <v>1.0927379024796399E-3</v>
      </c>
      <c r="D84" s="14">
        <v>9.8347068314443009E-4</v>
      </c>
      <c r="E84" s="14">
        <v>9.3433642212980596E-4</v>
      </c>
      <c r="F84" s="14">
        <v>8.2044097445947901E-4</v>
      </c>
      <c r="G84" s="14">
        <v>7.3891563689452002E-4</v>
      </c>
      <c r="H84" s="14">
        <v>8.2117482800196E-4</v>
      </c>
      <c r="I84" s="14">
        <v>7.8961356067865096E-4</v>
      </c>
      <c r="J84" s="14">
        <v>8.2963851229605004E-4</v>
      </c>
      <c r="K84" s="14">
        <v>7.8169529047221996E-4</v>
      </c>
      <c r="L84" s="14">
        <v>8.6570446760274105E-4</v>
      </c>
      <c r="M84" s="14">
        <v>8.8777029533596095E-4</v>
      </c>
      <c r="N84" s="14">
        <v>9.3285180418845298E-4</v>
      </c>
      <c r="O84" s="14">
        <v>9.1284159714107396E-4</v>
      </c>
      <c r="P84" s="14">
        <v>9.5629809188556205E-4</v>
      </c>
      <c r="Q84" s="14">
        <v>9.0294613395243905E-4</v>
      </c>
      <c r="R84" s="14">
        <v>9.49404908172331E-4</v>
      </c>
      <c r="S84" s="14">
        <v>8.75485211440766E-4</v>
      </c>
      <c r="T84" s="14">
        <v>9.2885454820980395E-4</v>
      </c>
      <c r="U84" s="14">
        <v>9.1034585920593601E-4</v>
      </c>
      <c r="V84" s="14">
        <v>9.11739436041225E-4</v>
      </c>
      <c r="W84" s="14">
        <v>8.4830828135362604E-4</v>
      </c>
      <c r="X84" s="14">
        <v>9.2484815690829097E-4</v>
      </c>
      <c r="Y84" s="14">
        <v>8.7380689070854704E-4</v>
      </c>
      <c r="Z84" s="14">
        <v>9.0762076498568703E-4</v>
      </c>
      <c r="AA84" s="14">
        <v>8.4694225028253997E-4</v>
      </c>
    </row>
    <row r="85" spans="1:27" x14ac:dyDescent="0.25">
      <c r="A85" s="11" t="s">
        <v>709</v>
      </c>
      <c r="B85" s="11" t="s">
        <v>156</v>
      </c>
      <c r="C85" s="14">
        <v>5.7447764387490695E-4</v>
      </c>
      <c r="D85" s="14">
        <v>5.3229379827415997E-4</v>
      </c>
      <c r="E85" s="14">
        <v>5.56343948634894E-4</v>
      </c>
      <c r="F85" s="14">
        <v>6.2093579968499398E-4</v>
      </c>
      <c r="G85" s="14">
        <v>5.4211361384847996E-4</v>
      </c>
      <c r="H85" s="14">
        <v>5.4558246656296596E-4</v>
      </c>
      <c r="I85" s="14">
        <v>5.6897778086591698E-4</v>
      </c>
      <c r="J85" s="14">
        <v>6.1458847390888295E-4</v>
      </c>
      <c r="K85" s="14">
        <v>4.8730212382954498E-4</v>
      </c>
      <c r="L85" s="14">
        <v>4.5999829020677499E-4</v>
      </c>
      <c r="M85" s="14">
        <v>4.8578227540891798E-4</v>
      </c>
      <c r="N85" s="14">
        <v>4.5609688938355798E-4</v>
      </c>
      <c r="O85" s="14">
        <v>4.6086324565229299E-4</v>
      </c>
      <c r="P85" s="14">
        <v>4.1428028391267998E-4</v>
      </c>
      <c r="Q85" s="14">
        <v>3.9710920966529298E-4</v>
      </c>
      <c r="R85" s="14">
        <v>4.0447526637914699E-4</v>
      </c>
      <c r="S85" s="14">
        <v>3.8743733298711398E-4</v>
      </c>
      <c r="T85" s="14">
        <v>3.4319451271923399E-4</v>
      </c>
      <c r="U85" s="14">
        <v>3.6589589141626701E-4</v>
      </c>
      <c r="V85" s="14">
        <v>3.4403330515549299E-4</v>
      </c>
      <c r="W85" s="14">
        <v>3.5034642909886898E-4</v>
      </c>
      <c r="X85" s="14">
        <v>3.3681418081578E-4</v>
      </c>
      <c r="Y85" s="14">
        <v>3.6024027772298101E-4</v>
      </c>
      <c r="Z85" s="14">
        <v>3.1575013766694599E-4</v>
      </c>
      <c r="AA85" s="14">
        <v>3.2489429642677299E-4</v>
      </c>
    </row>
    <row r="86" spans="1:27" x14ac:dyDescent="0.25">
      <c r="A86" s="11" t="s">
        <v>710</v>
      </c>
      <c r="B86" s="11" t="s">
        <v>158</v>
      </c>
      <c r="C86" s="14">
        <v>1.18314200129534E-3</v>
      </c>
      <c r="D86" s="14">
        <v>1.03980492865834E-3</v>
      </c>
      <c r="E86" s="14">
        <v>1.0800663756849701E-3</v>
      </c>
      <c r="F86" s="14">
        <v>1.17110840403064E-3</v>
      </c>
      <c r="G86" s="14">
        <v>1.1614315657750699E-3</v>
      </c>
      <c r="H86" s="14">
        <v>1.11359160188982E-3</v>
      </c>
      <c r="I86" s="14">
        <v>1.1739134660997701E-3</v>
      </c>
      <c r="J86" s="14">
        <v>1.3039106284095301E-3</v>
      </c>
      <c r="K86" s="14">
        <v>1.1728705573818201E-3</v>
      </c>
      <c r="L86" s="14">
        <v>1.0999418873718701E-3</v>
      </c>
      <c r="M86" s="14">
        <v>1.1760758364898899E-3</v>
      </c>
      <c r="N86" s="14">
        <v>1.0833798534543701E-3</v>
      </c>
      <c r="O86" s="14">
        <v>1.0577558730365899E-3</v>
      </c>
      <c r="P86" s="14">
        <v>9.7379945404216001E-4</v>
      </c>
      <c r="Q86" s="14">
        <v>9.8868183859155702E-4</v>
      </c>
      <c r="R86" s="14">
        <v>9.5319622007342E-4</v>
      </c>
      <c r="S86" s="14">
        <v>9.4638964114120399E-4</v>
      </c>
      <c r="T86" s="14">
        <v>8.3053351255208904E-4</v>
      </c>
      <c r="U86" s="14">
        <v>8.7191928533146904E-4</v>
      </c>
      <c r="V86" s="14">
        <v>8.1461907916327602E-4</v>
      </c>
      <c r="W86" s="14">
        <v>8.6595851782326496E-4</v>
      </c>
      <c r="X86" s="14">
        <v>8.2155670809168303E-4</v>
      </c>
      <c r="Y86" s="14">
        <v>8.6299845811300003E-4</v>
      </c>
      <c r="Z86" s="14">
        <v>7.7216853435785999E-4</v>
      </c>
      <c r="AA86" s="14">
        <v>7.5617655996470298E-4</v>
      </c>
    </row>
    <row r="87" spans="1:27" x14ac:dyDescent="0.25">
      <c r="A87" s="11" t="s">
        <v>711</v>
      </c>
      <c r="B87" s="11" t="s">
        <v>81</v>
      </c>
      <c r="C87" s="14">
        <v>1.03164322723908E-3</v>
      </c>
      <c r="D87" s="14">
        <v>1.02938964718722E-3</v>
      </c>
      <c r="E87" s="14">
        <v>1.1062183580026501E-3</v>
      </c>
      <c r="F87" s="14">
        <v>1.0761204180985101E-3</v>
      </c>
      <c r="G87" s="14">
        <v>1.08504093018406E-3</v>
      </c>
      <c r="H87" s="14">
        <v>1.1645822155660901E-3</v>
      </c>
      <c r="I87" s="14">
        <v>1.1598411883621399E-3</v>
      </c>
      <c r="J87" s="14">
        <v>1.28479495418123E-3</v>
      </c>
      <c r="K87" s="14">
        <v>1.22087404755857E-3</v>
      </c>
      <c r="L87" s="14">
        <v>1.0982062984657901E-3</v>
      </c>
      <c r="M87" s="14">
        <v>1.1091938107358999E-3</v>
      </c>
      <c r="N87" s="14">
        <v>1.08546949091626E-3</v>
      </c>
      <c r="O87" s="14">
        <v>1.02017294583976E-3</v>
      </c>
      <c r="P87" s="14">
        <v>9.7746714624314009E-4</v>
      </c>
      <c r="Q87" s="14">
        <v>9.5023947427043897E-4</v>
      </c>
      <c r="R87" s="14">
        <v>8.9895681446630301E-4</v>
      </c>
      <c r="S87" s="14">
        <v>8.7751560387225704E-4</v>
      </c>
      <c r="T87" s="14">
        <v>8.2135085110428599E-4</v>
      </c>
      <c r="U87" s="14">
        <v>7.8511390969785095E-4</v>
      </c>
      <c r="V87" s="14">
        <v>8.7244745385760595E-4</v>
      </c>
      <c r="W87" s="14">
        <v>8.8766703006433402E-4</v>
      </c>
      <c r="X87" s="14">
        <v>8.5245244468070899E-4</v>
      </c>
      <c r="Y87" s="14">
        <v>8.8073669439990999E-4</v>
      </c>
      <c r="Z87" s="14">
        <v>7.5654288378293E-4</v>
      </c>
      <c r="AA87" s="14">
        <v>7.3333335862505095E-4</v>
      </c>
    </row>
    <row r="88" spans="1:27" x14ac:dyDescent="0.25">
      <c r="A88" s="11" t="s">
        <v>712</v>
      </c>
      <c r="B88" s="11" t="s">
        <v>83</v>
      </c>
      <c r="C88" s="14">
        <v>1.09583179126573E-3</v>
      </c>
      <c r="D88" s="14">
        <v>1.10227671370919E-3</v>
      </c>
      <c r="E88" s="14">
        <v>1.1764013958215499E-3</v>
      </c>
      <c r="F88" s="14">
        <v>1.12981457617411E-3</v>
      </c>
      <c r="G88" s="14">
        <v>1.1314458522342101E-3</v>
      </c>
      <c r="H88" s="14">
        <v>1.2161811417441E-3</v>
      </c>
      <c r="I88" s="14">
        <v>1.2119564234032701E-3</v>
      </c>
      <c r="J88" s="14">
        <v>1.3339607829577201E-3</v>
      </c>
      <c r="K88" s="14">
        <v>1.2719689775167601E-3</v>
      </c>
      <c r="L88" s="14">
        <v>1.12427209954894E-3</v>
      </c>
      <c r="M88" s="14">
        <v>1.1323122626669801E-3</v>
      </c>
      <c r="N88" s="14">
        <v>1.10430941532468E-3</v>
      </c>
      <c r="O88" s="14">
        <v>1.03613515484047E-3</v>
      </c>
      <c r="P88" s="14">
        <v>9.9161349616542702E-4</v>
      </c>
      <c r="Q88" s="14">
        <v>9.6372730563599898E-4</v>
      </c>
      <c r="R88" s="14">
        <v>9.0950691889035804E-4</v>
      </c>
      <c r="S88" s="14">
        <v>8.8753481152826705E-4</v>
      </c>
      <c r="T88" s="14">
        <v>8.3038571046643297E-4</v>
      </c>
      <c r="U88" s="14">
        <v>7.9461792018366696E-4</v>
      </c>
      <c r="V88" s="14">
        <v>8.8134997889696904E-4</v>
      </c>
      <c r="W88" s="14">
        <v>8.9589342354683696E-4</v>
      </c>
      <c r="X88" s="14">
        <v>8.6037486517030596E-4</v>
      </c>
      <c r="Y88" s="14">
        <v>8.8910568561366399E-4</v>
      </c>
      <c r="Z88" s="14">
        <v>7.7193541448044602E-4</v>
      </c>
      <c r="AA88" s="14">
        <v>7.4888776509355996E-4</v>
      </c>
    </row>
    <row r="89" spans="1:27" x14ac:dyDescent="0.25">
      <c r="A89" s="11" t="s">
        <v>713</v>
      </c>
      <c r="B89" s="11" t="s">
        <v>714</v>
      </c>
      <c r="C89" s="14" t="s">
        <v>1033</v>
      </c>
      <c r="D89" s="14" t="s">
        <v>1033</v>
      </c>
      <c r="E89" s="14" t="s">
        <v>1033</v>
      </c>
      <c r="F89" s="14" t="s">
        <v>1033</v>
      </c>
      <c r="G89" s="14">
        <v>29626</v>
      </c>
      <c r="H89" s="14" t="s">
        <v>1033</v>
      </c>
      <c r="I89" s="14" t="s">
        <v>1033</v>
      </c>
      <c r="J89" s="14" t="s">
        <v>1033</v>
      </c>
      <c r="K89" s="14" t="s">
        <v>1033</v>
      </c>
      <c r="L89" s="14" t="s">
        <v>1033</v>
      </c>
      <c r="M89" s="14" t="s">
        <v>1033</v>
      </c>
      <c r="N89" s="14" t="s">
        <v>1033</v>
      </c>
      <c r="O89" s="14" t="s">
        <v>1033</v>
      </c>
      <c r="P89" s="14" t="s">
        <v>1033</v>
      </c>
      <c r="Q89" s="14" t="s">
        <v>1033</v>
      </c>
      <c r="R89" s="14" t="s">
        <v>1033</v>
      </c>
      <c r="S89" s="14" t="s">
        <v>1033</v>
      </c>
      <c r="T89" s="14" t="s">
        <v>1033</v>
      </c>
      <c r="U89" s="14" t="s">
        <v>1033</v>
      </c>
      <c r="V89" s="14" t="s">
        <v>1033</v>
      </c>
      <c r="W89" s="14" t="s">
        <v>1033</v>
      </c>
      <c r="X89" s="14" t="s">
        <v>1033</v>
      </c>
      <c r="Y89" s="14" t="s">
        <v>1033</v>
      </c>
      <c r="Z89" s="14" t="s">
        <v>1033</v>
      </c>
      <c r="AA89" s="14" t="s">
        <v>1033</v>
      </c>
    </row>
    <row r="90" spans="1:27" x14ac:dyDescent="0.25">
      <c r="A90" s="8" t="s">
        <v>84</v>
      </c>
      <c r="B90" s="8"/>
      <c r="C90" s="8" t="s">
        <v>3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68"/>
  <sheetViews>
    <sheetView workbookViewId="0">
      <selection activeCell="J20" sqref="J20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584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7" t="s">
        <v>1034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25">
      <c r="A7" s="11" t="s">
        <v>1035</v>
      </c>
      <c r="B7" s="11" t="s">
        <v>1036</v>
      </c>
      <c r="C7" s="14">
        <v>9118</v>
      </c>
      <c r="D7" s="14">
        <v>6518</v>
      </c>
      <c r="E7" s="14">
        <v>8905.8492000000006</v>
      </c>
      <c r="F7" s="14">
        <v>5966.0325999999995</v>
      </c>
      <c r="G7" s="14">
        <v>8544</v>
      </c>
      <c r="H7" s="14">
        <v>8568</v>
      </c>
      <c r="I7" s="14">
        <v>8874</v>
      </c>
      <c r="J7" s="14">
        <v>9061.3258000000005</v>
      </c>
      <c r="K7" s="14">
        <v>10748</v>
      </c>
      <c r="L7" s="14">
        <v>11523</v>
      </c>
      <c r="M7" s="14">
        <v>11544</v>
      </c>
      <c r="N7" s="14">
        <v>11591.899299999999</v>
      </c>
      <c r="O7" s="14">
        <v>13018</v>
      </c>
      <c r="P7" s="14">
        <v>13088</v>
      </c>
      <c r="Q7" s="14">
        <v>13268</v>
      </c>
      <c r="R7" s="14">
        <v>13043</v>
      </c>
      <c r="S7" s="14">
        <v>14208</v>
      </c>
      <c r="T7" s="14">
        <v>14018</v>
      </c>
      <c r="U7" s="14">
        <v>14238</v>
      </c>
      <c r="V7" s="14">
        <v>13724</v>
      </c>
      <c r="W7" s="14">
        <v>15288</v>
      </c>
      <c r="X7" s="14">
        <v>14618</v>
      </c>
      <c r="Y7" s="14">
        <v>13008</v>
      </c>
      <c r="Z7" s="14">
        <v>15874</v>
      </c>
      <c r="AA7" s="14">
        <v>15458</v>
      </c>
    </row>
    <row r="8" spans="1:27" x14ac:dyDescent="0.25">
      <c r="A8" s="11" t="s">
        <v>1037</v>
      </c>
      <c r="B8" s="11" t="s">
        <v>1038</v>
      </c>
      <c r="C8" s="14">
        <v>429.03629999999998</v>
      </c>
      <c r="D8" s="14">
        <v>673.24710000000005</v>
      </c>
      <c r="E8" s="14">
        <v>573.82889999999998</v>
      </c>
      <c r="F8" s="14">
        <v>610.8877</v>
      </c>
      <c r="G8" s="14">
        <v>1311</v>
      </c>
      <c r="H8" s="14" t="s">
        <v>1033</v>
      </c>
      <c r="I8" s="14">
        <v>653.56849999999997</v>
      </c>
      <c r="J8" s="14">
        <v>675.52509999999995</v>
      </c>
      <c r="K8" s="14">
        <v>875</v>
      </c>
      <c r="L8" s="14">
        <v>1120.0001</v>
      </c>
      <c r="M8" s="14">
        <v>976.25819999999999</v>
      </c>
      <c r="N8" s="14">
        <v>1396.7416000000001</v>
      </c>
      <c r="O8" s="14">
        <v>986</v>
      </c>
      <c r="P8" s="14">
        <v>1066</v>
      </c>
      <c r="Q8" s="14">
        <v>1100</v>
      </c>
      <c r="R8" s="14">
        <v>1333</v>
      </c>
      <c r="S8" s="14">
        <v>1222</v>
      </c>
      <c r="T8" s="14">
        <v>1014</v>
      </c>
      <c r="U8" s="14">
        <v>1655</v>
      </c>
      <c r="V8" s="14">
        <v>1360</v>
      </c>
      <c r="W8" s="14">
        <v>1368</v>
      </c>
      <c r="X8" s="14">
        <v>1403</v>
      </c>
      <c r="Y8" s="14">
        <v>1317</v>
      </c>
      <c r="Z8" s="14">
        <v>1436</v>
      </c>
      <c r="AA8" s="14">
        <v>1409</v>
      </c>
    </row>
    <row r="9" spans="1:27" x14ac:dyDescent="0.25">
      <c r="A9" s="11" t="s">
        <v>1039</v>
      </c>
      <c r="B9" s="11" t="s">
        <v>1040</v>
      </c>
      <c r="C9" s="14">
        <v>4344</v>
      </c>
      <c r="D9" s="14">
        <v>8455.9058999999997</v>
      </c>
      <c r="E9" s="14">
        <v>3137.9470999999999</v>
      </c>
      <c r="F9" s="14">
        <v>5992.1468999999997</v>
      </c>
      <c r="G9" s="14">
        <v>3214</v>
      </c>
      <c r="H9" s="14">
        <v>2765.8249000000001</v>
      </c>
      <c r="I9" s="14">
        <v>2652.5493999999999</v>
      </c>
      <c r="J9" s="14">
        <v>2718.6257000000001</v>
      </c>
      <c r="K9" s="14">
        <v>2668</v>
      </c>
      <c r="L9" s="14">
        <v>2433.5259000000001</v>
      </c>
      <c r="M9" s="14">
        <v>3147.8117999999999</v>
      </c>
      <c r="N9" s="14">
        <v>3631.6623</v>
      </c>
      <c r="O9" s="14">
        <v>3771</v>
      </c>
      <c r="P9" s="14">
        <v>4039</v>
      </c>
      <c r="Q9" s="14">
        <v>4541</v>
      </c>
      <c r="R9" s="14">
        <v>3591</v>
      </c>
      <c r="S9" s="14">
        <v>4868</v>
      </c>
      <c r="T9" s="14">
        <v>4855</v>
      </c>
      <c r="U9" s="14">
        <v>4613</v>
      </c>
      <c r="V9" s="14">
        <v>3786</v>
      </c>
      <c r="W9" s="14">
        <v>5086</v>
      </c>
      <c r="X9" s="14">
        <v>5208</v>
      </c>
      <c r="Y9" s="14">
        <v>8176</v>
      </c>
      <c r="Z9" s="14">
        <v>2769</v>
      </c>
      <c r="AA9" s="14">
        <v>6916</v>
      </c>
    </row>
    <row r="10" spans="1:27" x14ac:dyDescent="0.25">
      <c r="A10" s="11" t="s">
        <v>1041</v>
      </c>
      <c r="B10" s="11" t="s">
        <v>1042</v>
      </c>
      <c r="C10" s="14">
        <v>3658.2750999999998</v>
      </c>
      <c r="D10" s="14">
        <v>9598.4868999999999</v>
      </c>
      <c r="E10" s="14">
        <v>1934.1441</v>
      </c>
      <c r="F10" s="14">
        <v>-19175.787899999999</v>
      </c>
      <c r="G10" s="14">
        <v>5415</v>
      </c>
      <c r="H10" s="14">
        <v>4054.0441999999998</v>
      </c>
      <c r="I10" s="14">
        <v>5260.4569000000001</v>
      </c>
      <c r="J10" s="14">
        <v>2319.8056999999999</v>
      </c>
      <c r="K10" s="14">
        <v>-4006</v>
      </c>
      <c r="L10" s="14">
        <v>10371.6006</v>
      </c>
      <c r="M10" s="14">
        <v>1779.3875</v>
      </c>
      <c r="N10" s="14">
        <v>1126.1125999999999</v>
      </c>
      <c r="O10" s="14">
        <v>-1447</v>
      </c>
      <c r="P10" s="14">
        <v>121</v>
      </c>
      <c r="Q10" s="14">
        <v>4356</v>
      </c>
      <c r="R10" s="14">
        <v>4170</v>
      </c>
      <c r="S10" s="14">
        <v>-6261</v>
      </c>
      <c r="T10" s="14">
        <v>1390</v>
      </c>
      <c r="U10" s="14">
        <v>7961</v>
      </c>
      <c r="V10" s="14">
        <v>7204</v>
      </c>
      <c r="W10" s="14">
        <v>-6717</v>
      </c>
      <c r="X10" s="14">
        <v>5649</v>
      </c>
      <c r="Y10" s="14">
        <v>853</v>
      </c>
      <c r="Z10" s="14">
        <v>10645</v>
      </c>
      <c r="AA10" s="14">
        <v>-4174</v>
      </c>
    </row>
    <row r="11" spans="1:27" x14ac:dyDescent="0.25">
      <c r="A11" s="11" t="s">
        <v>1043</v>
      </c>
      <c r="B11" s="11" t="s">
        <v>1044</v>
      </c>
      <c r="C11" s="14">
        <v>3658.2750999999998</v>
      </c>
      <c r="D11" s="14">
        <v>9598.4868999999999</v>
      </c>
      <c r="E11" s="14">
        <v>1934.1441</v>
      </c>
      <c r="F11" s="14">
        <v>-19175.787899999999</v>
      </c>
      <c r="G11" s="14">
        <v>5415</v>
      </c>
      <c r="H11" s="14">
        <v>4054.0441999999998</v>
      </c>
      <c r="I11" s="14">
        <v>5260.4569000000001</v>
      </c>
      <c r="J11" s="14">
        <v>2319.8056999999999</v>
      </c>
      <c r="K11" s="14">
        <v>-4006</v>
      </c>
      <c r="L11" s="14">
        <v>10371.6006</v>
      </c>
      <c r="M11" s="14">
        <v>1779.3875</v>
      </c>
      <c r="N11" s="14">
        <v>1126.1125999999999</v>
      </c>
      <c r="O11" s="14">
        <v>-1447</v>
      </c>
      <c r="P11" s="14">
        <v>121</v>
      </c>
      <c r="Q11" s="14">
        <v>4356</v>
      </c>
      <c r="R11" s="14">
        <v>4170</v>
      </c>
      <c r="S11" s="14">
        <v>-6261</v>
      </c>
      <c r="T11" s="14">
        <v>1390</v>
      </c>
      <c r="U11" s="14">
        <v>7961</v>
      </c>
      <c r="V11" s="14">
        <v>7204</v>
      </c>
      <c r="W11" s="14">
        <v>-6717</v>
      </c>
      <c r="X11" s="14">
        <v>5649</v>
      </c>
      <c r="Y11" s="14">
        <v>853</v>
      </c>
      <c r="Z11" s="14">
        <v>10645</v>
      </c>
      <c r="AA11" s="14">
        <v>-4174</v>
      </c>
    </row>
    <row r="12" spans="1:27" x14ac:dyDescent="0.25">
      <c r="A12" s="11" t="s">
        <v>1045</v>
      </c>
      <c r="B12" s="11" t="s">
        <v>1046</v>
      </c>
      <c r="C12" s="14">
        <v>-17940.774700000002</v>
      </c>
      <c r="D12" s="14">
        <v>-27908.160400000001</v>
      </c>
      <c r="E12" s="14">
        <v>-25361.0157</v>
      </c>
      <c r="F12" s="14">
        <v>9838.9508000000005</v>
      </c>
      <c r="G12" s="14">
        <v>-17633</v>
      </c>
      <c r="H12" s="14">
        <v>5142.0524999999998</v>
      </c>
      <c r="I12" s="14">
        <v>-23570.3753</v>
      </c>
      <c r="J12" s="14">
        <v>23945.596600000001</v>
      </c>
      <c r="K12" s="14">
        <v>19862</v>
      </c>
      <c r="L12" s="14">
        <v>-51259.5167</v>
      </c>
      <c r="M12" s="14">
        <v>-7094.5875999999998</v>
      </c>
      <c r="N12" s="14">
        <v>47560.104399999997</v>
      </c>
      <c r="O12" s="14">
        <v>434</v>
      </c>
      <c r="P12" s="14">
        <v>-9592</v>
      </c>
      <c r="Q12" s="14">
        <v>-57944</v>
      </c>
      <c r="R12" s="14">
        <v>-7638</v>
      </c>
      <c r="S12" s="14">
        <v>13920</v>
      </c>
      <c r="T12" s="14">
        <v>11428</v>
      </c>
      <c r="U12" s="14">
        <v>-13312</v>
      </c>
      <c r="V12" s="14">
        <v>2200</v>
      </c>
      <c r="W12" s="14">
        <v>-6101</v>
      </c>
      <c r="X12" s="14">
        <v>81</v>
      </c>
      <c r="Y12" s="14">
        <v>-11086</v>
      </c>
      <c r="Z12" s="14">
        <v>-718</v>
      </c>
      <c r="AA12" s="14">
        <v>-43037</v>
      </c>
    </row>
    <row r="13" spans="1:27" x14ac:dyDescent="0.25">
      <c r="A13" s="11" t="s">
        <v>1047</v>
      </c>
      <c r="B13" s="11" t="s">
        <v>1048</v>
      </c>
      <c r="C13" s="14">
        <v>-13427.367899999999</v>
      </c>
      <c r="D13" s="14">
        <v>-43912.696900000003</v>
      </c>
      <c r="E13" s="14">
        <v>-19879.4162</v>
      </c>
      <c r="F13" s="14">
        <v>2477.4810000000002</v>
      </c>
      <c r="G13" s="14">
        <v>-42297</v>
      </c>
      <c r="H13" s="14">
        <v>4169.6284999999998</v>
      </c>
      <c r="I13" s="14">
        <v>-28088.6698</v>
      </c>
      <c r="J13" s="14">
        <v>-22059.958699999999</v>
      </c>
      <c r="K13" s="14">
        <v>-10563</v>
      </c>
      <c r="L13" s="14">
        <v>-31194.426899999999</v>
      </c>
      <c r="M13" s="14">
        <v>-5905.2758999999996</v>
      </c>
      <c r="N13" s="14">
        <v>-19027.297200000001</v>
      </c>
      <c r="O13" s="14">
        <v>-990</v>
      </c>
      <c r="P13" s="14">
        <v>2397</v>
      </c>
      <c r="Q13" s="14">
        <v>-55546</v>
      </c>
      <c r="R13" s="14">
        <v>-28401</v>
      </c>
      <c r="S13" s="14">
        <v>-38686</v>
      </c>
      <c r="T13" s="14">
        <v>33618</v>
      </c>
      <c r="U13" s="14">
        <v>-65124</v>
      </c>
      <c r="V13" s="14">
        <v>-11699</v>
      </c>
      <c r="W13" s="14">
        <v>-2004</v>
      </c>
      <c r="X13" s="14">
        <v>-3580</v>
      </c>
      <c r="Y13" s="14">
        <v>-8881</v>
      </c>
      <c r="Z13" s="14">
        <v>-29002</v>
      </c>
      <c r="AA13" s="14">
        <v>-45865</v>
      </c>
    </row>
    <row r="14" spans="1:27" x14ac:dyDescent="0.25">
      <c r="A14" s="11" t="s">
        <v>1049</v>
      </c>
      <c r="B14" s="11" t="s">
        <v>1050</v>
      </c>
      <c r="C14" s="14">
        <v>8538.8755000000001</v>
      </c>
      <c r="D14" s="14">
        <v>-145.08260000000001</v>
      </c>
      <c r="E14" s="14">
        <v>-2451.7750000000001</v>
      </c>
      <c r="F14" s="14">
        <v>1193.9820999999999</v>
      </c>
      <c r="G14" s="14">
        <v>3617</v>
      </c>
      <c r="H14" s="14">
        <v>27013.172200000001</v>
      </c>
      <c r="I14" s="14">
        <v>-8335.7039000000004</v>
      </c>
      <c r="J14" s="14">
        <v>1679.5317</v>
      </c>
      <c r="K14" s="14">
        <v>-1772</v>
      </c>
      <c r="L14" s="14">
        <v>86699.605500000005</v>
      </c>
      <c r="M14" s="14">
        <v>64718.9496</v>
      </c>
      <c r="N14" s="14">
        <v>85682.444900000002</v>
      </c>
      <c r="O14" s="14">
        <v>-50870</v>
      </c>
      <c r="P14" s="14">
        <v>9877</v>
      </c>
      <c r="Q14" s="14">
        <v>-37723</v>
      </c>
      <c r="R14" s="14">
        <v>71710</v>
      </c>
      <c r="S14" s="14">
        <v>5319</v>
      </c>
      <c r="T14" s="14">
        <v>16881</v>
      </c>
      <c r="U14" s="14">
        <v>89839</v>
      </c>
      <c r="V14" s="14">
        <v>3993</v>
      </c>
      <c r="W14" s="14">
        <v>-29993</v>
      </c>
      <c r="X14" s="14">
        <v>24755</v>
      </c>
      <c r="Y14" s="14">
        <v>-2140</v>
      </c>
      <c r="Z14" s="14">
        <v>3134</v>
      </c>
      <c r="AA14" s="14">
        <v>-645</v>
      </c>
    </row>
    <row r="15" spans="1:27" x14ac:dyDescent="0.25">
      <c r="A15" s="11" t="s">
        <v>1051</v>
      </c>
      <c r="B15" s="11" t="s">
        <v>1052</v>
      </c>
      <c r="C15" s="14">
        <v>-13052.282300000001</v>
      </c>
      <c r="D15" s="14">
        <v>16149.619199999999</v>
      </c>
      <c r="E15" s="14">
        <v>-3029.8245999999999</v>
      </c>
      <c r="F15" s="14">
        <v>6167.4876999999997</v>
      </c>
      <c r="G15" s="14">
        <v>21047</v>
      </c>
      <c r="H15" s="14">
        <v>-26040.748200000002</v>
      </c>
      <c r="I15" s="14">
        <v>12853.9985</v>
      </c>
      <c r="J15" s="14">
        <v>44326.023500000003</v>
      </c>
      <c r="K15" s="14">
        <v>32197</v>
      </c>
      <c r="L15" s="14">
        <v>-106764.6954</v>
      </c>
      <c r="M15" s="14">
        <v>-65908.261299999998</v>
      </c>
      <c r="N15" s="14">
        <v>-19095.043300000001</v>
      </c>
      <c r="O15" s="14">
        <v>52294</v>
      </c>
      <c r="P15" s="14">
        <v>-21866</v>
      </c>
      <c r="Q15" s="14">
        <v>35325</v>
      </c>
      <c r="R15" s="14">
        <v>-50947</v>
      </c>
      <c r="S15" s="14">
        <v>47287</v>
      </c>
      <c r="T15" s="14">
        <v>-39071</v>
      </c>
      <c r="U15" s="14">
        <v>-38027</v>
      </c>
      <c r="V15" s="14">
        <v>9906</v>
      </c>
      <c r="W15" s="14">
        <v>25896</v>
      </c>
      <c r="X15" s="14">
        <v>-21094</v>
      </c>
      <c r="Y15" s="14">
        <v>-65</v>
      </c>
      <c r="Z15" s="14">
        <v>25150</v>
      </c>
      <c r="AA15" s="14">
        <v>3473</v>
      </c>
    </row>
    <row r="16" spans="1:27" x14ac:dyDescent="0.25">
      <c r="A16" s="11" t="s">
        <v>1053</v>
      </c>
      <c r="B16" s="11" t="s">
        <v>1054</v>
      </c>
      <c r="C16" s="14">
        <v>0</v>
      </c>
      <c r="D16" s="14" t="s">
        <v>1033</v>
      </c>
      <c r="E16" s="14" t="s">
        <v>1033</v>
      </c>
      <c r="F16" s="14">
        <v>0</v>
      </c>
      <c r="G16" s="14">
        <v>0</v>
      </c>
      <c r="H16" s="14" t="s">
        <v>1033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 t="s">
        <v>1033</v>
      </c>
      <c r="S16" s="14">
        <v>0</v>
      </c>
      <c r="T16" s="14" t="s">
        <v>1033</v>
      </c>
      <c r="U16" s="14">
        <v>0</v>
      </c>
      <c r="V16" s="14">
        <v>0</v>
      </c>
      <c r="W16" s="14">
        <v>0</v>
      </c>
      <c r="X16" s="14">
        <v>0</v>
      </c>
      <c r="Y16" s="14">
        <v>-1760</v>
      </c>
      <c r="Z16" s="14">
        <v>-2791</v>
      </c>
      <c r="AA16" s="14">
        <v>179</v>
      </c>
    </row>
    <row r="17" spans="1:27" x14ac:dyDescent="0.25">
      <c r="A17" s="7" t="s">
        <v>1034</v>
      </c>
      <c r="B17" s="7" t="s">
        <v>122</v>
      </c>
      <c r="C17" s="20">
        <v>-391.4633</v>
      </c>
      <c r="D17" s="20">
        <v>-2662.5205000000001</v>
      </c>
      <c r="E17" s="20">
        <v>-10809.246300000001</v>
      </c>
      <c r="F17" s="20">
        <v>3232.2301000000002</v>
      </c>
      <c r="G17" s="20">
        <v>851</v>
      </c>
      <c r="H17" s="20">
        <v>20529.921600000001</v>
      </c>
      <c r="I17" s="20">
        <v>-6129.8005000000003</v>
      </c>
      <c r="J17" s="20">
        <v>38720.878900000003</v>
      </c>
      <c r="K17" s="20">
        <v>30147</v>
      </c>
      <c r="L17" s="20">
        <v>-25811.390100000001</v>
      </c>
      <c r="M17" s="20">
        <v>10352.8698</v>
      </c>
      <c r="N17" s="20">
        <v>65306.520299999996</v>
      </c>
      <c r="O17" s="20">
        <v>16762</v>
      </c>
      <c r="P17" s="20">
        <v>8722</v>
      </c>
      <c r="Q17" s="20">
        <v>-34679</v>
      </c>
      <c r="R17" s="20">
        <v>14499</v>
      </c>
      <c r="S17" s="20">
        <v>27957</v>
      </c>
      <c r="T17" s="20">
        <v>32705</v>
      </c>
      <c r="U17" s="20">
        <v>15155</v>
      </c>
      <c r="V17" s="20">
        <v>28274</v>
      </c>
      <c r="W17" s="20">
        <v>8924</v>
      </c>
      <c r="X17" s="20">
        <v>26959</v>
      </c>
      <c r="Y17" s="20">
        <v>10508</v>
      </c>
      <c r="Z17" s="20">
        <v>27215</v>
      </c>
      <c r="AA17" s="20">
        <v>-23249</v>
      </c>
    </row>
    <row r="18" spans="1:27" x14ac:dyDescent="0.25">
      <c r="A18" s="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x14ac:dyDescent="0.25">
      <c r="A19" s="7" t="s">
        <v>1055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25">
      <c r="A20" s="11" t="s">
        <v>1056</v>
      </c>
      <c r="B20" s="11" t="s">
        <v>1057</v>
      </c>
      <c r="C20" s="14">
        <v>-1463.4856</v>
      </c>
      <c r="D20" s="14">
        <v>-706.14890000000003</v>
      </c>
      <c r="E20" s="14">
        <v>-1112.4117000000001</v>
      </c>
      <c r="F20" s="14">
        <v>-1268.9539</v>
      </c>
      <c r="G20" s="14">
        <v>-1486</v>
      </c>
      <c r="H20" s="14">
        <v>754.74390000000005</v>
      </c>
      <c r="I20" s="14">
        <v>-948.5249</v>
      </c>
      <c r="J20" s="14">
        <v>-1324.2189000000001</v>
      </c>
      <c r="K20" s="14">
        <v>-358</v>
      </c>
      <c r="L20" s="14">
        <v>-1927.7275</v>
      </c>
      <c r="M20" s="14">
        <v>-704.64260000000002</v>
      </c>
      <c r="N20" s="14">
        <v>-7838.6297999999997</v>
      </c>
      <c r="O20" s="14">
        <v>-768</v>
      </c>
      <c r="P20" s="14">
        <v>-1681</v>
      </c>
      <c r="Q20" s="14">
        <v>-681</v>
      </c>
      <c r="R20" s="14">
        <v>-1994</v>
      </c>
      <c r="S20" s="14">
        <v>-1074</v>
      </c>
      <c r="T20" s="14">
        <v>-986</v>
      </c>
      <c r="U20" s="14">
        <v>-1309</v>
      </c>
      <c r="V20" s="14">
        <v>-1998</v>
      </c>
      <c r="W20" s="14">
        <v>-1918</v>
      </c>
      <c r="X20" s="14">
        <v>-2446</v>
      </c>
      <c r="Y20" s="14">
        <v>952</v>
      </c>
      <c r="Z20" s="14">
        <v>-4308</v>
      </c>
      <c r="AA20" s="14">
        <v>244</v>
      </c>
    </row>
    <row r="21" spans="1:27" x14ac:dyDescent="0.25">
      <c r="A21" s="11" t="s">
        <v>1058</v>
      </c>
      <c r="B21" s="11" t="s">
        <v>1059</v>
      </c>
      <c r="C21" s="14">
        <v>324.6103</v>
      </c>
      <c r="D21" s="14">
        <v>99.244600000000005</v>
      </c>
      <c r="E21" s="14">
        <v>1187.0962</v>
      </c>
      <c r="F21" s="14">
        <v>1273.0488</v>
      </c>
      <c r="G21" s="14">
        <v>72</v>
      </c>
      <c r="H21" s="14">
        <v>1053.6061</v>
      </c>
      <c r="I21" s="14">
        <v>53.367400000000004</v>
      </c>
      <c r="J21" s="14">
        <v>340.0265</v>
      </c>
      <c r="K21" s="14">
        <v>0</v>
      </c>
      <c r="L21" s="14">
        <v>103.7381</v>
      </c>
      <c r="M21" s="14">
        <v>719.27350000000001</v>
      </c>
      <c r="N21" s="14">
        <v>138.98840000000001</v>
      </c>
      <c r="O21" s="14">
        <v>112</v>
      </c>
      <c r="P21" s="14">
        <v>1190</v>
      </c>
      <c r="Q21" s="14">
        <v>2227</v>
      </c>
      <c r="R21" s="14">
        <v>411</v>
      </c>
      <c r="S21" s="14">
        <v>721</v>
      </c>
      <c r="T21" s="14">
        <v>790</v>
      </c>
      <c r="U21" s="14">
        <v>948</v>
      </c>
      <c r="V21" s="14">
        <v>446</v>
      </c>
      <c r="W21" s="14">
        <v>1378</v>
      </c>
      <c r="X21" s="14">
        <v>65</v>
      </c>
      <c r="Y21" s="14">
        <v>3445</v>
      </c>
      <c r="Z21" s="14">
        <v>0</v>
      </c>
      <c r="AA21" s="14">
        <v>1425</v>
      </c>
    </row>
    <row r="22" spans="1:27" x14ac:dyDescent="0.25">
      <c r="A22" s="11" t="s">
        <v>1060</v>
      </c>
      <c r="B22" s="11" t="s">
        <v>1061</v>
      </c>
      <c r="C22" s="14">
        <v>-1788.0959</v>
      </c>
      <c r="D22" s="14">
        <v>-805.39350000000002</v>
      </c>
      <c r="E22" s="14">
        <v>-2299.5079000000001</v>
      </c>
      <c r="F22" s="14">
        <v>-2542.0027</v>
      </c>
      <c r="G22" s="14">
        <v>-1558</v>
      </c>
      <c r="H22" s="14">
        <v>-298.86219999999997</v>
      </c>
      <c r="I22" s="14">
        <v>-1001.8923</v>
      </c>
      <c r="J22" s="14">
        <v>-1664.2455</v>
      </c>
      <c r="K22" s="14">
        <v>-358</v>
      </c>
      <c r="L22" s="14">
        <v>-2031.4656</v>
      </c>
      <c r="M22" s="14">
        <v>-1423.9161999999999</v>
      </c>
      <c r="N22" s="14">
        <v>-7977.6181999999999</v>
      </c>
      <c r="O22" s="14">
        <v>-880</v>
      </c>
      <c r="P22" s="14">
        <v>-2871</v>
      </c>
      <c r="Q22" s="14">
        <v>-2908</v>
      </c>
      <c r="R22" s="14">
        <v>-2405</v>
      </c>
      <c r="S22" s="14">
        <v>-1795</v>
      </c>
      <c r="T22" s="14">
        <v>-1776</v>
      </c>
      <c r="U22" s="14">
        <v>-2257</v>
      </c>
      <c r="V22" s="14">
        <v>-2444</v>
      </c>
      <c r="W22" s="14">
        <v>-3296</v>
      </c>
      <c r="X22" s="14">
        <v>-2511</v>
      </c>
      <c r="Y22" s="14">
        <v>-2493</v>
      </c>
      <c r="Z22" s="14">
        <v>-4308</v>
      </c>
      <c r="AA22" s="14">
        <v>-1181</v>
      </c>
    </row>
    <row r="23" spans="1:27" x14ac:dyDescent="0.25">
      <c r="A23" s="11" t="s">
        <v>1062</v>
      </c>
      <c r="B23" s="11" t="s">
        <v>1063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 t="s">
        <v>1033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</row>
    <row r="24" spans="1:27" x14ac:dyDescent="0.25">
      <c r="A24" s="11" t="s">
        <v>1064</v>
      </c>
      <c r="B24" s="11" t="s">
        <v>1065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 t="s">
        <v>1033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</row>
    <row r="25" spans="1:27" x14ac:dyDescent="0.25">
      <c r="A25" s="12" t="s">
        <v>1066</v>
      </c>
      <c r="B25" s="12" t="s">
        <v>1067</v>
      </c>
      <c r="C25" s="26">
        <v>0</v>
      </c>
      <c r="D25" s="26" t="s">
        <v>1033</v>
      </c>
      <c r="E25" s="26" t="s">
        <v>1033</v>
      </c>
      <c r="F25" s="26" t="s">
        <v>1033</v>
      </c>
      <c r="G25" s="26">
        <v>0</v>
      </c>
      <c r="H25" s="26" t="s">
        <v>1033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 t="s">
        <v>1033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</row>
    <row r="26" spans="1:27" x14ac:dyDescent="0.25">
      <c r="A26" s="12" t="s">
        <v>1068</v>
      </c>
      <c r="B26" s="12" t="s">
        <v>1069</v>
      </c>
      <c r="C26" s="26">
        <v>0</v>
      </c>
      <c r="D26" s="26" t="s">
        <v>1033</v>
      </c>
      <c r="E26" s="26" t="s">
        <v>1033</v>
      </c>
      <c r="F26" s="26" t="s">
        <v>1033</v>
      </c>
      <c r="G26" s="26">
        <v>0</v>
      </c>
      <c r="H26" s="26" t="s">
        <v>1033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 t="s">
        <v>1033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</row>
    <row r="27" spans="1:27" x14ac:dyDescent="0.25">
      <c r="A27" s="12" t="s">
        <v>1070</v>
      </c>
      <c r="B27" s="12" t="s">
        <v>1071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 t="s">
        <v>1033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</row>
    <row r="28" spans="1:27" x14ac:dyDescent="0.25">
      <c r="A28" s="11" t="s">
        <v>1072</v>
      </c>
      <c r="B28" s="11" t="s">
        <v>1073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 t="s">
        <v>1033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</row>
    <row r="29" spans="1:27" x14ac:dyDescent="0.25">
      <c r="A29" s="12" t="s">
        <v>1074</v>
      </c>
      <c r="B29" s="12" t="s">
        <v>1075</v>
      </c>
      <c r="C29" s="26">
        <v>0</v>
      </c>
      <c r="D29" s="26" t="s">
        <v>1033</v>
      </c>
      <c r="E29" s="26" t="s">
        <v>1033</v>
      </c>
      <c r="F29" s="26" t="s">
        <v>1033</v>
      </c>
      <c r="G29" s="26">
        <v>0</v>
      </c>
      <c r="H29" s="26" t="s">
        <v>1033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 t="s">
        <v>1033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</row>
    <row r="30" spans="1:27" x14ac:dyDescent="0.25">
      <c r="A30" s="12" t="s">
        <v>1076</v>
      </c>
      <c r="B30" s="12" t="s">
        <v>1077</v>
      </c>
      <c r="C30" s="26">
        <v>0</v>
      </c>
      <c r="D30" s="26" t="s">
        <v>1033</v>
      </c>
      <c r="E30" s="26" t="s">
        <v>1033</v>
      </c>
      <c r="F30" s="26" t="s">
        <v>1033</v>
      </c>
      <c r="G30" s="26">
        <v>0</v>
      </c>
      <c r="H30" s="26" t="s">
        <v>1033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 t="s">
        <v>1033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</row>
    <row r="31" spans="1:27" x14ac:dyDescent="0.25">
      <c r="A31" s="12" t="s">
        <v>1078</v>
      </c>
      <c r="B31" s="12" t="s">
        <v>1079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 t="s">
        <v>1033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</row>
    <row r="32" spans="1:27" x14ac:dyDescent="0.25">
      <c r="A32" s="11" t="s">
        <v>1080</v>
      </c>
      <c r="B32" s="11" t="s">
        <v>1081</v>
      </c>
      <c r="C32" s="14">
        <v>-16716.3806</v>
      </c>
      <c r="D32" s="14">
        <v>-7811.1507000000001</v>
      </c>
      <c r="E32" s="14">
        <v>-5135.9588999999996</v>
      </c>
      <c r="F32" s="14">
        <v>-3593.5097000000001</v>
      </c>
      <c r="G32" s="14">
        <v>-199</v>
      </c>
      <c r="H32" s="14">
        <v>3693.7168000000001</v>
      </c>
      <c r="I32" s="14">
        <v>-18335.371899999998</v>
      </c>
      <c r="J32" s="14">
        <v>-7181.3449000000001</v>
      </c>
      <c r="K32" s="14">
        <v>0</v>
      </c>
      <c r="L32" s="14">
        <v>-39624.340600000003</v>
      </c>
      <c r="M32" s="14">
        <v>-15459.894899999999</v>
      </c>
      <c r="N32" s="14">
        <v>-44654.764499999997</v>
      </c>
      <c r="O32" s="14">
        <v>-30144</v>
      </c>
      <c r="P32" s="14">
        <v>-16231</v>
      </c>
      <c r="Q32" s="14">
        <v>-43080</v>
      </c>
      <c r="R32" s="14">
        <v>-22209</v>
      </c>
      <c r="S32" s="14">
        <v>-14622</v>
      </c>
      <c r="T32" s="14">
        <v>-44177</v>
      </c>
      <c r="U32" s="14">
        <v>-35536</v>
      </c>
      <c r="V32" s="14">
        <v>-54108</v>
      </c>
      <c r="W32" s="14">
        <v>-8155</v>
      </c>
      <c r="X32" s="14">
        <v>5263</v>
      </c>
      <c r="Y32" s="14">
        <v>-20104</v>
      </c>
      <c r="Z32" s="14">
        <v>-76124</v>
      </c>
      <c r="AA32" s="14">
        <v>13972</v>
      </c>
    </row>
    <row r="33" spans="1:27" x14ac:dyDescent="0.25">
      <c r="A33" s="11" t="s">
        <v>1082</v>
      </c>
      <c r="B33" s="11" t="s">
        <v>1083</v>
      </c>
      <c r="C33" s="14">
        <v>-16716.3806</v>
      </c>
      <c r="D33" s="14">
        <v>-7811.1507000000001</v>
      </c>
      <c r="E33" s="14">
        <v>-5135.9588999999996</v>
      </c>
      <c r="F33" s="14">
        <v>-3593.5097000000001</v>
      </c>
      <c r="G33" s="14">
        <v>-199</v>
      </c>
      <c r="H33" s="14">
        <v>3693.7168000000001</v>
      </c>
      <c r="I33" s="14">
        <v>-18335.371899999998</v>
      </c>
      <c r="J33" s="14">
        <v>-7181.3449000000001</v>
      </c>
      <c r="K33" s="14" t="s">
        <v>1033</v>
      </c>
      <c r="L33" s="14" t="s">
        <v>1033</v>
      </c>
      <c r="M33" s="14">
        <v>-15459.894899999999</v>
      </c>
      <c r="N33" s="14">
        <v>-44654.764499999997</v>
      </c>
      <c r="O33" s="14">
        <v>-30144</v>
      </c>
      <c r="P33" s="14">
        <v>-16231</v>
      </c>
      <c r="Q33" s="14">
        <v>-43080</v>
      </c>
      <c r="R33" s="14">
        <v>-22209</v>
      </c>
      <c r="S33" s="14">
        <v>-14622</v>
      </c>
      <c r="T33" s="14">
        <v>-44177</v>
      </c>
      <c r="U33" s="14">
        <v>-35536</v>
      </c>
      <c r="V33" s="14">
        <v>-54108</v>
      </c>
      <c r="W33" s="14">
        <v>-8155</v>
      </c>
      <c r="X33" s="14">
        <v>5263</v>
      </c>
      <c r="Y33" s="14">
        <v>-20104</v>
      </c>
      <c r="Z33" s="14">
        <v>-76124</v>
      </c>
      <c r="AA33" s="14">
        <v>13972</v>
      </c>
    </row>
    <row r="34" spans="1:27" x14ac:dyDescent="0.25">
      <c r="A34" s="11" t="s">
        <v>1084</v>
      </c>
      <c r="B34" s="11" t="s">
        <v>1085</v>
      </c>
      <c r="C34" s="14">
        <v>0</v>
      </c>
      <c r="D34" s="14" t="s">
        <v>1033</v>
      </c>
      <c r="E34" s="14" t="s">
        <v>1033</v>
      </c>
      <c r="F34" s="14" t="s">
        <v>1033</v>
      </c>
      <c r="G34" s="14">
        <v>0</v>
      </c>
      <c r="H34" s="14" t="s">
        <v>1033</v>
      </c>
      <c r="I34" s="14">
        <v>0</v>
      </c>
      <c r="J34" s="14">
        <v>0</v>
      </c>
      <c r="K34" s="14">
        <v>0</v>
      </c>
      <c r="L34" s="14" t="s">
        <v>1033</v>
      </c>
      <c r="M34" s="14">
        <v>0</v>
      </c>
      <c r="N34" s="14">
        <v>0</v>
      </c>
      <c r="O34" s="14">
        <v>0</v>
      </c>
      <c r="P34" s="14" t="s">
        <v>1033</v>
      </c>
      <c r="Q34" s="14">
        <v>0</v>
      </c>
      <c r="R34" s="14">
        <v>0</v>
      </c>
      <c r="S34" s="14" t="s">
        <v>1033</v>
      </c>
      <c r="T34" s="14" t="s">
        <v>1033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</row>
    <row r="35" spans="1:27" x14ac:dyDescent="0.25">
      <c r="A35" s="11" t="s">
        <v>1086</v>
      </c>
      <c r="B35" s="11" t="s">
        <v>1087</v>
      </c>
      <c r="C35" s="14">
        <v>0</v>
      </c>
      <c r="D35" s="14" t="s">
        <v>1033</v>
      </c>
      <c r="E35" s="14" t="s">
        <v>1033</v>
      </c>
      <c r="F35" s="14" t="s">
        <v>1033</v>
      </c>
      <c r="G35" s="14">
        <v>0</v>
      </c>
      <c r="H35" s="14" t="s">
        <v>1033</v>
      </c>
      <c r="I35" s="14">
        <v>0</v>
      </c>
      <c r="J35" s="14">
        <v>0</v>
      </c>
      <c r="K35" s="14">
        <v>0</v>
      </c>
      <c r="L35" s="14" t="s">
        <v>1033</v>
      </c>
      <c r="M35" s="14">
        <v>0</v>
      </c>
      <c r="N35" s="14">
        <v>0</v>
      </c>
      <c r="O35" s="14">
        <v>0</v>
      </c>
      <c r="P35" s="14" t="s">
        <v>1033</v>
      </c>
      <c r="Q35" s="14">
        <v>0</v>
      </c>
      <c r="R35" s="14">
        <v>0</v>
      </c>
      <c r="S35" s="14" t="s">
        <v>1033</v>
      </c>
      <c r="T35" s="14" t="s">
        <v>1033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</row>
    <row r="36" spans="1:27" x14ac:dyDescent="0.25">
      <c r="A36" s="11" t="s">
        <v>1088</v>
      </c>
      <c r="B36" s="11" t="s">
        <v>1089</v>
      </c>
      <c r="C36" s="14">
        <v>-37.561799999999998</v>
      </c>
      <c r="D36" s="14">
        <v>-35.271799999999999</v>
      </c>
      <c r="E36" s="14">
        <v>-33.806100000000001</v>
      </c>
      <c r="F36" s="14">
        <v>-32.360199999999999</v>
      </c>
      <c r="G36" s="14">
        <v>-9</v>
      </c>
      <c r="H36" s="14">
        <v>0.46650000000000003</v>
      </c>
      <c r="I36" s="14">
        <v>8.5335000000000001</v>
      </c>
      <c r="J36" s="14">
        <v>4</v>
      </c>
      <c r="K36" s="14">
        <v>5</v>
      </c>
      <c r="L36" s="14">
        <v>-727.85350000000005</v>
      </c>
      <c r="M36" s="14">
        <v>-92.122</v>
      </c>
      <c r="N36" s="14">
        <v>-99.024500000000003</v>
      </c>
      <c r="O36" s="14">
        <v>-94</v>
      </c>
      <c r="P36" s="14">
        <v>0</v>
      </c>
      <c r="Q36" s="14">
        <v>0</v>
      </c>
      <c r="R36" s="14">
        <v>0</v>
      </c>
      <c r="S36" s="14">
        <v>0</v>
      </c>
      <c r="T36" s="14">
        <v>-3</v>
      </c>
      <c r="U36" s="14">
        <v>0</v>
      </c>
      <c r="V36" s="14">
        <v>-3248</v>
      </c>
      <c r="W36" s="14">
        <v>0</v>
      </c>
      <c r="X36" s="14">
        <v>0</v>
      </c>
      <c r="Y36" s="14">
        <v>-20</v>
      </c>
      <c r="Z36" s="14">
        <v>-901</v>
      </c>
      <c r="AA36" s="14">
        <v>0</v>
      </c>
    </row>
    <row r="37" spans="1:27" x14ac:dyDescent="0.25">
      <c r="A37" s="11" t="s">
        <v>1090</v>
      </c>
      <c r="B37" s="11" t="s">
        <v>1091</v>
      </c>
      <c r="C37" s="14">
        <v>0</v>
      </c>
      <c r="D37" s="14" t="s">
        <v>1033</v>
      </c>
      <c r="E37" s="14" t="s">
        <v>1033</v>
      </c>
      <c r="F37" s="14" t="s">
        <v>1033</v>
      </c>
      <c r="G37" s="14">
        <v>0</v>
      </c>
      <c r="H37" s="14" t="s">
        <v>1033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 t="s">
        <v>1033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</row>
    <row r="38" spans="1:27" x14ac:dyDescent="0.25">
      <c r="A38" s="11" t="s">
        <v>1092</v>
      </c>
      <c r="B38" s="11" t="s">
        <v>1093</v>
      </c>
      <c r="C38" s="14">
        <v>0</v>
      </c>
      <c r="D38" s="14" t="s">
        <v>1033</v>
      </c>
      <c r="E38" s="14" t="s">
        <v>1033</v>
      </c>
      <c r="F38" s="14" t="s">
        <v>1033</v>
      </c>
      <c r="G38" s="14">
        <v>0</v>
      </c>
      <c r="H38" s="14" t="s">
        <v>1033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 t="s">
        <v>1033</v>
      </c>
      <c r="U38" s="14">
        <v>0</v>
      </c>
      <c r="V38" s="14">
        <v>-3248</v>
      </c>
      <c r="W38" s="14">
        <v>0</v>
      </c>
      <c r="X38" s="14">
        <v>0</v>
      </c>
      <c r="Y38" s="14">
        <v>0</v>
      </c>
      <c r="Z38" s="14">
        <v>-901</v>
      </c>
      <c r="AA38" s="14">
        <v>0</v>
      </c>
    </row>
    <row r="39" spans="1:27" x14ac:dyDescent="0.25">
      <c r="A39" s="11" t="s">
        <v>1094</v>
      </c>
      <c r="B39" s="11" t="s">
        <v>1095</v>
      </c>
      <c r="C39" s="14">
        <v>-37.561799999999998</v>
      </c>
      <c r="D39" s="14">
        <v>-35.271799999999999</v>
      </c>
      <c r="E39" s="14">
        <v>-33.806100000000001</v>
      </c>
      <c r="F39" s="14">
        <v>-32.360199999999999</v>
      </c>
      <c r="G39" s="14">
        <v>-9</v>
      </c>
      <c r="H39" s="14">
        <v>0.46650000000000003</v>
      </c>
      <c r="I39" s="14">
        <v>8.5335000000000001</v>
      </c>
      <c r="J39" s="14">
        <v>4</v>
      </c>
      <c r="K39" s="14">
        <v>5</v>
      </c>
      <c r="L39" s="14">
        <v>-727.85350000000005</v>
      </c>
      <c r="M39" s="14">
        <v>-92.122</v>
      </c>
      <c r="N39" s="14">
        <v>-99.024500000000003</v>
      </c>
      <c r="O39" s="14">
        <v>-94</v>
      </c>
      <c r="P39" s="14">
        <v>0</v>
      </c>
      <c r="Q39" s="14">
        <v>0</v>
      </c>
      <c r="R39" s="14">
        <v>0</v>
      </c>
      <c r="S39" s="14" t="s">
        <v>1033</v>
      </c>
      <c r="T39" s="14" t="s">
        <v>1033</v>
      </c>
      <c r="U39" s="14">
        <v>0</v>
      </c>
      <c r="V39" s="14">
        <v>0</v>
      </c>
      <c r="W39" s="14">
        <v>0</v>
      </c>
      <c r="X39" s="14">
        <v>0</v>
      </c>
      <c r="Y39" s="14">
        <v>-20</v>
      </c>
      <c r="Z39" s="14">
        <v>0</v>
      </c>
      <c r="AA39" s="14">
        <v>0</v>
      </c>
    </row>
    <row r="40" spans="1:27" x14ac:dyDescent="0.25">
      <c r="A40" s="11" t="s">
        <v>1096</v>
      </c>
      <c r="B40" s="11" t="s">
        <v>1097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</row>
    <row r="41" spans="1:27" x14ac:dyDescent="0.25">
      <c r="A41" s="11" t="s">
        <v>1053</v>
      </c>
      <c r="B41" s="11" t="s">
        <v>1098</v>
      </c>
      <c r="C41" s="14">
        <v>0</v>
      </c>
      <c r="D41" s="14" t="s">
        <v>1033</v>
      </c>
      <c r="E41" s="14" t="s">
        <v>1033</v>
      </c>
      <c r="F41" s="14" t="s">
        <v>1033</v>
      </c>
      <c r="G41" s="14">
        <v>0</v>
      </c>
      <c r="H41" s="14" t="s">
        <v>1033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 t="s">
        <v>1033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 t="s">
        <v>1033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</row>
    <row r="42" spans="1:27" x14ac:dyDescent="0.25">
      <c r="A42" s="7" t="s">
        <v>1055</v>
      </c>
      <c r="B42" s="7" t="s">
        <v>124</v>
      </c>
      <c r="C42" s="20">
        <v>-18217.428</v>
      </c>
      <c r="D42" s="20">
        <v>-8552.5714000000007</v>
      </c>
      <c r="E42" s="20">
        <v>-6282.1767</v>
      </c>
      <c r="F42" s="20">
        <v>-4894.8238000000001</v>
      </c>
      <c r="G42" s="20">
        <v>-1694</v>
      </c>
      <c r="H42" s="20">
        <v>4448.9272000000001</v>
      </c>
      <c r="I42" s="20">
        <v>-19275.363399999998</v>
      </c>
      <c r="J42" s="20">
        <v>-8501.5637999999999</v>
      </c>
      <c r="K42" s="20">
        <v>-353</v>
      </c>
      <c r="L42" s="20">
        <v>-42279.921600000001</v>
      </c>
      <c r="M42" s="20">
        <v>-16256.6595</v>
      </c>
      <c r="N42" s="20">
        <v>-52592.418899999997</v>
      </c>
      <c r="O42" s="20">
        <v>-31006</v>
      </c>
      <c r="P42" s="20">
        <v>-17912</v>
      </c>
      <c r="Q42" s="20">
        <v>-43761</v>
      </c>
      <c r="R42" s="20">
        <v>-24203</v>
      </c>
      <c r="S42" s="20">
        <v>-15696</v>
      </c>
      <c r="T42" s="20">
        <v>-45166</v>
      </c>
      <c r="U42" s="20">
        <v>-36845</v>
      </c>
      <c r="V42" s="20">
        <v>-59354</v>
      </c>
      <c r="W42" s="20">
        <v>-10073</v>
      </c>
      <c r="X42" s="20">
        <v>2817</v>
      </c>
      <c r="Y42" s="20">
        <v>-19172</v>
      </c>
      <c r="Z42" s="20">
        <v>-81333</v>
      </c>
      <c r="AA42" s="20">
        <v>14216</v>
      </c>
    </row>
    <row r="43" spans="1:27" x14ac:dyDescent="0.25">
      <c r="A43" s="7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x14ac:dyDescent="0.25">
      <c r="A44" s="7" t="s">
        <v>1099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x14ac:dyDescent="0.25">
      <c r="A45" s="11" t="s">
        <v>1100</v>
      </c>
      <c r="B45" s="11" t="s">
        <v>1101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-9131.9933000000001</v>
      </c>
      <c r="I45" s="14">
        <v>0</v>
      </c>
      <c r="J45" s="14">
        <v>-7627.0066999999999</v>
      </c>
      <c r="K45" s="14">
        <v>0</v>
      </c>
      <c r="L45" s="14">
        <v>-17524.084200000001</v>
      </c>
      <c r="M45" s="14">
        <v>0</v>
      </c>
      <c r="N45" s="14">
        <v>-16758.915799999999</v>
      </c>
      <c r="O45" s="14">
        <v>0</v>
      </c>
      <c r="P45" s="14">
        <v>-22704</v>
      </c>
      <c r="Q45" s="14">
        <v>0</v>
      </c>
      <c r="R45" s="14">
        <v>-15000</v>
      </c>
      <c r="S45" s="14">
        <v>0</v>
      </c>
      <c r="T45" s="14">
        <v>-20000</v>
      </c>
      <c r="U45" s="14">
        <v>-5976</v>
      </c>
      <c r="V45" s="14">
        <v>-9962</v>
      </c>
      <c r="W45" s="14">
        <v>0</v>
      </c>
      <c r="X45" s="14">
        <v>-28084</v>
      </c>
      <c r="Y45" s="14">
        <v>0</v>
      </c>
      <c r="Z45" s="14">
        <v>-19666</v>
      </c>
      <c r="AA45" s="14">
        <v>0</v>
      </c>
    </row>
    <row r="46" spans="1:27" x14ac:dyDescent="0.25">
      <c r="A46" s="11" t="s">
        <v>1102</v>
      </c>
      <c r="B46" s="11" t="s">
        <v>1103</v>
      </c>
      <c r="C46" s="14">
        <v>-755.76520000000005</v>
      </c>
      <c r="D46" s="14">
        <v>-843.53980000000001</v>
      </c>
      <c r="E46" s="14">
        <v>-791.54880000000003</v>
      </c>
      <c r="F46" s="14">
        <v>2390.8537999999999</v>
      </c>
      <c r="G46" s="14">
        <v>-918</v>
      </c>
      <c r="H46" s="14">
        <v>-912.73149999999998</v>
      </c>
      <c r="I46" s="14">
        <v>-913.64480000000003</v>
      </c>
      <c r="J46" s="14">
        <v>2744.3762999999999</v>
      </c>
      <c r="K46" s="14">
        <v>-3757</v>
      </c>
      <c r="L46" s="14">
        <v>-2431.7485000000001</v>
      </c>
      <c r="M46" s="14">
        <v>-7271.2115999999996</v>
      </c>
      <c r="N46" s="14">
        <v>-2233.0399000000002</v>
      </c>
      <c r="O46" s="14">
        <v>-1045</v>
      </c>
      <c r="P46" s="14">
        <v>-7733</v>
      </c>
      <c r="Q46" s="14">
        <v>-1929</v>
      </c>
      <c r="R46" s="14">
        <v>-2383</v>
      </c>
      <c r="S46" s="14">
        <v>-946</v>
      </c>
      <c r="T46" s="14">
        <v>946</v>
      </c>
      <c r="U46" s="14">
        <v>-5766</v>
      </c>
      <c r="V46" s="14">
        <v>33459</v>
      </c>
      <c r="W46" s="14">
        <v>-1581</v>
      </c>
      <c r="X46" s="14">
        <v>1581</v>
      </c>
      <c r="Y46" s="14">
        <v>0</v>
      </c>
      <c r="Z46" s="14">
        <v>-1927</v>
      </c>
      <c r="AA46" s="14">
        <v>-1357</v>
      </c>
    </row>
    <row r="47" spans="1:27" x14ac:dyDescent="0.25">
      <c r="A47" s="11" t="s">
        <v>1104</v>
      </c>
      <c r="B47" s="11" t="s">
        <v>1105</v>
      </c>
      <c r="C47" s="14">
        <v>-1253.403</v>
      </c>
      <c r="D47" s="14">
        <v>-892.91279999999995</v>
      </c>
      <c r="E47" s="14">
        <v>0</v>
      </c>
      <c r="F47" s="14">
        <v>0.31569999999999998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-3204.9476</v>
      </c>
      <c r="M47" s="14">
        <v>-1496.1107</v>
      </c>
      <c r="N47" s="14">
        <v>-1108.9417000000001</v>
      </c>
      <c r="O47" s="14">
        <v>0</v>
      </c>
      <c r="P47" s="14">
        <v>-2037</v>
      </c>
      <c r="Q47" s="14">
        <v>-961</v>
      </c>
      <c r="R47" s="14">
        <v>-990</v>
      </c>
      <c r="S47" s="14">
        <v>0</v>
      </c>
      <c r="T47" s="14">
        <v>-1949</v>
      </c>
      <c r="U47" s="14">
        <v>-12181</v>
      </c>
      <c r="V47" s="14">
        <v>-2411</v>
      </c>
      <c r="W47" s="14">
        <v>0</v>
      </c>
      <c r="X47" s="14">
        <v>-3425</v>
      </c>
      <c r="Y47" s="14">
        <v>-4012</v>
      </c>
      <c r="Z47" s="14">
        <v>-1424</v>
      </c>
      <c r="AA47" s="14">
        <v>0</v>
      </c>
    </row>
    <row r="48" spans="1:27" x14ac:dyDescent="0.25">
      <c r="A48" s="11" t="s">
        <v>1106</v>
      </c>
      <c r="B48" s="11" t="s">
        <v>1107</v>
      </c>
      <c r="C48" s="14">
        <v>0</v>
      </c>
      <c r="D48" s="14">
        <v>0</v>
      </c>
      <c r="E48" s="14">
        <v>0</v>
      </c>
      <c r="F48" s="14">
        <v>0.31569999999999998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</row>
    <row r="49" spans="1:27" x14ac:dyDescent="0.25">
      <c r="A49" s="11" t="s">
        <v>1108</v>
      </c>
      <c r="B49" s="11" t="s">
        <v>1109</v>
      </c>
      <c r="C49" s="14">
        <v>-1253.403</v>
      </c>
      <c r="D49" s="14">
        <v>-892.91279999999995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-3204.9476</v>
      </c>
      <c r="M49" s="14">
        <v>-1496.1107</v>
      </c>
      <c r="N49" s="14">
        <v>-1108.9417000000001</v>
      </c>
      <c r="O49" s="14">
        <v>0</v>
      </c>
      <c r="P49" s="14">
        <v>-2037</v>
      </c>
      <c r="Q49" s="14">
        <v>-961</v>
      </c>
      <c r="R49" s="14">
        <v>-990</v>
      </c>
      <c r="S49" s="14">
        <v>0</v>
      </c>
      <c r="T49" s="14">
        <v>-1949</v>
      </c>
      <c r="U49" s="14">
        <v>-12181</v>
      </c>
      <c r="V49" s="14">
        <v>-2411</v>
      </c>
      <c r="W49" s="14">
        <v>0</v>
      </c>
      <c r="X49" s="14">
        <v>-3425</v>
      </c>
      <c r="Y49" s="14">
        <v>-4012</v>
      </c>
      <c r="Z49" s="14">
        <v>-1424</v>
      </c>
      <c r="AA49" s="14">
        <v>0</v>
      </c>
    </row>
    <row r="50" spans="1:27" x14ac:dyDescent="0.25">
      <c r="A50" s="11" t="s">
        <v>1110</v>
      </c>
      <c r="B50" s="11" t="s">
        <v>1111</v>
      </c>
      <c r="C50" s="14">
        <v>48502.417600000001</v>
      </c>
      <c r="D50" s="14">
        <v>28155.3099</v>
      </c>
      <c r="E50" s="14">
        <v>11956.1958</v>
      </c>
      <c r="F50" s="14">
        <v>8608.0766999999996</v>
      </c>
      <c r="G50" s="14">
        <v>8819</v>
      </c>
      <c r="H50" s="14">
        <v>-20448.969300000001</v>
      </c>
      <c r="I50" s="14">
        <v>-16790.3328</v>
      </c>
      <c r="J50" s="14">
        <v>5733.3020999999999</v>
      </c>
      <c r="K50" s="14" t="s">
        <v>1033</v>
      </c>
      <c r="L50" s="14" t="s">
        <v>1033</v>
      </c>
      <c r="M50" s="14">
        <v>7720.9107000000004</v>
      </c>
      <c r="N50" s="14">
        <v>24279.503000000001</v>
      </c>
      <c r="O50" s="14">
        <v>19777</v>
      </c>
      <c r="P50" s="14">
        <v>59827</v>
      </c>
      <c r="Q50" s="14">
        <v>60165</v>
      </c>
      <c r="R50" s="14">
        <v>19457</v>
      </c>
      <c r="S50" s="14">
        <v>16014</v>
      </c>
      <c r="T50" s="14">
        <v>30004</v>
      </c>
      <c r="U50" s="14">
        <v>22171</v>
      </c>
      <c r="V50" s="14">
        <v>8894</v>
      </c>
      <c r="W50" s="14">
        <v>43814</v>
      </c>
      <c r="X50" s="14">
        <v>11117</v>
      </c>
      <c r="Y50" s="14">
        <v>-26675</v>
      </c>
      <c r="Z50" s="14">
        <v>80252</v>
      </c>
      <c r="AA50" s="14">
        <v>1411</v>
      </c>
    </row>
    <row r="51" spans="1:27" x14ac:dyDescent="0.25">
      <c r="A51" s="11" t="s">
        <v>1112</v>
      </c>
      <c r="B51" s="11" t="s">
        <v>1113</v>
      </c>
      <c r="C51" s="14">
        <v>0</v>
      </c>
      <c r="D51" s="14">
        <v>-33.521099999999997</v>
      </c>
      <c r="E51" s="14">
        <v>-39.933199999999999</v>
      </c>
      <c r="F51" s="14">
        <v>-110.9432</v>
      </c>
      <c r="G51" s="14">
        <v>0</v>
      </c>
      <c r="H51" s="14">
        <v>-27.008700000000001</v>
      </c>
      <c r="I51" s="14">
        <v>25.6264</v>
      </c>
      <c r="J51" s="14">
        <v>2747.7586000000001</v>
      </c>
      <c r="K51" s="14">
        <v>-116</v>
      </c>
      <c r="L51" s="14">
        <v>65715.308600000004</v>
      </c>
      <c r="M51" s="14">
        <v>-507.2296</v>
      </c>
      <c r="N51" s="14">
        <v>-352.49259999999998</v>
      </c>
      <c r="O51" s="14">
        <v>-5403</v>
      </c>
      <c r="P51" s="14">
        <v>5207</v>
      </c>
      <c r="Q51" s="14">
        <v>-200</v>
      </c>
      <c r="R51" s="14">
        <v>-345</v>
      </c>
      <c r="S51" s="14">
        <v>-2462</v>
      </c>
      <c r="T51" s="14">
        <v>3816</v>
      </c>
      <c r="U51" s="14">
        <v>-2139</v>
      </c>
      <c r="V51" s="14">
        <v>-369</v>
      </c>
      <c r="W51" s="14">
        <v>-2845</v>
      </c>
      <c r="X51" s="14">
        <v>-8054</v>
      </c>
      <c r="Y51" s="14">
        <v>-2769</v>
      </c>
      <c r="Z51" s="14">
        <v>-326</v>
      </c>
      <c r="AA51" s="14">
        <v>-1157</v>
      </c>
    </row>
    <row r="52" spans="1:27" x14ac:dyDescent="0.25">
      <c r="A52" s="11" t="s">
        <v>1053</v>
      </c>
      <c r="B52" s="11" t="s">
        <v>1114</v>
      </c>
      <c r="C52" s="14">
        <v>0</v>
      </c>
      <c r="D52" s="14" t="s">
        <v>1033</v>
      </c>
      <c r="E52" s="14" t="s">
        <v>1033</v>
      </c>
      <c r="F52" s="14" t="s">
        <v>1033</v>
      </c>
      <c r="G52" s="14">
        <v>0</v>
      </c>
      <c r="H52" s="14" t="s">
        <v>1033</v>
      </c>
      <c r="I52" s="14">
        <v>0</v>
      </c>
      <c r="J52" s="14" t="s">
        <v>1033</v>
      </c>
      <c r="K52" s="14">
        <v>0</v>
      </c>
      <c r="L52" s="14">
        <v>0</v>
      </c>
      <c r="M52" s="14" t="s">
        <v>1033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 t="s">
        <v>1033</v>
      </c>
      <c r="U52" s="14">
        <v>0</v>
      </c>
      <c r="V52" s="14">
        <v>0</v>
      </c>
      <c r="W52" s="14">
        <v>0</v>
      </c>
      <c r="X52" s="14" t="s">
        <v>1033</v>
      </c>
      <c r="Y52" s="14">
        <v>0</v>
      </c>
      <c r="Z52" s="14">
        <v>0</v>
      </c>
      <c r="AA52" s="14">
        <v>0</v>
      </c>
    </row>
    <row r="53" spans="1:27" x14ac:dyDescent="0.25">
      <c r="A53" s="7" t="s">
        <v>1099</v>
      </c>
      <c r="B53" s="7" t="s">
        <v>1115</v>
      </c>
      <c r="C53" s="20">
        <v>46493.249400000001</v>
      </c>
      <c r="D53" s="20">
        <v>26418.857400000001</v>
      </c>
      <c r="E53" s="20">
        <v>11164.647000000001</v>
      </c>
      <c r="F53" s="20">
        <v>10999.246300000001</v>
      </c>
      <c r="G53" s="20">
        <v>7901</v>
      </c>
      <c r="H53" s="20">
        <v>-30493.694100000001</v>
      </c>
      <c r="I53" s="20">
        <v>-17703.977599999998</v>
      </c>
      <c r="J53" s="20">
        <v>850.67169999999999</v>
      </c>
      <c r="K53" s="20">
        <v>-3873</v>
      </c>
      <c r="L53" s="20">
        <v>42554.528200000001</v>
      </c>
      <c r="M53" s="20">
        <v>-1553.6412</v>
      </c>
      <c r="N53" s="20">
        <v>3826.1129999999998</v>
      </c>
      <c r="O53" s="20">
        <v>13329</v>
      </c>
      <c r="P53" s="20">
        <v>32560</v>
      </c>
      <c r="Q53" s="20">
        <v>57075</v>
      </c>
      <c r="R53" s="20">
        <v>739</v>
      </c>
      <c r="S53" s="20">
        <v>12606</v>
      </c>
      <c r="T53" s="20">
        <v>12817</v>
      </c>
      <c r="U53" s="20">
        <v>-3891</v>
      </c>
      <c r="V53" s="20">
        <v>29611</v>
      </c>
      <c r="W53" s="20">
        <v>39388</v>
      </c>
      <c r="X53" s="20">
        <v>-26865</v>
      </c>
      <c r="Y53" s="20">
        <v>-33456</v>
      </c>
      <c r="Z53" s="20">
        <v>56909</v>
      </c>
      <c r="AA53" s="20">
        <v>-1103</v>
      </c>
    </row>
    <row r="54" spans="1:27" x14ac:dyDescent="0.25">
      <c r="A54" s="7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x14ac:dyDescent="0.25">
      <c r="A55" s="11" t="s">
        <v>1116</v>
      </c>
      <c r="B55" s="11" t="s">
        <v>1117</v>
      </c>
      <c r="C55" s="14">
        <v>195.3974</v>
      </c>
      <c r="D55" s="14">
        <v>-33.521099999999997</v>
      </c>
      <c r="E55" s="14">
        <v>-39.933199999999999</v>
      </c>
      <c r="F55" s="14">
        <v>-110.9432</v>
      </c>
      <c r="G55" s="14">
        <v>30</v>
      </c>
      <c r="H55" s="14">
        <v>-27.008700000000001</v>
      </c>
      <c r="I55" s="14">
        <v>25.6264</v>
      </c>
      <c r="J55" s="14">
        <v>3.3822999999999999</v>
      </c>
      <c r="K55" s="14" t="s">
        <v>1033</v>
      </c>
      <c r="L55" s="14">
        <v>-17.493300000000001</v>
      </c>
      <c r="M55" s="14">
        <v>-4.9800000000000004</v>
      </c>
      <c r="N55" s="14">
        <v>-32.526699999999998</v>
      </c>
      <c r="O55" s="14">
        <v>-88</v>
      </c>
      <c r="P55" s="14">
        <v>-53</v>
      </c>
      <c r="Q55" s="14">
        <v>20</v>
      </c>
      <c r="R55" s="14">
        <v>-28</v>
      </c>
      <c r="S55" s="14">
        <v>-25</v>
      </c>
      <c r="T55" s="14">
        <v>197</v>
      </c>
      <c r="U55" s="14">
        <v>64</v>
      </c>
      <c r="V55" s="14">
        <v>65</v>
      </c>
      <c r="W55" s="14">
        <v>-37</v>
      </c>
      <c r="X55" s="14">
        <v>-135</v>
      </c>
      <c r="Y55" s="14">
        <v>-25</v>
      </c>
      <c r="Z55" s="14">
        <v>-33</v>
      </c>
      <c r="AA55" s="14">
        <v>-9</v>
      </c>
    </row>
    <row r="56" spans="1:27" x14ac:dyDescent="0.25">
      <c r="A56" s="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x14ac:dyDescent="0.25">
      <c r="A57" s="7" t="s">
        <v>127</v>
      </c>
      <c r="B57" s="7" t="s">
        <v>128</v>
      </c>
      <c r="C57" s="20">
        <v>28079.755499999999</v>
      </c>
      <c r="D57" s="20">
        <v>15170.2444</v>
      </c>
      <c r="E57" s="20">
        <v>-5966.7093000000004</v>
      </c>
      <c r="F57" s="20">
        <v>9225.7093999999997</v>
      </c>
      <c r="G57" s="20">
        <v>7088</v>
      </c>
      <c r="H57" s="20">
        <v>-5541.8540000000003</v>
      </c>
      <c r="I57" s="20">
        <v>-43083.514999999999</v>
      </c>
      <c r="J57" s="20">
        <v>31073.368999999999</v>
      </c>
      <c r="K57" s="20">
        <v>25921</v>
      </c>
      <c r="L57" s="20">
        <v>-25554.276900000001</v>
      </c>
      <c r="M57" s="20">
        <v>-7462.4107999999997</v>
      </c>
      <c r="N57" s="20">
        <v>16507.687699999999</v>
      </c>
      <c r="O57" s="20">
        <v>-1003</v>
      </c>
      <c r="P57" s="20">
        <v>23317</v>
      </c>
      <c r="Q57" s="20">
        <v>-21345</v>
      </c>
      <c r="R57" s="20">
        <v>-8993</v>
      </c>
      <c r="S57" s="20">
        <v>24842</v>
      </c>
      <c r="T57" s="20">
        <v>553</v>
      </c>
      <c r="U57" s="20">
        <v>-25517</v>
      </c>
      <c r="V57" s="20">
        <v>-1404</v>
      </c>
      <c r="W57" s="20">
        <v>38202</v>
      </c>
      <c r="X57" s="20">
        <v>2776</v>
      </c>
      <c r="Y57" s="20">
        <v>-42145</v>
      </c>
      <c r="Z57" s="20">
        <v>2758</v>
      </c>
      <c r="AA57" s="20">
        <v>-10145</v>
      </c>
    </row>
    <row r="58" spans="1:27" x14ac:dyDescent="0.25">
      <c r="A58" s="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x14ac:dyDescent="0.25">
      <c r="A59" s="7" t="s">
        <v>1118</v>
      </c>
      <c r="B59" s="7" t="s">
        <v>1119</v>
      </c>
      <c r="C59" s="20">
        <v>6404.8999000000003</v>
      </c>
      <c r="D59" s="20">
        <v>-835.02710000000002</v>
      </c>
      <c r="E59" s="20">
        <v>1275.5848000000001</v>
      </c>
      <c r="F59" s="20">
        <v>188.54249999999999</v>
      </c>
      <c r="G59" s="20">
        <v>5635</v>
      </c>
      <c r="H59" s="20">
        <v>1887.153</v>
      </c>
      <c r="I59" s="20">
        <v>1776.8469</v>
      </c>
      <c r="J59" s="20">
        <v>2288.0001000000002</v>
      </c>
      <c r="K59" s="20">
        <v>1951</v>
      </c>
      <c r="L59" s="20">
        <v>-1951</v>
      </c>
      <c r="M59" s="20">
        <v>0</v>
      </c>
      <c r="N59" s="20">
        <v>0</v>
      </c>
      <c r="O59" s="20" t="s">
        <v>1033</v>
      </c>
      <c r="P59" s="20" t="s">
        <v>1033</v>
      </c>
      <c r="Q59" s="20">
        <v>0</v>
      </c>
      <c r="R59" s="20">
        <v>0</v>
      </c>
      <c r="S59" s="20">
        <v>0</v>
      </c>
      <c r="T59" s="20" t="s">
        <v>1033</v>
      </c>
      <c r="U59" s="20">
        <v>0</v>
      </c>
      <c r="V59" s="20" t="s">
        <v>1033</v>
      </c>
      <c r="W59" s="20">
        <v>0</v>
      </c>
      <c r="X59" s="20" t="s">
        <v>1033</v>
      </c>
      <c r="Y59" s="20" t="s">
        <v>1033</v>
      </c>
      <c r="Z59" s="20" t="s">
        <v>1033</v>
      </c>
      <c r="AA59" s="20" t="s">
        <v>1033</v>
      </c>
    </row>
    <row r="60" spans="1:27" x14ac:dyDescent="0.25">
      <c r="A60" s="7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x14ac:dyDescent="0.25">
      <c r="A61" s="7" t="s">
        <v>1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x14ac:dyDescent="0.25">
      <c r="A62" s="11" t="s">
        <v>1120</v>
      </c>
      <c r="B62" s="11" t="s">
        <v>1121</v>
      </c>
      <c r="C62" s="14" t="s">
        <v>1033</v>
      </c>
      <c r="D62" s="14" t="s">
        <v>1033</v>
      </c>
      <c r="E62" s="14" t="s">
        <v>1033</v>
      </c>
      <c r="F62" s="14" t="s">
        <v>1033</v>
      </c>
      <c r="G62" s="14" t="s">
        <v>1033</v>
      </c>
      <c r="H62" s="14" t="s">
        <v>1033</v>
      </c>
      <c r="I62" s="14" t="s">
        <v>1033</v>
      </c>
      <c r="J62" s="14" t="s">
        <v>1033</v>
      </c>
      <c r="K62" s="14" t="s">
        <v>1033</v>
      </c>
      <c r="L62" s="14" t="s">
        <v>1033</v>
      </c>
      <c r="M62" s="14" t="s">
        <v>1033</v>
      </c>
      <c r="N62" s="14" t="s">
        <v>1033</v>
      </c>
      <c r="O62" s="14" t="s">
        <v>1033</v>
      </c>
      <c r="P62" s="14" t="s">
        <v>1033</v>
      </c>
      <c r="Q62" s="14" t="s">
        <v>1033</v>
      </c>
      <c r="R62" s="14" t="s">
        <v>1033</v>
      </c>
      <c r="S62" s="14" t="s">
        <v>1033</v>
      </c>
      <c r="T62" s="14" t="s">
        <v>1033</v>
      </c>
      <c r="U62" s="14" t="s">
        <v>1033</v>
      </c>
      <c r="V62" s="14" t="s">
        <v>1033</v>
      </c>
      <c r="W62" s="14" t="s">
        <v>1033</v>
      </c>
      <c r="X62" s="14" t="s">
        <v>1033</v>
      </c>
      <c r="Y62" s="14" t="s">
        <v>1033</v>
      </c>
      <c r="Z62" s="14" t="s">
        <v>1033</v>
      </c>
      <c r="AA62" s="14">
        <v>112</v>
      </c>
    </row>
    <row r="63" spans="1:27" x14ac:dyDescent="0.25">
      <c r="A63" s="11" t="s">
        <v>1122</v>
      </c>
      <c r="B63" s="11" t="s">
        <v>1123</v>
      </c>
      <c r="C63" s="14">
        <v>-2179.5592000000001</v>
      </c>
      <c r="D63" s="14">
        <v>-3467.9140000000002</v>
      </c>
      <c r="E63" s="14">
        <v>-13108.754300000001</v>
      </c>
      <c r="F63" s="14">
        <v>690.22739999999999</v>
      </c>
      <c r="G63" s="14">
        <v>-707</v>
      </c>
      <c r="H63" s="14">
        <v>20231.059399999998</v>
      </c>
      <c r="I63" s="14">
        <v>-7131.6927999999998</v>
      </c>
      <c r="J63" s="14">
        <v>37056.633399999999</v>
      </c>
      <c r="K63" s="14">
        <v>29789</v>
      </c>
      <c r="L63" s="14">
        <v>-27842.8557</v>
      </c>
      <c r="M63" s="14">
        <v>8928.9536000000007</v>
      </c>
      <c r="N63" s="14">
        <v>57328.902099999999</v>
      </c>
      <c r="O63" s="14">
        <v>15882</v>
      </c>
      <c r="P63" s="14">
        <v>5851</v>
      </c>
      <c r="Q63" s="14">
        <v>-37587</v>
      </c>
      <c r="R63" s="14">
        <v>12094</v>
      </c>
      <c r="S63" s="14">
        <v>26162</v>
      </c>
      <c r="T63" s="14">
        <v>30929</v>
      </c>
      <c r="U63" s="14">
        <v>12898</v>
      </c>
      <c r="V63" s="14">
        <v>25830</v>
      </c>
      <c r="W63" s="14">
        <v>5628</v>
      </c>
      <c r="X63" s="14">
        <v>24448</v>
      </c>
      <c r="Y63" s="14">
        <v>8015</v>
      </c>
      <c r="Z63" s="14">
        <v>22907</v>
      </c>
      <c r="AA63" s="14">
        <v>-24430</v>
      </c>
    </row>
    <row r="64" spans="1:27" x14ac:dyDescent="0.25">
      <c r="A64" s="11" t="s">
        <v>1124</v>
      </c>
      <c r="B64" s="11" t="s">
        <v>1125</v>
      </c>
      <c r="C64" s="14">
        <v>-2610.7141999999999</v>
      </c>
      <c r="D64" s="14">
        <v>-4212.2091</v>
      </c>
      <c r="E64" s="14">
        <v>-12713.2068</v>
      </c>
      <c r="F64" s="14">
        <v>4354.1301000000003</v>
      </c>
      <c r="G64" s="14">
        <v>-1553</v>
      </c>
      <c r="H64" s="14">
        <v>20371.934000000001</v>
      </c>
      <c r="I64" s="14">
        <v>-7991.9701999999997</v>
      </c>
      <c r="J64" s="14">
        <v>40141.036200000002</v>
      </c>
      <c r="K64" s="14">
        <v>26032</v>
      </c>
      <c r="L64" s="14">
        <v>-30170.8662</v>
      </c>
      <c r="M64" s="14">
        <v>2377.0156000000002</v>
      </c>
      <c r="N64" s="14">
        <v>55234.850599999998</v>
      </c>
      <c r="O64" s="14">
        <v>14949</v>
      </c>
      <c r="P64" s="14">
        <v>-692</v>
      </c>
      <c r="Q64" s="14">
        <v>-37289</v>
      </c>
      <c r="R64" s="14">
        <v>10122</v>
      </c>
      <c r="S64" s="14">
        <v>25937</v>
      </c>
      <c r="T64" s="14">
        <v>32665</v>
      </c>
      <c r="U64" s="14">
        <v>8080</v>
      </c>
      <c r="V64" s="14">
        <v>59735</v>
      </c>
      <c r="W64" s="14">
        <v>5425</v>
      </c>
      <c r="X64" s="14">
        <v>26094</v>
      </c>
      <c r="Y64" s="14">
        <v>11460</v>
      </c>
      <c r="Z64" s="14">
        <v>20980</v>
      </c>
      <c r="AA64" s="14">
        <v>-24362</v>
      </c>
    </row>
    <row r="65" spans="1:27" x14ac:dyDescent="0.25">
      <c r="A65" s="11" t="s">
        <v>1126</v>
      </c>
      <c r="B65" s="11" t="s">
        <v>1127</v>
      </c>
      <c r="C65" s="15">
        <v>-0.75590000000000002</v>
      </c>
      <c r="D65" s="15">
        <v>-1.2027000000000001</v>
      </c>
      <c r="E65" s="15">
        <v>-4.5461999999999998</v>
      </c>
      <c r="F65" s="15">
        <v>0.25219999999999998</v>
      </c>
      <c r="G65" s="15">
        <v>-0.2452</v>
      </c>
      <c r="H65" s="15">
        <v>7.0160999999999998</v>
      </c>
      <c r="I65" s="15">
        <v>-2.4733000000000001</v>
      </c>
      <c r="J65" s="15">
        <v>13.332700000000001</v>
      </c>
      <c r="K65" s="15">
        <v>10.3308</v>
      </c>
      <c r="L65" s="15">
        <v>-9.6561000000000003</v>
      </c>
      <c r="M65" s="15">
        <v>3.0966</v>
      </c>
      <c r="N65" s="15">
        <v>20.649000000000001</v>
      </c>
      <c r="O65" s="15">
        <v>5.508</v>
      </c>
      <c r="P65" s="15">
        <v>2.0291999999999999</v>
      </c>
      <c r="Q65" s="15">
        <v>-13.035399999999999</v>
      </c>
      <c r="R65" s="15">
        <v>4.1943000000000001</v>
      </c>
      <c r="S65" s="15">
        <v>9.0731000000000002</v>
      </c>
      <c r="T65" s="15">
        <v>10.7264</v>
      </c>
      <c r="U65" s="15">
        <v>4.4730999999999996</v>
      </c>
      <c r="V65" s="15">
        <v>9.4030000000000005</v>
      </c>
      <c r="W65" s="15">
        <v>2.0005999999999999</v>
      </c>
      <c r="X65" s="15">
        <v>8.6059999999999999</v>
      </c>
      <c r="Y65" s="15">
        <v>2.8491</v>
      </c>
      <c r="Z65" s="15">
        <v>8.0490999999999993</v>
      </c>
      <c r="AA65" s="15">
        <v>-8.6842000000000006</v>
      </c>
    </row>
    <row r="66" spans="1:27" x14ac:dyDescent="0.25">
      <c r="A66" s="11" t="s">
        <v>1128</v>
      </c>
      <c r="B66" s="11" t="s">
        <v>229</v>
      </c>
      <c r="C66" s="15" t="s">
        <v>1033</v>
      </c>
      <c r="D66" s="15">
        <v>40.165500000000002</v>
      </c>
      <c r="E66" s="15">
        <v>16.727</v>
      </c>
      <c r="F66" s="15" t="s">
        <v>1033</v>
      </c>
      <c r="G66" s="15" t="s">
        <v>1033</v>
      </c>
      <c r="H66" s="15">
        <v>51.9833</v>
      </c>
      <c r="I66" s="15">
        <v>29.1374</v>
      </c>
      <c r="J66" s="15">
        <v>7.5449999999999999</v>
      </c>
      <c r="K66" s="15">
        <v>5.3019999999999996</v>
      </c>
      <c r="L66" s="15">
        <v>9.7249999999999996</v>
      </c>
      <c r="M66" s="15">
        <v>7.5608000000000004</v>
      </c>
      <c r="N66" s="15">
        <v>5.7291999999999996</v>
      </c>
      <c r="O66" s="15">
        <v>7.7510000000000003</v>
      </c>
      <c r="P66" s="15">
        <v>4.5140000000000002</v>
      </c>
      <c r="Q66" s="15">
        <v>9.6438000000000006</v>
      </c>
      <c r="R66" s="15" t="s">
        <v>1033</v>
      </c>
      <c r="S66" s="15">
        <v>77.999300000000005</v>
      </c>
      <c r="T66" s="15">
        <v>13.0092</v>
      </c>
      <c r="U66" s="15">
        <v>4.9004000000000003</v>
      </c>
      <c r="V66" s="15">
        <v>3.9782999999999999</v>
      </c>
      <c r="W66" s="15">
        <v>5.3350999999999997</v>
      </c>
      <c r="X66" s="15">
        <v>7.0057999999999998</v>
      </c>
      <c r="Y66" s="15">
        <v>8.0704999999999991</v>
      </c>
      <c r="Z66" s="15">
        <v>7.7629000000000001</v>
      </c>
      <c r="AA66" s="15">
        <v>18.371500000000001</v>
      </c>
    </row>
    <row r="67" spans="1:27" x14ac:dyDescent="0.25">
      <c r="A67" s="11" t="s">
        <v>1129</v>
      </c>
      <c r="B67" s="11" t="s">
        <v>1130</v>
      </c>
      <c r="C67" s="15">
        <v>-4.2900000000000001E-2</v>
      </c>
      <c r="D67" s="15">
        <v>-0.40849999999999997</v>
      </c>
      <c r="E67" s="15">
        <v>-1.2137</v>
      </c>
      <c r="F67" s="15">
        <v>0.54179999999999995</v>
      </c>
      <c r="G67" s="15">
        <v>9.9599999999999994E-2</v>
      </c>
      <c r="H67" s="15">
        <v>2.3961000000000001</v>
      </c>
      <c r="I67" s="15">
        <v>-0.69079999999999997</v>
      </c>
      <c r="J67" s="15">
        <v>4.2732000000000001</v>
      </c>
      <c r="K67" s="15">
        <v>2.8048999999999999</v>
      </c>
      <c r="L67" s="15">
        <v>-2.2400000000000002</v>
      </c>
      <c r="M67" s="15">
        <v>0.89680000000000004</v>
      </c>
      <c r="N67" s="15">
        <v>5.6337999999999999</v>
      </c>
      <c r="O67" s="15">
        <v>1.2876000000000001</v>
      </c>
      <c r="P67" s="15">
        <v>0.66639999999999999</v>
      </c>
      <c r="Q67" s="15">
        <v>-2.6137000000000001</v>
      </c>
      <c r="R67" s="15">
        <v>1.1115999999999999</v>
      </c>
      <c r="S67" s="15">
        <v>1.9677</v>
      </c>
      <c r="T67" s="15">
        <v>2.3331</v>
      </c>
      <c r="U67" s="15">
        <v>1.0644</v>
      </c>
      <c r="V67" s="15">
        <v>2.0602</v>
      </c>
      <c r="W67" s="15">
        <v>0.5837</v>
      </c>
      <c r="X67" s="15">
        <v>1.8442000000000001</v>
      </c>
      <c r="Y67" s="15">
        <v>0.80779999999999996</v>
      </c>
      <c r="Z67" s="15">
        <v>1.7143999999999999</v>
      </c>
      <c r="AA67" s="15">
        <v>-1.504</v>
      </c>
    </row>
    <row r="68" spans="1:27" x14ac:dyDescent="0.25">
      <c r="A68" s="8" t="s">
        <v>84</v>
      </c>
      <c r="B68" s="8"/>
      <c r="C68" s="8" t="s">
        <v>3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"/>
  <sheetViews>
    <sheetView workbookViewId="0">
      <selection activeCell="E14" sqref="E14"/>
    </sheetView>
  </sheetViews>
  <sheetFormatPr baseColWidth="10" defaultRowHeight="15" x14ac:dyDescent="0.25"/>
  <cols>
    <col min="1" max="1" width="35.140625" customWidth="1"/>
    <col min="2" max="2" width="0" hidden="1" customWidth="1"/>
    <col min="3" max="10" width="11.85546875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0.25" x14ac:dyDescent="0.25">
      <c r="A2" s="9" t="s">
        <v>364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86</v>
      </c>
      <c r="B4" s="4"/>
      <c r="C4" s="5" t="s">
        <v>6</v>
      </c>
      <c r="D4" s="5" t="s">
        <v>10</v>
      </c>
      <c r="E4" s="5" t="s">
        <v>14</v>
      </c>
      <c r="F4" s="5" t="s">
        <v>18</v>
      </c>
      <c r="G4" s="5" t="s">
        <v>19</v>
      </c>
      <c r="H4" s="5" t="s">
        <v>22</v>
      </c>
      <c r="I4" s="5" t="s">
        <v>26</v>
      </c>
      <c r="J4" s="5" t="s">
        <v>30</v>
      </c>
    </row>
    <row r="5" spans="1:10" x14ac:dyDescent="0.25">
      <c r="A5" s="10" t="s">
        <v>31</v>
      </c>
      <c r="B5" s="10"/>
      <c r="C5" s="6" t="s">
        <v>32</v>
      </c>
      <c r="D5" s="6" t="s">
        <v>36</v>
      </c>
      <c r="E5" s="6" t="s">
        <v>40</v>
      </c>
      <c r="F5" s="6" t="s">
        <v>44</v>
      </c>
      <c r="G5" s="6" t="s">
        <v>45</v>
      </c>
      <c r="H5" s="6" t="s">
        <v>48</v>
      </c>
      <c r="I5" s="6" t="s">
        <v>52</v>
      </c>
      <c r="J5" s="6" t="s">
        <v>56</v>
      </c>
    </row>
    <row r="6" spans="1:10" x14ac:dyDescent="0.25">
      <c r="A6" s="7" t="s">
        <v>1131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25">
      <c r="A7" s="11" t="s">
        <v>1132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25">
      <c r="A8" s="11" t="s">
        <v>1133</v>
      </c>
      <c r="B8" s="11" t="s">
        <v>1134</v>
      </c>
      <c r="C8" s="14">
        <v>9118.1736000000001</v>
      </c>
      <c r="D8" s="14">
        <v>8544</v>
      </c>
      <c r="E8" s="14">
        <v>10860</v>
      </c>
      <c r="F8" s="14" t="s">
        <v>1033</v>
      </c>
      <c r="G8" s="14" t="s">
        <v>1033</v>
      </c>
      <c r="H8" s="14" t="s">
        <v>1033</v>
      </c>
      <c r="I8" s="14" t="s">
        <v>1033</v>
      </c>
      <c r="J8" s="14" t="s">
        <v>1033</v>
      </c>
    </row>
    <row r="9" spans="1:10" x14ac:dyDescent="0.25">
      <c r="A9" s="11" t="s">
        <v>1135</v>
      </c>
      <c r="B9" s="11" t="s">
        <v>1136</v>
      </c>
      <c r="C9" s="14">
        <v>429.03629999999998</v>
      </c>
      <c r="D9" s="14">
        <v>1311</v>
      </c>
      <c r="E9" s="14">
        <v>728</v>
      </c>
      <c r="F9" s="14">
        <v>798</v>
      </c>
      <c r="G9" s="14">
        <v>1668</v>
      </c>
      <c r="H9" s="14">
        <v>966</v>
      </c>
      <c r="I9" s="14">
        <v>1085</v>
      </c>
      <c r="J9" s="14">
        <v>1151</v>
      </c>
    </row>
    <row r="10" spans="1:10" x14ac:dyDescent="0.25">
      <c r="A10" s="11" t="s">
        <v>1137</v>
      </c>
      <c r="B10" s="11" t="s">
        <v>1138</v>
      </c>
      <c r="C10" s="14" t="s">
        <v>1033</v>
      </c>
      <c r="D10" s="14" t="s">
        <v>1033</v>
      </c>
      <c r="E10" s="14">
        <v>147</v>
      </c>
      <c r="F10" s="14">
        <v>188</v>
      </c>
      <c r="G10" s="14">
        <v>384</v>
      </c>
      <c r="H10" s="14">
        <v>256</v>
      </c>
      <c r="I10" s="14">
        <v>283</v>
      </c>
      <c r="J10" s="14">
        <v>258</v>
      </c>
    </row>
    <row r="11" spans="1:10" x14ac:dyDescent="0.25">
      <c r="A11" s="11" t="s">
        <v>1139</v>
      </c>
      <c r="B11" s="11" t="s">
        <v>1140</v>
      </c>
      <c r="C11" s="14" t="s">
        <v>1033</v>
      </c>
      <c r="D11" s="14">
        <v>-317</v>
      </c>
      <c r="E11" s="14" t="s">
        <v>1033</v>
      </c>
      <c r="F11" s="14" t="s">
        <v>1033</v>
      </c>
      <c r="G11" s="14" t="s">
        <v>1033</v>
      </c>
      <c r="H11" s="14" t="s">
        <v>1033</v>
      </c>
      <c r="I11" s="14" t="s">
        <v>1033</v>
      </c>
      <c r="J11" s="14" t="s">
        <v>1033</v>
      </c>
    </row>
    <row r="12" spans="1:10" x14ac:dyDescent="0.25">
      <c r="A12" s="11" t="s">
        <v>1141</v>
      </c>
      <c r="B12" s="11" t="s">
        <v>1142</v>
      </c>
      <c r="C12" s="14" t="s">
        <v>1033</v>
      </c>
      <c r="D12" s="14" t="s">
        <v>1033</v>
      </c>
      <c r="E12" s="14" t="s">
        <v>1033</v>
      </c>
      <c r="F12" s="14" t="s">
        <v>1033</v>
      </c>
      <c r="G12" s="14" t="s">
        <v>1033</v>
      </c>
      <c r="H12" s="14" t="s">
        <v>1033</v>
      </c>
      <c r="I12" s="14" t="s">
        <v>1033</v>
      </c>
      <c r="J12" s="14">
        <v>179</v>
      </c>
    </row>
    <row r="13" spans="1:10" x14ac:dyDescent="0.25">
      <c r="A13" s="11" t="s">
        <v>1143</v>
      </c>
      <c r="B13" s="11" t="s">
        <v>1144</v>
      </c>
      <c r="C13" s="14">
        <v>454.67989999999998</v>
      </c>
      <c r="D13" s="14">
        <v>11016</v>
      </c>
      <c r="E13" s="14">
        <v>501</v>
      </c>
      <c r="F13" s="14" t="s">
        <v>1033</v>
      </c>
      <c r="G13" s="14" t="s">
        <v>1033</v>
      </c>
      <c r="H13" s="14" t="s">
        <v>1033</v>
      </c>
      <c r="I13" s="14" t="s">
        <v>1033</v>
      </c>
      <c r="J13" s="14" t="s">
        <v>1033</v>
      </c>
    </row>
    <row r="14" spans="1:10" x14ac:dyDescent="0.25">
      <c r="A14" s="11" t="s">
        <v>1145</v>
      </c>
      <c r="B14" s="11" t="s">
        <v>1146</v>
      </c>
      <c r="C14" s="14">
        <v>-240.12719999999999</v>
      </c>
      <c r="D14" s="14" t="s">
        <v>1033</v>
      </c>
      <c r="E14" s="14" t="s">
        <v>1033</v>
      </c>
      <c r="F14" s="14">
        <v>-333</v>
      </c>
      <c r="G14" s="14">
        <v>-691</v>
      </c>
      <c r="H14" s="14">
        <v>-547</v>
      </c>
      <c r="I14" s="14">
        <v>-408</v>
      </c>
      <c r="J14" s="14">
        <v>-360</v>
      </c>
    </row>
    <row r="15" spans="1:10" x14ac:dyDescent="0.25">
      <c r="A15" s="11" t="s">
        <v>1147</v>
      </c>
      <c r="B15" s="11" t="s">
        <v>1148</v>
      </c>
      <c r="C15" s="14">
        <v>-3392.9092999999998</v>
      </c>
      <c r="D15" s="14">
        <v>641</v>
      </c>
      <c r="E15" s="14">
        <v>-28973</v>
      </c>
      <c r="F15" s="14">
        <v>-3920</v>
      </c>
      <c r="G15" s="14">
        <v>-13407</v>
      </c>
      <c r="H15" s="14">
        <v>-7664</v>
      </c>
      <c r="I15" s="14">
        <v>-11658</v>
      </c>
      <c r="J15" s="14">
        <v>-9740</v>
      </c>
    </row>
    <row r="16" spans="1:10" x14ac:dyDescent="0.25">
      <c r="A16" s="11" t="s">
        <v>1149</v>
      </c>
      <c r="B16" s="11" t="s">
        <v>1150</v>
      </c>
      <c r="C16" s="14">
        <v>10714.404</v>
      </c>
      <c r="D16" s="14">
        <v>-773</v>
      </c>
      <c r="E16" s="14">
        <v>38298</v>
      </c>
      <c r="F16" s="14">
        <v>68284</v>
      </c>
      <c r="G16" s="14">
        <v>58764</v>
      </c>
      <c r="H16" s="14">
        <v>67178</v>
      </c>
      <c r="I16" s="14">
        <v>58066</v>
      </c>
      <c r="J16" s="14">
        <v>30409</v>
      </c>
    </row>
    <row r="17" spans="1:10" x14ac:dyDescent="0.25">
      <c r="A17" s="11" t="s">
        <v>1151</v>
      </c>
      <c r="B17" s="11" t="s">
        <v>1152</v>
      </c>
      <c r="C17" s="14">
        <v>7895.0424000000003</v>
      </c>
      <c r="D17" s="14">
        <v>7748</v>
      </c>
      <c r="E17" s="14">
        <v>30284</v>
      </c>
      <c r="F17" s="14">
        <v>5505</v>
      </c>
      <c r="G17" s="14">
        <v>57759</v>
      </c>
      <c r="H17" s="14">
        <v>28002</v>
      </c>
      <c r="I17" s="14">
        <v>42385</v>
      </c>
      <c r="J17" s="14">
        <v>-8049</v>
      </c>
    </row>
    <row r="18" spans="1:10" x14ac:dyDescent="0.25">
      <c r="A18" s="11" t="s">
        <v>1153</v>
      </c>
      <c r="B18" s="11" t="s">
        <v>1154</v>
      </c>
      <c r="C18" s="14">
        <v>-16716.3806</v>
      </c>
      <c r="D18" s="14">
        <v>-199</v>
      </c>
      <c r="E18" s="14" t="s">
        <v>1033</v>
      </c>
      <c r="F18" s="14">
        <v>-30144</v>
      </c>
      <c r="G18" s="14">
        <v>-46375</v>
      </c>
      <c r="H18" s="14">
        <v>-14622</v>
      </c>
      <c r="I18" s="14">
        <v>-8155</v>
      </c>
      <c r="J18" s="14">
        <v>13972</v>
      </c>
    </row>
    <row r="19" spans="1:10" x14ac:dyDescent="0.25">
      <c r="A19" s="11" t="s">
        <v>1155</v>
      </c>
      <c r="B19" s="11" t="s">
        <v>1156</v>
      </c>
      <c r="C19" s="14">
        <v>48502.417600000001</v>
      </c>
      <c r="D19" s="14">
        <v>8819</v>
      </c>
      <c r="E19" s="14" t="s">
        <v>1033</v>
      </c>
      <c r="F19" s="14">
        <v>19777</v>
      </c>
      <c r="G19" s="14">
        <v>79604</v>
      </c>
      <c r="H19" s="14">
        <v>16014</v>
      </c>
      <c r="I19" s="14">
        <v>43814</v>
      </c>
      <c r="J19" s="14">
        <v>1411</v>
      </c>
    </row>
    <row r="20" spans="1:10" x14ac:dyDescent="0.25">
      <c r="A20" s="11" t="s">
        <v>1120</v>
      </c>
      <c r="B20" s="11" t="s">
        <v>1157</v>
      </c>
      <c r="C20" s="14" t="s">
        <v>1033</v>
      </c>
      <c r="D20" s="14" t="s">
        <v>1033</v>
      </c>
      <c r="E20" s="14" t="s">
        <v>1033</v>
      </c>
      <c r="F20" s="14" t="s">
        <v>1033</v>
      </c>
      <c r="G20" s="14" t="s">
        <v>1033</v>
      </c>
      <c r="H20" s="14" t="s">
        <v>1033</v>
      </c>
      <c r="I20" s="14" t="s">
        <v>1033</v>
      </c>
      <c r="J20" s="14">
        <v>112</v>
      </c>
    </row>
    <row r="21" spans="1:10" x14ac:dyDescent="0.25">
      <c r="A21" s="11" t="s">
        <v>1158</v>
      </c>
      <c r="B21" s="11" t="s">
        <v>1159</v>
      </c>
      <c r="C21" s="14">
        <v>1473.9322</v>
      </c>
      <c r="D21" s="14">
        <v>-836</v>
      </c>
      <c r="E21" s="14" t="s">
        <v>1033</v>
      </c>
      <c r="F21" s="14" t="s">
        <v>1033</v>
      </c>
      <c r="G21" s="14" t="s">
        <v>1033</v>
      </c>
      <c r="H21" s="14" t="s">
        <v>1033</v>
      </c>
      <c r="I21" s="14" t="s">
        <v>1033</v>
      </c>
      <c r="J21" s="14" t="s">
        <v>1033</v>
      </c>
    </row>
    <row r="22" spans="1:10" x14ac:dyDescent="0.25">
      <c r="A22" s="11" t="s">
        <v>1160</v>
      </c>
      <c r="B22" s="11" t="s">
        <v>1161</v>
      </c>
      <c r="C22" s="14">
        <v>3227.9052000000001</v>
      </c>
      <c r="D22" s="14">
        <v>2678</v>
      </c>
      <c r="E22" s="14" t="s">
        <v>1033</v>
      </c>
      <c r="F22" s="14" t="s">
        <v>1033</v>
      </c>
      <c r="G22" s="14" t="s">
        <v>1033</v>
      </c>
      <c r="H22" s="14" t="s">
        <v>1033</v>
      </c>
      <c r="I22" s="14" t="s">
        <v>1033</v>
      </c>
      <c r="J22" s="14" t="s">
        <v>1033</v>
      </c>
    </row>
    <row r="23" spans="1:10" x14ac:dyDescent="0.25">
      <c r="A23" s="11" t="s">
        <v>1162</v>
      </c>
      <c r="B23" s="11" t="s">
        <v>1163</v>
      </c>
      <c r="C23" s="14" t="s">
        <v>1033</v>
      </c>
      <c r="D23" s="14" t="s">
        <v>1033</v>
      </c>
      <c r="E23" s="14" t="s">
        <v>1033</v>
      </c>
      <c r="F23" s="14">
        <v>1131</v>
      </c>
      <c r="G23" s="14">
        <v>2572</v>
      </c>
      <c r="H23" s="14">
        <v>1711</v>
      </c>
      <c r="I23" s="14">
        <v>1563</v>
      </c>
      <c r="J23" s="14">
        <v>1176</v>
      </c>
    </row>
    <row r="24" spans="1:10" x14ac:dyDescent="0.25">
      <c r="A24" s="11" t="s">
        <v>1164</v>
      </c>
      <c r="B24" s="11" t="s">
        <v>1165</v>
      </c>
      <c r="C24" s="14">
        <v>74.506100000000004</v>
      </c>
      <c r="D24" s="14">
        <v>88</v>
      </c>
      <c r="E24" s="14">
        <v>96</v>
      </c>
      <c r="F24" s="14">
        <v>-10098</v>
      </c>
      <c r="G24" s="14">
        <v>-6134</v>
      </c>
      <c r="H24" s="14">
        <v>-9946</v>
      </c>
      <c r="I24" s="14">
        <v>-23446</v>
      </c>
      <c r="J24" s="14">
        <v>-15503</v>
      </c>
    </row>
    <row r="25" spans="1:10" x14ac:dyDescent="0.25">
      <c r="A25" s="11" t="s">
        <v>1166</v>
      </c>
      <c r="B25" s="11" t="s">
        <v>1167</v>
      </c>
      <c r="C25" s="14">
        <v>-59092.5173</v>
      </c>
      <c r="D25" s="14">
        <v>1420</v>
      </c>
      <c r="E25" s="14">
        <v>-5122</v>
      </c>
      <c r="F25" s="14" t="s">
        <v>1033</v>
      </c>
      <c r="G25" s="14" t="s">
        <v>1033</v>
      </c>
      <c r="H25" s="14" t="s">
        <v>1033</v>
      </c>
      <c r="I25" s="14" t="s">
        <v>1033</v>
      </c>
      <c r="J25" s="14" t="s">
        <v>1033</v>
      </c>
    </row>
    <row r="26" spans="1:10" x14ac:dyDescent="0.25">
      <c r="A26" s="11" t="s">
        <v>1168</v>
      </c>
      <c r="B26" s="11" t="s">
        <v>1169</v>
      </c>
      <c r="C26" s="14">
        <v>33664.207300000002</v>
      </c>
      <c r="D26" s="14">
        <v>-108</v>
      </c>
      <c r="E26" s="14">
        <v>-20</v>
      </c>
      <c r="F26" s="14" t="s">
        <v>1033</v>
      </c>
      <c r="G26" s="14" t="s">
        <v>1033</v>
      </c>
      <c r="H26" s="14" t="s">
        <v>1033</v>
      </c>
      <c r="I26" s="14" t="s">
        <v>1033</v>
      </c>
      <c r="J26" s="14" t="s">
        <v>1033</v>
      </c>
    </row>
    <row r="27" spans="1:10" x14ac:dyDescent="0.25">
      <c r="A27" s="11" t="s">
        <v>1170</v>
      </c>
      <c r="B27" s="11" t="s">
        <v>1171</v>
      </c>
      <c r="C27" s="14" t="s">
        <v>1033</v>
      </c>
      <c r="D27" s="14" t="s">
        <v>1033</v>
      </c>
      <c r="E27" s="14" t="s">
        <v>1033</v>
      </c>
      <c r="F27" s="14">
        <v>17745</v>
      </c>
      <c r="G27" s="14">
        <v>35847</v>
      </c>
      <c r="H27" s="14">
        <v>20126</v>
      </c>
      <c r="I27" s="14">
        <v>21506</v>
      </c>
      <c r="J27" s="14">
        <v>22062</v>
      </c>
    </row>
    <row r="28" spans="1:10" x14ac:dyDescent="0.25">
      <c r="A28" s="11" t="s">
        <v>1172</v>
      </c>
      <c r="B28" s="11" t="s">
        <v>1173</v>
      </c>
      <c r="C28" s="14">
        <v>-6404.8999000000003</v>
      </c>
      <c r="D28" s="14">
        <v>-5635</v>
      </c>
      <c r="E28" s="14">
        <v>-1951</v>
      </c>
      <c r="F28" s="14" t="s">
        <v>1033</v>
      </c>
      <c r="G28" s="14" t="s">
        <v>1033</v>
      </c>
      <c r="H28" s="14" t="s">
        <v>1033</v>
      </c>
      <c r="I28" s="14" t="s">
        <v>1033</v>
      </c>
      <c r="J28" s="14" t="s">
        <v>1033</v>
      </c>
    </row>
    <row r="29" spans="1:10" x14ac:dyDescent="0.25">
      <c r="A29" s="11" t="s">
        <v>1174</v>
      </c>
      <c r="B29" s="11" t="s">
        <v>1175</v>
      </c>
      <c r="C29" s="14">
        <v>7946.0757000000003</v>
      </c>
      <c r="D29" s="14" t="s">
        <v>1033</v>
      </c>
      <c r="E29" s="14" t="s">
        <v>1033</v>
      </c>
      <c r="F29" s="14">
        <v>-4091</v>
      </c>
      <c r="G29" s="14">
        <v>-6092</v>
      </c>
      <c r="H29" s="14">
        <v>-9822</v>
      </c>
      <c r="I29" s="14">
        <v>-11202</v>
      </c>
      <c r="J29" s="14">
        <v>-4973</v>
      </c>
    </row>
    <row r="30" spans="1:10" x14ac:dyDescent="0.25">
      <c r="A30" s="11" t="s">
        <v>1176</v>
      </c>
      <c r="B30" s="11" t="s">
        <v>1177</v>
      </c>
      <c r="C30" s="14">
        <v>-13427.367899999999</v>
      </c>
      <c r="D30" s="14">
        <v>-42297</v>
      </c>
      <c r="E30" s="14">
        <v>-10563</v>
      </c>
      <c r="F30" s="14">
        <v>-990</v>
      </c>
      <c r="G30" s="14">
        <v>1407</v>
      </c>
      <c r="H30" s="14">
        <v>-38686</v>
      </c>
      <c r="I30" s="14">
        <v>-2004</v>
      </c>
      <c r="J30" s="14">
        <v>-45865</v>
      </c>
    </row>
    <row r="31" spans="1:10" x14ac:dyDescent="0.25">
      <c r="A31" s="11" t="s">
        <v>1178</v>
      </c>
      <c r="B31" s="11" t="s">
        <v>1179</v>
      </c>
      <c r="C31" s="14">
        <v>437.40260000000001</v>
      </c>
      <c r="D31" s="14" t="s">
        <v>1033</v>
      </c>
      <c r="E31" s="14">
        <v>30723</v>
      </c>
      <c r="F31" s="14">
        <v>-3897</v>
      </c>
      <c r="G31" s="14">
        <v>-7628</v>
      </c>
      <c r="H31" s="14">
        <v>-1387</v>
      </c>
      <c r="I31" s="14">
        <v>-188</v>
      </c>
      <c r="J31" s="14">
        <v>-1209</v>
      </c>
    </row>
    <row r="32" spans="1:10" x14ac:dyDescent="0.25">
      <c r="A32" s="11" t="s">
        <v>1180</v>
      </c>
      <c r="B32" s="11" t="s">
        <v>1181</v>
      </c>
      <c r="C32" s="14">
        <v>4542.6242000000002</v>
      </c>
      <c r="D32" s="14">
        <v>19779</v>
      </c>
      <c r="E32" s="14">
        <v>-2805</v>
      </c>
      <c r="F32" s="14">
        <v>1925</v>
      </c>
      <c r="G32" s="14">
        <v>-1167</v>
      </c>
      <c r="H32" s="14">
        <v>-894</v>
      </c>
      <c r="I32" s="14">
        <v>3122</v>
      </c>
      <c r="J32" s="14">
        <v>-484</v>
      </c>
    </row>
    <row r="33" spans="1:10" x14ac:dyDescent="0.25">
      <c r="A33" s="11" t="s">
        <v>1182</v>
      </c>
      <c r="B33" s="11" t="s">
        <v>1183</v>
      </c>
      <c r="C33" s="14">
        <v>8538.8755000000001</v>
      </c>
      <c r="D33" s="14">
        <v>3617</v>
      </c>
      <c r="E33" s="14">
        <v>-1772</v>
      </c>
      <c r="F33" s="14">
        <v>-50870</v>
      </c>
      <c r="G33" s="14">
        <v>-40993</v>
      </c>
      <c r="H33" s="14">
        <v>5319</v>
      </c>
      <c r="I33" s="14">
        <v>-29993</v>
      </c>
      <c r="J33" s="14">
        <v>-645</v>
      </c>
    </row>
    <row r="34" spans="1:10" x14ac:dyDescent="0.25">
      <c r="A34" s="11" t="s">
        <v>1184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5">
      <c r="A35" s="11" t="s">
        <v>1185</v>
      </c>
      <c r="B35" s="11" t="s">
        <v>1186</v>
      </c>
      <c r="C35" s="14">
        <v>324.6103</v>
      </c>
      <c r="D35" s="14">
        <v>72</v>
      </c>
      <c r="E35" s="14" t="s">
        <v>1033</v>
      </c>
      <c r="F35" s="14">
        <v>112</v>
      </c>
      <c r="G35" s="14">
        <v>1302</v>
      </c>
      <c r="H35" s="14">
        <v>721</v>
      </c>
      <c r="I35" s="14">
        <v>1378</v>
      </c>
      <c r="J35" s="14">
        <v>1425</v>
      </c>
    </row>
    <row r="36" spans="1:10" x14ac:dyDescent="0.25">
      <c r="A36" s="11" t="s">
        <v>1187</v>
      </c>
      <c r="B36" s="11" t="s">
        <v>1188</v>
      </c>
      <c r="C36" s="14">
        <v>-1788.0959</v>
      </c>
      <c r="D36" s="14">
        <v>-1558</v>
      </c>
      <c r="E36" s="14">
        <v>-358</v>
      </c>
      <c r="F36" s="14">
        <v>-880</v>
      </c>
      <c r="G36" s="14">
        <v>-3751</v>
      </c>
      <c r="H36" s="14">
        <v>-1795</v>
      </c>
      <c r="I36" s="14">
        <v>-3296</v>
      </c>
      <c r="J36" s="14">
        <v>-1181</v>
      </c>
    </row>
    <row r="37" spans="1:10" x14ac:dyDescent="0.25">
      <c r="A37" s="11" t="s">
        <v>1189</v>
      </c>
      <c r="B37" s="11" t="s">
        <v>1190</v>
      </c>
      <c r="C37" s="14">
        <v>0</v>
      </c>
      <c r="D37" s="14" t="s">
        <v>1033</v>
      </c>
      <c r="E37" s="14" t="s">
        <v>1033</v>
      </c>
      <c r="F37" s="14" t="s">
        <v>1033</v>
      </c>
      <c r="G37" s="14" t="s">
        <v>1033</v>
      </c>
      <c r="H37" s="14" t="s">
        <v>1033</v>
      </c>
      <c r="I37" s="14" t="s">
        <v>1033</v>
      </c>
      <c r="J37" s="14" t="s">
        <v>1033</v>
      </c>
    </row>
    <row r="38" spans="1:10" x14ac:dyDescent="0.25">
      <c r="A38" s="11" t="s">
        <v>1191</v>
      </c>
      <c r="B38" s="11" t="s">
        <v>1192</v>
      </c>
      <c r="C38" s="14">
        <v>0</v>
      </c>
      <c r="D38" s="14" t="s">
        <v>1033</v>
      </c>
      <c r="E38" s="14" t="s">
        <v>1033</v>
      </c>
      <c r="F38" s="14" t="s">
        <v>1033</v>
      </c>
      <c r="G38" s="14" t="s">
        <v>1033</v>
      </c>
      <c r="H38" s="14" t="s">
        <v>1033</v>
      </c>
      <c r="I38" s="14" t="s">
        <v>1033</v>
      </c>
      <c r="J38" s="14" t="s">
        <v>1033</v>
      </c>
    </row>
    <row r="39" spans="1:10" x14ac:dyDescent="0.25">
      <c r="A39" s="11" t="s">
        <v>1193</v>
      </c>
      <c r="B39" s="11" t="s">
        <v>1194</v>
      </c>
      <c r="C39" s="14">
        <v>0</v>
      </c>
      <c r="D39" s="14" t="s">
        <v>1033</v>
      </c>
      <c r="E39" s="14" t="s">
        <v>1033</v>
      </c>
      <c r="F39" s="14" t="s">
        <v>1033</v>
      </c>
      <c r="G39" s="14" t="s">
        <v>1033</v>
      </c>
      <c r="H39" s="14" t="s">
        <v>1033</v>
      </c>
      <c r="I39" s="14" t="s">
        <v>1033</v>
      </c>
      <c r="J39" s="14" t="s">
        <v>1033</v>
      </c>
    </row>
    <row r="40" spans="1:10" x14ac:dyDescent="0.25">
      <c r="A40" s="11" t="s">
        <v>1195</v>
      </c>
      <c r="B40" s="11" t="s">
        <v>1196</v>
      </c>
      <c r="C40" s="14">
        <v>0</v>
      </c>
      <c r="D40" s="14" t="s">
        <v>1033</v>
      </c>
      <c r="E40" s="14" t="s">
        <v>1033</v>
      </c>
      <c r="F40" s="14" t="s">
        <v>1033</v>
      </c>
      <c r="G40" s="14" t="s">
        <v>1033</v>
      </c>
      <c r="H40" s="14" t="s">
        <v>1033</v>
      </c>
      <c r="I40" s="14" t="s">
        <v>1033</v>
      </c>
      <c r="J40" s="14" t="s">
        <v>1033</v>
      </c>
    </row>
    <row r="41" spans="1:10" x14ac:dyDescent="0.25">
      <c r="A41" s="11" t="s">
        <v>1197</v>
      </c>
      <c r="B41" s="11" t="s">
        <v>1198</v>
      </c>
      <c r="C41" s="14">
        <v>0</v>
      </c>
      <c r="D41" s="14" t="s">
        <v>1033</v>
      </c>
      <c r="E41" s="14" t="s">
        <v>1033</v>
      </c>
      <c r="F41" s="14" t="s">
        <v>1033</v>
      </c>
      <c r="G41" s="14" t="s">
        <v>1033</v>
      </c>
      <c r="H41" s="14" t="s">
        <v>1033</v>
      </c>
      <c r="I41" s="14" t="s">
        <v>1033</v>
      </c>
      <c r="J41" s="14" t="s">
        <v>1033</v>
      </c>
    </row>
    <row r="42" spans="1:10" x14ac:dyDescent="0.25">
      <c r="A42" s="11" t="s">
        <v>1199</v>
      </c>
      <c r="B42" s="11" t="s">
        <v>1200</v>
      </c>
      <c r="C42" s="14">
        <v>-37.561799999999998</v>
      </c>
      <c r="D42" s="14">
        <v>-9</v>
      </c>
      <c r="E42" s="14">
        <v>5</v>
      </c>
      <c r="F42" s="14">
        <v>-94</v>
      </c>
      <c r="G42" s="14">
        <v>-94</v>
      </c>
      <c r="H42" s="14" t="s">
        <v>1033</v>
      </c>
      <c r="I42" s="14" t="s">
        <v>1033</v>
      </c>
      <c r="J42" s="14" t="s">
        <v>1033</v>
      </c>
    </row>
    <row r="43" spans="1:10" x14ac:dyDescent="0.25">
      <c r="A43" s="11" t="s">
        <v>1201</v>
      </c>
      <c r="B43" s="11" t="s">
        <v>1202</v>
      </c>
      <c r="C43" s="14">
        <v>1544.5355</v>
      </c>
      <c r="D43" s="14">
        <v>1723</v>
      </c>
      <c r="E43" s="14" t="s">
        <v>1033</v>
      </c>
      <c r="F43" s="14">
        <v>890</v>
      </c>
      <c r="G43" s="14">
        <v>954</v>
      </c>
      <c r="H43" s="14">
        <v>1347</v>
      </c>
      <c r="I43" s="14">
        <v>2198</v>
      </c>
      <c r="J43" s="14">
        <v>183</v>
      </c>
    </row>
    <row r="44" spans="1:10" x14ac:dyDescent="0.25">
      <c r="A44" s="7" t="s">
        <v>1203</v>
      </c>
      <c r="B44" s="7" t="s">
        <v>1204</v>
      </c>
      <c r="C44" s="20">
        <v>43.488100000000003</v>
      </c>
      <c r="D44" s="20">
        <v>228</v>
      </c>
      <c r="E44" s="20">
        <v>-353</v>
      </c>
      <c r="F44" s="20">
        <v>28</v>
      </c>
      <c r="G44" s="20">
        <v>-1589</v>
      </c>
      <c r="H44" s="20">
        <v>273</v>
      </c>
      <c r="I44" s="20">
        <v>280</v>
      </c>
      <c r="J44" s="20">
        <v>427</v>
      </c>
    </row>
    <row r="45" spans="1:10" x14ac:dyDescent="0.25">
      <c r="A45" s="11" t="s">
        <v>1205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5">
      <c r="A46" s="11" t="s">
        <v>1206</v>
      </c>
      <c r="B46" s="11" t="s">
        <v>1207</v>
      </c>
      <c r="C46" s="14">
        <v>0</v>
      </c>
      <c r="D46" s="14" t="s">
        <v>1033</v>
      </c>
      <c r="E46" s="14" t="s">
        <v>1033</v>
      </c>
      <c r="F46" s="14" t="s">
        <v>1033</v>
      </c>
      <c r="G46" s="14">
        <v>-22704</v>
      </c>
      <c r="H46" s="14" t="s">
        <v>1033</v>
      </c>
      <c r="I46" s="14" t="s">
        <v>1033</v>
      </c>
      <c r="J46" s="14" t="s">
        <v>1033</v>
      </c>
    </row>
    <row r="47" spans="1:10" x14ac:dyDescent="0.25">
      <c r="A47" s="11" t="s">
        <v>1208</v>
      </c>
      <c r="B47" s="11" t="s">
        <v>1209</v>
      </c>
      <c r="C47" s="14">
        <v>195.3974</v>
      </c>
      <c r="D47" s="14">
        <v>30</v>
      </c>
      <c r="E47" s="14" t="s">
        <v>1033</v>
      </c>
      <c r="F47" s="14">
        <v>-88</v>
      </c>
      <c r="G47" s="14">
        <v>-141</v>
      </c>
      <c r="H47" s="14">
        <v>-25</v>
      </c>
      <c r="I47" s="14">
        <v>-37</v>
      </c>
      <c r="J47" s="14">
        <v>-9</v>
      </c>
    </row>
    <row r="48" spans="1:10" x14ac:dyDescent="0.25">
      <c r="A48" s="11" t="s">
        <v>1210</v>
      </c>
      <c r="B48" s="11" t="s">
        <v>1211</v>
      </c>
      <c r="C48" s="14" t="s">
        <v>1033</v>
      </c>
      <c r="D48" s="14" t="s">
        <v>1033</v>
      </c>
      <c r="E48" s="14">
        <v>-116</v>
      </c>
      <c r="F48" s="14">
        <v>-5403</v>
      </c>
      <c r="G48" s="14">
        <v>-196</v>
      </c>
      <c r="H48" s="14">
        <v>-2462</v>
      </c>
      <c r="I48" s="14">
        <v>-2845</v>
      </c>
      <c r="J48" s="14">
        <v>-1157</v>
      </c>
    </row>
    <row r="49" spans="1:10" x14ac:dyDescent="0.25">
      <c r="A49" s="11" t="s">
        <v>1212</v>
      </c>
      <c r="B49" s="11" t="s">
        <v>1213</v>
      </c>
      <c r="C49" s="14">
        <v>27884.358</v>
      </c>
      <c r="D49" s="14">
        <v>7058</v>
      </c>
      <c r="E49" s="14">
        <v>25921</v>
      </c>
      <c r="F49" s="14">
        <v>-915</v>
      </c>
      <c r="G49" s="14">
        <v>22455</v>
      </c>
      <c r="H49" s="14">
        <v>24867</v>
      </c>
      <c r="I49" s="14">
        <v>38239</v>
      </c>
      <c r="J49" s="14">
        <v>-10136</v>
      </c>
    </row>
    <row r="50" spans="1:10" x14ac:dyDescent="0.25">
      <c r="A50" s="11" t="s">
        <v>1214</v>
      </c>
      <c r="B50" s="11" t="s">
        <v>1215</v>
      </c>
      <c r="C50" s="14">
        <v>-1253.403</v>
      </c>
      <c r="D50" s="14" t="s">
        <v>1033</v>
      </c>
      <c r="E50" s="14" t="s">
        <v>1033</v>
      </c>
      <c r="F50" s="14" t="s">
        <v>1033</v>
      </c>
      <c r="G50" s="14" t="s">
        <v>1033</v>
      </c>
      <c r="H50" s="14" t="s">
        <v>1033</v>
      </c>
      <c r="I50" s="14" t="s">
        <v>1033</v>
      </c>
      <c r="J50" s="14" t="s">
        <v>1033</v>
      </c>
    </row>
    <row r="51" spans="1:10" x14ac:dyDescent="0.25">
      <c r="A51" s="11" t="s">
        <v>1216</v>
      </c>
      <c r="B51" s="11" t="s">
        <v>1217</v>
      </c>
      <c r="C51" s="14">
        <v>90877.011799999993</v>
      </c>
      <c r="D51" s="14">
        <v>116394</v>
      </c>
      <c r="E51" s="14">
        <v>124197</v>
      </c>
      <c r="F51" s="14">
        <v>107251</v>
      </c>
      <c r="G51" s="14">
        <v>130568</v>
      </c>
      <c r="H51" s="14">
        <v>125072</v>
      </c>
      <c r="I51" s="14">
        <v>136906</v>
      </c>
      <c r="J51" s="14">
        <v>90150</v>
      </c>
    </row>
    <row r="52" spans="1:10" x14ac:dyDescent="0.25">
      <c r="A52" s="11" t="s">
        <v>1218</v>
      </c>
      <c r="B52" s="11" t="s">
        <v>1219</v>
      </c>
      <c r="C52" s="14">
        <v>62797.256399999998</v>
      </c>
      <c r="D52" s="14">
        <v>109306</v>
      </c>
      <c r="E52" s="14">
        <v>98302</v>
      </c>
      <c r="F52" s="14">
        <v>108254</v>
      </c>
      <c r="G52" s="14">
        <v>108254</v>
      </c>
      <c r="H52" s="14">
        <v>100230</v>
      </c>
      <c r="I52" s="14">
        <v>98704</v>
      </c>
      <c r="J52" s="14">
        <v>100295</v>
      </c>
    </row>
    <row r="53" spans="1:10" x14ac:dyDescent="0.25">
      <c r="A53" s="11" t="s">
        <v>1220</v>
      </c>
      <c r="B53" s="11" t="s">
        <v>1221</v>
      </c>
      <c r="C53" s="14">
        <v>-755.76520000000005</v>
      </c>
      <c r="D53" s="14">
        <v>-918</v>
      </c>
      <c r="E53" s="14" t="s">
        <v>1033</v>
      </c>
      <c r="F53" s="14" t="s">
        <v>1033</v>
      </c>
      <c r="G53" s="14">
        <v>-8778</v>
      </c>
      <c r="H53" s="14" t="s">
        <v>1033</v>
      </c>
      <c r="I53" s="14" t="s">
        <v>1033</v>
      </c>
      <c r="J53" s="14" t="s">
        <v>1033</v>
      </c>
    </row>
    <row r="54" spans="1:10" x14ac:dyDescent="0.25">
      <c r="A54" s="11" t="s">
        <v>1222</v>
      </c>
      <c r="B54" s="11" t="s">
        <v>1223</v>
      </c>
      <c r="C54" s="14" t="s">
        <v>1033</v>
      </c>
      <c r="D54" s="14" t="s">
        <v>1033</v>
      </c>
      <c r="E54" s="14">
        <v>-3757</v>
      </c>
      <c r="F54" s="14">
        <v>-1045</v>
      </c>
      <c r="G54" s="14" t="s">
        <v>1033</v>
      </c>
      <c r="H54" s="14">
        <v>-946</v>
      </c>
      <c r="I54" s="14">
        <v>-1581</v>
      </c>
      <c r="J54" s="14">
        <v>-1357</v>
      </c>
    </row>
    <row r="55" spans="1:10" x14ac:dyDescent="0.25">
      <c r="A55" s="11" t="s">
        <v>1224</v>
      </c>
      <c r="B55" s="11" t="s">
        <v>1225</v>
      </c>
      <c r="C55" s="14" t="s">
        <v>1033</v>
      </c>
      <c r="D55" s="14" t="s">
        <v>1033</v>
      </c>
      <c r="E55" s="14" t="s">
        <v>1033</v>
      </c>
      <c r="F55" s="14" t="s">
        <v>1033</v>
      </c>
      <c r="G55" s="14">
        <v>-2037</v>
      </c>
      <c r="H55" s="14" t="s">
        <v>1033</v>
      </c>
      <c r="I55" s="14" t="s">
        <v>1033</v>
      </c>
      <c r="J55" s="14" t="s">
        <v>1033</v>
      </c>
    </row>
    <row r="56" spans="1:10" x14ac:dyDescent="0.25">
      <c r="A56" s="7" t="s">
        <v>1226</v>
      </c>
      <c r="B56" s="7" t="s">
        <v>1227</v>
      </c>
      <c r="C56" s="20">
        <v>-2009.1682000000001</v>
      </c>
      <c r="D56" s="20">
        <v>-918</v>
      </c>
      <c r="E56" s="20">
        <v>-4010</v>
      </c>
      <c r="F56" s="20">
        <v>-6448</v>
      </c>
      <c r="G56" s="20">
        <v>-33715</v>
      </c>
      <c r="H56" s="20">
        <v>-3408</v>
      </c>
      <c r="I56" s="20">
        <v>-4426</v>
      </c>
      <c r="J56" s="20">
        <v>-2514</v>
      </c>
    </row>
    <row r="57" spans="1:10" x14ac:dyDescent="0.25">
      <c r="A57" s="8" t="s">
        <v>84</v>
      </c>
      <c r="B57" s="8"/>
      <c r="C57" s="8" t="s">
        <v>3</v>
      </c>
      <c r="D57" s="8"/>
      <c r="E57" s="8"/>
      <c r="F57" s="8"/>
      <c r="G57" s="8"/>
      <c r="H57" s="8"/>
      <c r="I57" s="8"/>
      <c r="J57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4"/>
  <sheetViews>
    <sheetView workbookViewId="0">
      <selection activeCell="F17" sqref="F17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0.25" x14ac:dyDescent="0.25">
      <c r="A2" s="9" t="s">
        <v>1228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86</v>
      </c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</row>
    <row r="5" spans="1:27" x14ac:dyDescent="0.25">
      <c r="A5" s="10" t="s">
        <v>31</v>
      </c>
      <c r="B5" s="10"/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49</v>
      </c>
      <c r="U5" s="6" t="s">
        <v>50</v>
      </c>
      <c r="V5" s="6" t="s">
        <v>51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56</v>
      </c>
    </row>
    <row r="6" spans="1:27" x14ac:dyDescent="0.25">
      <c r="A6" s="7" t="s">
        <v>1229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25">
      <c r="A7" s="11" t="s">
        <v>708</v>
      </c>
      <c r="B7" s="11" t="s">
        <v>152</v>
      </c>
      <c r="C7" s="15">
        <v>18.8965</v>
      </c>
      <c r="D7" s="15">
        <v>17.541</v>
      </c>
      <c r="E7" s="15">
        <v>16.7742</v>
      </c>
      <c r="F7" s="15">
        <v>14.668699999999999</v>
      </c>
      <c r="G7" s="15">
        <v>14.1717</v>
      </c>
      <c r="H7" s="15">
        <v>14.800599999999999</v>
      </c>
      <c r="I7" s="15">
        <v>14.2422</v>
      </c>
      <c r="J7" s="15">
        <v>15.355600000000001</v>
      </c>
      <c r="K7" s="15">
        <v>15.9108</v>
      </c>
      <c r="L7" s="15">
        <v>17.602499999999999</v>
      </c>
      <c r="M7" s="15">
        <v>18.048400000000001</v>
      </c>
      <c r="N7" s="15">
        <v>19.310700000000001</v>
      </c>
      <c r="O7" s="15">
        <v>19.4438</v>
      </c>
      <c r="P7" s="15">
        <v>20.956099999999999</v>
      </c>
      <c r="Q7" s="15">
        <v>20.753</v>
      </c>
      <c r="R7" s="15">
        <v>21.5976</v>
      </c>
      <c r="S7" s="15">
        <v>20.971399999999999</v>
      </c>
      <c r="T7" s="15">
        <v>22.617699999999999</v>
      </c>
      <c r="U7" s="15">
        <v>22.0307</v>
      </c>
      <c r="V7" s="15">
        <v>22.530999999999999</v>
      </c>
      <c r="W7" s="15">
        <v>21.6553</v>
      </c>
      <c r="X7" s="15">
        <v>23.3476</v>
      </c>
      <c r="Y7" s="15">
        <v>21.926100000000002</v>
      </c>
      <c r="Z7" s="15">
        <v>23.585999999999999</v>
      </c>
      <c r="AA7" s="15">
        <v>22.3246</v>
      </c>
    </row>
    <row r="8" spans="1:27" x14ac:dyDescent="0.25">
      <c r="A8" s="11" t="s">
        <v>701</v>
      </c>
      <c r="B8" s="11" t="s">
        <v>150</v>
      </c>
      <c r="C8" s="15">
        <v>2.1488999999999998</v>
      </c>
      <c r="D8" s="15">
        <v>1.9863</v>
      </c>
      <c r="E8" s="15">
        <v>1.9859</v>
      </c>
      <c r="F8" s="15">
        <v>1.8117000000000001</v>
      </c>
      <c r="G8" s="15">
        <v>1.6415</v>
      </c>
      <c r="H8" s="15">
        <v>1.7838000000000001</v>
      </c>
      <c r="I8" s="15">
        <v>1.7756000000000001</v>
      </c>
      <c r="J8" s="15">
        <v>1.9262999999999999</v>
      </c>
      <c r="K8" s="15">
        <v>1.8846000000000001</v>
      </c>
      <c r="L8" s="15">
        <v>2.0964</v>
      </c>
      <c r="M8" s="15">
        <v>2.2351000000000001</v>
      </c>
      <c r="N8" s="15">
        <v>2.3161</v>
      </c>
      <c r="O8" s="15">
        <v>2.2892000000000001</v>
      </c>
      <c r="P8" s="15">
        <v>2.3311000000000002</v>
      </c>
      <c r="Q8" s="15">
        <v>2.3532999999999999</v>
      </c>
      <c r="R8" s="15">
        <v>2.4127999999999998</v>
      </c>
      <c r="S8" s="15">
        <v>2.3691</v>
      </c>
      <c r="T8" s="15">
        <v>2.3576000000000001</v>
      </c>
      <c r="U8" s="15">
        <v>2.3527999999999998</v>
      </c>
      <c r="V8" s="15">
        <v>2.3677999999999999</v>
      </c>
      <c r="W8" s="15">
        <v>2.3147000000000002</v>
      </c>
      <c r="X8" s="15">
        <v>2.3336000000000001</v>
      </c>
      <c r="Y8" s="15">
        <v>2.298</v>
      </c>
      <c r="Z8" s="15">
        <v>2.3191000000000002</v>
      </c>
      <c r="AA8" s="15">
        <v>2.2726000000000002</v>
      </c>
    </row>
    <row r="9" spans="1:27" x14ac:dyDescent="0.25">
      <c r="A9" s="11" t="s">
        <v>1230</v>
      </c>
      <c r="B9" s="11" t="s">
        <v>1231</v>
      </c>
      <c r="C9" s="15">
        <v>5.7061999999999999</v>
      </c>
      <c r="D9" s="15">
        <v>5.1917999999999997</v>
      </c>
      <c r="E9" s="15">
        <v>5.2359999999999998</v>
      </c>
      <c r="F9" s="15">
        <v>4.8940000000000001</v>
      </c>
      <c r="G9" s="15">
        <v>4.1829000000000001</v>
      </c>
      <c r="H9" s="15">
        <v>4.6856999999999998</v>
      </c>
      <c r="I9" s="15">
        <v>4.7184999999999997</v>
      </c>
      <c r="J9" s="15">
        <v>5.3221999999999996</v>
      </c>
      <c r="K9" s="15">
        <v>4.6322000000000001</v>
      </c>
      <c r="L9" s="15">
        <v>5.5270000000000001</v>
      </c>
      <c r="M9" s="15">
        <v>5.9149000000000003</v>
      </c>
      <c r="N9" s="15">
        <v>6.1745000000000001</v>
      </c>
      <c r="O9" s="15">
        <v>5.9025999999999996</v>
      </c>
      <c r="P9" s="15">
        <v>6.2927999999999997</v>
      </c>
      <c r="Q9" s="15">
        <v>6.3804999999999996</v>
      </c>
      <c r="R9" s="15">
        <v>6.6356999999999999</v>
      </c>
      <c r="S9" s="15">
        <v>6.3631000000000002</v>
      </c>
      <c r="T9" s="15">
        <v>6.4542999999999999</v>
      </c>
      <c r="U9" s="15">
        <v>6.5533000000000001</v>
      </c>
      <c r="V9" s="15">
        <v>6.7137000000000002</v>
      </c>
      <c r="W9" s="15">
        <v>6.5166000000000004</v>
      </c>
      <c r="X9" s="15">
        <v>6.6436000000000002</v>
      </c>
      <c r="Y9" s="15">
        <v>6.5952000000000002</v>
      </c>
      <c r="Z9" s="15">
        <v>6.7210000000000001</v>
      </c>
      <c r="AA9" s="15">
        <v>6.6875</v>
      </c>
    </row>
    <row r="10" spans="1:27" x14ac:dyDescent="0.25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x14ac:dyDescent="0.25">
      <c r="A11" s="7" t="s">
        <v>1232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1" t="s">
        <v>1233</v>
      </c>
      <c r="B12" s="11" t="s">
        <v>1234</v>
      </c>
      <c r="C12" s="15">
        <v>61.381999999999998</v>
      </c>
      <c r="D12" s="15">
        <v>58.070599999999999</v>
      </c>
      <c r="E12" s="15">
        <v>47.018799999999999</v>
      </c>
      <c r="F12" s="15">
        <v>36.234900000000003</v>
      </c>
      <c r="G12" s="15">
        <v>52.639899999999997</v>
      </c>
      <c r="H12" s="15" t="s">
        <v>1033</v>
      </c>
      <c r="I12" s="15">
        <v>57.084200000000003</v>
      </c>
      <c r="J12" s="15">
        <v>38.237900000000003</v>
      </c>
      <c r="K12" s="15">
        <v>55.931100000000001</v>
      </c>
      <c r="L12" s="15">
        <v>63.569899999999997</v>
      </c>
      <c r="M12" s="15">
        <v>65.215599999999995</v>
      </c>
      <c r="N12" s="15">
        <v>66.703599999999994</v>
      </c>
      <c r="O12" s="15">
        <v>67.724000000000004</v>
      </c>
      <c r="P12" s="15">
        <v>72.572400000000002</v>
      </c>
      <c r="Q12" s="15">
        <v>71.580299999999994</v>
      </c>
      <c r="R12" s="15">
        <v>66.601299999999995</v>
      </c>
      <c r="S12" s="15">
        <v>66.096599999999995</v>
      </c>
      <c r="T12" s="15">
        <v>68.970500000000001</v>
      </c>
      <c r="U12" s="15">
        <v>70.358199999999997</v>
      </c>
      <c r="V12" s="15">
        <v>68.928899999999999</v>
      </c>
      <c r="W12" s="15">
        <v>67.858000000000004</v>
      </c>
      <c r="X12" s="15">
        <v>68.377799999999993</v>
      </c>
      <c r="Y12" s="15">
        <v>65.265799999999999</v>
      </c>
      <c r="Z12" s="15">
        <v>62.458799999999997</v>
      </c>
      <c r="AA12" s="15">
        <v>58.917999999999999</v>
      </c>
    </row>
    <row r="13" spans="1:27" x14ac:dyDescent="0.25">
      <c r="A13" s="11" t="s">
        <v>1235</v>
      </c>
      <c r="B13" s="11" t="s">
        <v>1236</v>
      </c>
      <c r="C13" s="15">
        <v>40.931800000000003</v>
      </c>
      <c r="D13" s="15">
        <v>30.197199999999999</v>
      </c>
      <c r="E13" s="15">
        <v>31.0063</v>
      </c>
      <c r="F13" s="15">
        <v>18.8246</v>
      </c>
      <c r="G13" s="15">
        <v>24.045200000000001</v>
      </c>
      <c r="H13" s="15">
        <v>38.768300000000004</v>
      </c>
      <c r="I13" s="15">
        <v>39.839199999999998</v>
      </c>
      <c r="J13" s="15">
        <v>22.398299999999999</v>
      </c>
      <c r="K13" s="15">
        <v>29.608499999999999</v>
      </c>
      <c r="L13" s="15">
        <v>34.055500000000002</v>
      </c>
      <c r="M13" s="15">
        <v>32.877000000000002</v>
      </c>
      <c r="N13" s="15">
        <v>30.518899999999999</v>
      </c>
      <c r="O13" s="15">
        <v>32.477200000000003</v>
      </c>
      <c r="P13" s="15">
        <v>35.676400000000001</v>
      </c>
      <c r="Q13" s="15">
        <v>33.659999999999997</v>
      </c>
      <c r="R13" s="15">
        <v>28.407499999999999</v>
      </c>
      <c r="S13" s="15">
        <v>31.271899999999999</v>
      </c>
      <c r="T13" s="15">
        <v>32.411799999999999</v>
      </c>
      <c r="U13" s="15">
        <v>33.116900000000001</v>
      </c>
      <c r="V13" s="15">
        <v>29.1997</v>
      </c>
      <c r="W13" s="15">
        <v>31.5306</v>
      </c>
      <c r="X13" s="15">
        <v>30.7928</v>
      </c>
      <c r="Y13" s="15">
        <v>29.2456</v>
      </c>
      <c r="Z13" s="15">
        <v>31.829000000000001</v>
      </c>
      <c r="AA13" s="15">
        <v>29.542999999999999</v>
      </c>
    </row>
    <row r="14" spans="1:27" x14ac:dyDescent="0.25">
      <c r="A14" s="11" t="s">
        <v>1237</v>
      </c>
      <c r="B14" s="11" t="s">
        <v>1238</v>
      </c>
      <c r="C14" s="15">
        <v>-10.749599999999999</v>
      </c>
      <c r="D14" s="15">
        <v>-79.471100000000007</v>
      </c>
      <c r="E14" s="15">
        <v>4.1070000000000002</v>
      </c>
      <c r="F14" s="15" t="s">
        <v>1033</v>
      </c>
      <c r="G14" s="15" t="s">
        <v>1033</v>
      </c>
      <c r="H14" s="15" t="s">
        <v>1033</v>
      </c>
      <c r="I14" s="15">
        <v>-2.9983</v>
      </c>
      <c r="J14" s="15">
        <v>37.677799999999998</v>
      </c>
      <c r="K14" s="15">
        <v>76.592200000000005</v>
      </c>
      <c r="L14" s="15">
        <v>26.3705</v>
      </c>
      <c r="M14" s="15">
        <v>22.291599999999999</v>
      </c>
      <c r="N14" s="15">
        <v>266.15949999999998</v>
      </c>
      <c r="O14" s="15">
        <v>82.808700000000002</v>
      </c>
      <c r="P14" s="15">
        <v>50.457799999999999</v>
      </c>
      <c r="Q14" s="15">
        <v>41.073599999999999</v>
      </c>
      <c r="R14" s="15">
        <v>17.189</v>
      </c>
      <c r="S14" s="15">
        <v>24.0885</v>
      </c>
      <c r="T14" s="15">
        <v>8.1453000000000007</v>
      </c>
      <c r="U14" s="15">
        <v>28.250499999999999</v>
      </c>
      <c r="V14" s="15">
        <v>45.018700000000003</v>
      </c>
      <c r="W14" s="15">
        <v>34.329599999999999</v>
      </c>
      <c r="X14" s="15">
        <v>16.053599999999999</v>
      </c>
      <c r="Y14" s="15" t="s">
        <v>1033</v>
      </c>
      <c r="Z14" s="15">
        <v>48.344700000000003</v>
      </c>
      <c r="AA14" s="15">
        <v>2.6867000000000001</v>
      </c>
    </row>
    <row r="15" spans="1:27" x14ac:dyDescent="0.25">
      <c r="A15" s="11" t="s">
        <v>349</v>
      </c>
      <c r="B15" s="11" t="s">
        <v>350</v>
      </c>
      <c r="C15" s="15">
        <v>42.125399999999999</v>
      </c>
      <c r="D15" s="15">
        <v>28.0535</v>
      </c>
      <c r="E15" s="15">
        <v>32.3078</v>
      </c>
      <c r="F15" s="15">
        <v>20.1417</v>
      </c>
      <c r="G15" s="15">
        <v>24.991199999999999</v>
      </c>
      <c r="H15" s="15">
        <v>41.197899999999997</v>
      </c>
      <c r="I15" s="15">
        <v>41.691000000000003</v>
      </c>
      <c r="J15" s="15">
        <v>23.7316</v>
      </c>
      <c r="K15" s="15">
        <v>29.9968</v>
      </c>
      <c r="L15" s="15">
        <v>34.341000000000001</v>
      </c>
      <c r="M15" s="15">
        <v>33.366199999999999</v>
      </c>
      <c r="N15" s="15">
        <v>31.344200000000001</v>
      </c>
      <c r="O15" s="15">
        <v>33.098300000000002</v>
      </c>
      <c r="P15" s="15">
        <v>36.3962</v>
      </c>
      <c r="Q15" s="15">
        <v>34.151899999999998</v>
      </c>
      <c r="R15" s="15">
        <v>29.194199999999999</v>
      </c>
      <c r="S15" s="15">
        <v>32.145499999999998</v>
      </c>
      <c r="T15" s="15">
        <v>33.044499999999999</v>
      </c>
      <c r="U15" s="15">
        <v>33.887500000000003</v>
      </c>
      <c r="V15" s="15">
        <v>29.7803</v>
      </c>
      <c r="W15" s="15">
        <v>32.127099999999999</v>
      </c>
      <c r="X15" s="15">
        <v>31.415600000000001</v>
      </c>
      <c r="Y15" s="15">
        <v>29.976600000000001</v>
      </c>
      <c r="Z15" s="15">
        <v>32.486499999999999</v>
      </c>
      <c r="AA15" s="15">
        <v>30.033100000000001</v>
      </c>
    </row>
    <row r="16" spans="1:27" x14ac:dyDescent="0.25">
      <c r="A16" s="11" t="s">
        <v>1239</v>
      </c>
      <c r="B16" s="11" t="s">
        <v>1240</v>
      </c>
      <c r="C16" s="15">
        <v>31.211099999999998</v>
      </c>
      <c r="D16" s="15">
        <v>21.8142</v>
      </c>
      <c r="E16" s="15">
        <v>23.896599999999999</v>
      </c>
      <c r="F16" s="15">
        <v>15.605399999999999</v>
      </c>
      <c r="G16" s="15">
        <v>19.086300000000001</v>
      </c>
      <c r="H16" s="15">
        <v>31.278099999999998</v>
      </c>
      <c r="I16" s="15">
        <v>31.3353</v>
      </c>
      <c r="J16" s="15">
        <v>19.237500000000001</v>
      </c>
      <c r="K16" s="15">
        <v>21.458100000000002</v>
      </c>
      <c r="L16" s="15">
        <v>26.0793</v>
      </c>
      <c r="M16" s="15">
        <v>24.574300000000001</v>
      </c>
      <c r="N16" s="15">
        <v>23.771999999999998</v>
      </c>
      <c r="O16" s="15">
        <v>24.6265</v>
      </c>
      <c r="P16" s="15">
        <v>26.6889</v>
      </c>
      <c r="Q16" s="15">
        <v>25.571200000000001</v>
      </c>
      <c r="R16" s="15">
        <v>22.478000000000002</v>
      </c>
      <c r="S16" s="15">
        <v>22.618200000000002</v>
      </c>
      <c r="T16" s="15">
        <v>24.993400000000001</v>
      </c>
      <c r="U16" s="15">
        <v>24.852599999999999</v>
      </c>
      <c r="V16" s="15">
        <v>24.007100000000001</v>
      </c>
      <c r="W16" s="15">
        <v>23.0931</v>
      </c>
      <c r="X16" s="15">
        <v>22.9253</v>
      </c>
      <c r="Y16" s="15">
        <v>22.692399999999999</v>
      </c>
      <c r="Z16" s="15">
        <v>24.488700000000001</v>
      </c>
      <c r="AA16" s="15">
        <v>21.5794</v>
      </c>
    </row>
    <row r="17" spans="1:27" x14ac:dyDescent="0.25">
      <c r="A17" s="11" t="s">
        <v>1241</v>
      </c>
      <c r="B17" s="11" t="s">
        <v>1242</v>
      </c>
      <c r="C17" s="15">
        <v>20.6631</v>
      </c>
      <c r="D17" s="15">
        <v>13.379300000000001</v>
      </c>
      <c r="E17" s="15">
        <v>18.505500000000001</v>
      </c>
      <c r="F17" s="15">
        <v>12.343500000000001</v>
      </c>
      <c r="G17" s="15">
        <v>12.211600000000001</v>
      </c>
      <c r="H17" s="15">
        <v>21.885100000000001</v>
      </c>
      <c r="I17" s="15">
        <v>22.901199999999999</v>
      </c>
      <c r="J17" s="15">
        <v>15.3752</v>
      </c>
      <c r="K17" s="15">
        <v>13.599399999999999</v>
      </c>
      <c r="L17" s="15">
        <v>14.761900000000001</v>
      </c>
      <c r="M17" s="15">
        <v>12.9575</v>
      </c>
      <c r="N17" s="15">
        <v>11.7165</v>
      </c>
      <c r="O17" s="15">
        <v>11.9315</v>
      </c>
      <c r="P17" s="15">
        <v>11.6075</v>
      </c>
      <c r="Q17" s="15">
        <v>11.146100000000001</v>
      </c>
      <c r="R17" s="15">
        <v>10.700799999999999</v>
      </c>
      <c r="S17" s="15">
        <v>11.521699999999999</v>
      </c>
      <c r="T17" s="15">
        <v>11.716699999999999</v>
      </c>
      <c r="U17" s="15">
        <v>11.257099999999999</v>
      </c>
      <c r="V17" s="15">
        <v>10.081099999999999</v>
      </c>
      <c r="W17" s="15">
        <v>10.8085</v>
      </c>
      <c r="X17" s="15">
        <v>11.0223</v>
      </c>
      <c r="Y17" s="15">
        <v>10.551399999999999</v>
      </c>
      <c r="Z17" s="15">
        <v>12.6005</v>
      </c>
      <c r="AA17" s="15">
        <v>12.613099999999999</v>
      </c>
    </row>
    <row r="18" spans="1:27" x14ac:dyDescent="0.25">
      <c r="A18" s="11" t="s">
        <v>1243</v>
      </c>
      <c r="B18" s="11" t="s">
        <v>1244</v>
      </c>
      <c r="C18" s="15">
        <v>30.8291</v>
      </c>
      <c r="D18" s="15">
        <v>21.562799999999999</v>
      </c>
      <c r="E18" s="15">
        <v>23.568000000000001</v>
      </c>
      <c r="F18" s="15">
        <v>15.408300000000001</v>
      </c>
      <c r="G18" s="15">
        <v>18.839300000000001</v>
      </c>
      <c r="H18" s="15">
        <v>30.838999999999999</v>
      </c>
      <c r="I18" s="15">
        <v>30.889700000000001</v>
      </c>
      <c r="J18" s="15">
        <v>18.9663</v>
      </c>
      <c r="K18" s="15">
        <v>21.19</v>
      </c>
      <c r="L18" s="15">
        <v>25.7089</v>
      </c>
      <c r="M18" s="15">
        <v>24.240400000000001</v>
      </c>
      <c r="N18" s="15">
        <v>23.454799999999999</v>
      </c>
      <c r="O18" s="15">
        <v>24.281400000000001</v>
      </c>
      <c r="P18" s="15">
        <v>26.314900000000002</v>
      </c>
      <c r="Q18" s="15">
        <v>25.198899999999998</v>
      </c>
      <c r="R18" s="15">
        <v>22.210699999999999</v>
      </c>
      <c r="S18" s="15">
        <v>22.693200000000001</v>
      </c>
      <c r="T18" s="15">
        <v>24.842700000000001</v>
      </c>
      <c r="U18" s="15">
        <v>24.3264</v>
      </c>
      <c r="V18" s="15">
        <v>22.255700000000001</v>
      </c>
      <c r="W18" s="15">
        <v>22.351900000000001</v>
      </c>
      <c r="X18" s="15">
        <v>23.342099999999999</v>
      </c>
      <c r="Y18" s="15">
        <v>20.8522</v>
      </c>
      <c r="Z18" s="15">
        <v>22.207000000000001</v>
      </c>
      <c r="AA18" s="15">
        <v>21.042999999999999</v>
      </c>
    </row>
    <row r="19" spans="1:27" x14ac:dyDescent="0.25">
      <c r="A19" s="1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x14ac:dyDescent="0.25">
      <c r="A20" s="7" t="s">
        <v>1245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11" t="s">
        <v>1246</v>
      </c>
      <c r="B21" s="11" t="s">
        <v>1247</v>
      </c>
      <c r="C21" s="15">
        <v>25.908999999999999</v>
      </c>
      <c r="D21" s="15">
        <v>22.240600000000001</v>
      </c>
      <c r="E21" s="15">
        <v>26.034600000000001</v>
      </c>
      <c r="F21" s="15">
        <v>22.521999999999998</v>
      </c>
      <c r="G21" s="15">
        <v>23.628</v>
      </c>
      <c r="H21" s="15">
        <v>24.078299999999999</v>
      </c>
      <c r="I21" s="15">
        <v>24.839300000000001</v>
      </c>
      <c r="J21" s="15">
        <v>18.937100000000001</v>
      </c>
      <c r="K21" s="15">
        <v>28.465299999999999</v>
      </c>
      <c r="L21" s="15">
        <v>24.058</v>
      </c>
      <c r="M21" s="15">
        <v>26.349900000000002</v>
      </c>
      <c r="N21" s="15">
        <v>24.158100000000001</v>
      </c>
      <c r="O21" s="15">
        <v>25.5959</v>
      </c>
      <c r="P21" s="15">
        <v>26.671099999999999</v>
      </c>
      <c r="Q21" s="15">
        <v>25.1251</v>
      </c>
      <c r="R21" s="15">
        <v>23.005099999999999</v>
      </c>
      <c r="S21" s="15">
        <v>29.638300000000001</v>
      </c>
      <c r="T21" s="15">
        <v>24.3645</v>
      </c>
      <c r="U21" s="15">
        <v>26.661300000000001</v>
      </c>
      <c r="V21" s="15">
        <v>19.3858</v>
      </c>
      <c r="W21" s="15">
        <v>28.119599999999998</v>
      </c>
      <c r="X21" s="15">
        <v>27.025500000000001</v>
      </c>
      <c r="Y21" s="15">
        <v>24.299499999999998</v>
      </c>
      <c r="Z21" s="15">
        <v>24.6189</v>
      </c>
      <c r="AA21" s="15">
        <v>28.1479</v>
      </c>
    </row>
    <row r="22" spans="1:27" x14ac:dyDescent="0.25">
      <c r="A22" s="11" t="s">
        <v>1248</v>
      </c>
      <c r="B22" s="11" t="s">
        <v>1249</v>
      </c>
      <c r="C22" s="15" t="s">
        <v>1033</v>
      </c>
      <c r="D22" s="15" t="s">
        <v>1033</v>
      </c>
      <c r="E22" s="15" t="s">
        <v>1033</v>
      </c>
      <c r="F22" s="15">
        <v>0</v>
      </c>
      <c r="G22" s="15" t="s">
        <v>1033</v>
      </c>
      <c r="H22" s="15" t="s">
        <v>1033</v>
      </c>
      <c r="I22" s="15" t="s">
        <v>1033</v>
      </c>
      <c r="J22" s="15" t="s">
        <v>1033</v>
      </c>
      <c r="K22" s="15" t="s">
        <v>1033</v>
      </c>
      <c r="L22" s="15" t="s">
        <v>1033</v>
      </c>
      <c r="M22" s="15" t="s">
        <v>1033</v>
      </c>
      <c r="N22" s="15" t="s">
        <v>1033</v>
      </c>
      <c r="O22" s="15" t="s">
        <v>1033</v>
      </c>
      <c r="P22" s="15">
        <v>114.6088</v>
      </c>
      <c r="Q22" s="15" t="s">
        <v>1033</v>
      </c>
      <c r="R22" s="15" t="s">
        <v>1033</v>
      </c>
      <c r="S22" s="15" t="s">
        <v>1033</v>
      </c>
      <c r="T22" s="15" t="s">
        <v>1033</v>
      </c>
      <c r="U22" s="15" t="s">
        <v>1033</v>
      </c>
      <c r="V22" s="15">
        <v>196.91249999999999</v>
      </c>
      <c r="W22" s="15" t="s">
        <v>1033</v>
      </c>
      <c r="X22" s="15" t="s">
        <v>1033</v>
      </c>
      <c r="Y22" s="15" t="s">
        <v>1033</v>
      </c>
      <c r="Z22" s="15" t="s">
        <v>1033</v>
      </c>
      <c r="AA22" s="15" t="s">
        <v>1033</v>
      </c>
    </row>
    <row r="23" spans="1:27" x14ac:dyDescent="0.25">
      <c r="A23" s="11" t="s">
        <v>1250</v>
      </c>
      <c r="B23" s="11" t="s">
        <v>1251</v>
      </c>
      <c r="C23" s="15" t="s">
        <v>1033</v>
      </c>
      <c r="D23" s="15" t="s">
        <v>1033</v>
      </c>
      <c r="E23" s="15" t="s">
        <v>1033</v>
      </c>
      <c r="F23" s="15">
        <v>14.668699999999999</v>
      </c>
      <c r="G23" s="15" t="s">
        <v>1033</v>
      </c>
      <c r="H23" s="15" t="s">
        <v>1033</v>
      </c>
      <c r="I23" s="15" t="s">
        <v>1033</v>
      </c>
      <c r="J23" s="15" t="s">
        <v>1033</v>
      </c>
      <c r="K23" s="15" t="s">
        <v>1033</v>
      </c>
      <c r="L23" s="15" t="s">
        <v>1033</v>
      </c>
      <c r="M23" s="15" t="s">
        <v>1033</v>
      </c>
      <c r="N23" s="15" t="s">
        <v>1033</v>
      </c>
      <c r="O23" s="15" t="s">
        <v>1033</v>
      </c>
      <c r="P23" s="15">
        <v>-3.0613999999999999</v>
      </c>
      <c r="Q23" s="15" t="s">
        <v>1033</v>
      </c>
      <c r="R23" s="15" t="s">
        <v>1033</v>
      </c>
      <c r="S23" s="15" t="s">
        <v>1033</v>
      </c>
      <c r="T23" s="15" t="s">
        <v>1033</v>
      </c>
      <c r="U23" s="15" t="s">
        <v>1033</v>
      </c>
      <c r="V23" s="15">
        <v>-21.8353</v>
      </c>
      <c r="W23" s="15" t="s">
        <v>1033</v>
      </c>
      <c r="X23" s="15" t="s">
        <v>1033</v>
      </c>
      <c r="Y23" s="15" t="s">
        <v>1033</v>
      </c>
      <c r="Z23" s="15" t="s">
        <v>1033</v>
      </c>
      <c r="AA23" s="15" t="s">
        <v>1033</v>
      </c>
    </row>
    <row r="24" spans="1:27" x14ac:dyDescent="0.25">
      <c r="A24" s="8" t="s">
        <v>84</v>
      </c>
      <c r="B24" s="8"/>
      <c r="C24" s="8" t="s">
        <v>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66"/>
  <sheetViews>
    <sheetView workbookViewId="0">
      <selection activeCell="M15" sqref="M15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  <col min="33" max="33" width="11.85546875" customWidth="1"/>
    <col min="34" max="34" width="7" customWidth="1"/>
    <col min="35" max="35" width="11.85546875" customWidth="1"/>
    <col min="36" max="36" width="7" customWidth="1"/>
    <col min="37" max="37" width="11.85546875" customWidth="1"/>
    <col min="38" max="38" width="7" customWidth="1"/>
    <col min="39" max="39" width="11.85546875" customWidth="1"/>
    <col min="40" max="40" width="7" customWidth="1"/>
    <col min="41" max="41" width="11.85546875" customWidth="1"/>
    <col min="42" max="42" width="7" customWidth="1"/>
    <col min="43" max="43" width="11.85546875" customWidth="1"/>
    <col min="44" max="44" width="7" customWidth="1"/>
    <col min="45" max="45" width="11.85546875" customWidth="1"/>
    <col min="46" max="46" width="7" customWidth="1"/>
    <col min="47" max="47" width="11.85546875" customWidth="1"/>
    <col min="48" max="48" width="7" customWidth="1"/>
  </cols>
  <sheetData>
    <row r="1" spans="1:4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20.25" x14ac:dyDescent="0.25">
      <c r="A2" s="9" t="s">
        <v>1252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x14ac:dyDescent="0.25">
      <c r="A4" s="4" t="s">
        <v>86</v>
      </c>
      <c r="B4" s="4"/>
      <c r="C4" s="28" t="s">
        <v>6</v>
      </c>
      <c r="D4" s="28"/>
      <c r="E4" s="28" t="s">
        <v>7</v>
      </c>
      <c r="F4" s="28"/>
      <c r="G4" s="28" t="s">
        <v>8</v>
      </c>
      <c r="H4" s="28"/>
      <c r="I4" s="28" t="s">
        <v>9</v>
      </c>
      <c r="J4" s="28"/>
      <c r="K4" s="28" t="s">
        <v>10</v>
      </c>
      <c r="L4" s="28"/>
      <c r="M4" s="28" t="s">
        <v>11</v>
      </c>
      <c r="N4" s="28"/>
      <c r="O4" s="28" t="s">
        <v>12</v>
      </c>
      <c r="P4" s="28"/>
      <c r="Q4" s="28" t="s">
        <v>13</v>
      </c>
      <c r="R4" s="28"/>
      <c r="S4" s="28" t="s">
        <v>14</v>
      </c>
      <c r="T4" s="28"/>
      <c r="U4" s="28" t="s">
        <v>15</v>
      </c>
      <c r="V4" s="28"/>
      <c r="W4" s="28" t="s">
        <v>16</v>
      </c>
      <c r="X4" s="28"/>
      <c r="Y4" s="28" t="s">
        <v>17</v>
      </c>
      <c r="Z4" s="28"/>
      <c r="AA4" s="28" t="s">
        <v>18</v>
      </c>
      <c r="AB4" s="28"/>
      <c r="AC4" s="28" t="s">
        <v>19</v>
      </c>
      <c r="AD4" s="28"/>
      <c r="AE4" s="28" t="s">
        <v>21</v>
      </c>
      <c r="AF4" s="28"/>
      <c r="AG4" s="28" t="s">
        <v>23</v>
      </c>
      <c r="AH4" s="28"/>
      <c r="AI4" s="28" t="s">
        <v>24</v>
      </c>
      <c r="AJ4" s="28"/>
      <c r="AK4" s="28" t="s">
        <v>25</v>
      </c>
      <c r="AL4" s="28"/>
      <c r="AM4" s="28" t="s">
        <v>26</v>
      </c>
      <c r="AN4" s="28"/>
      <c r="AO4" s="28" t="s">
        <v>27</v>
      </c>
      <c r="AP4" s="28"/>
      <c r="AQ4" s="28" t="s">
        <v>28</v>
      </c>
      <c r="AR4" s="28"/>
      <c r="AS4" s="28" t="s">
        <v>29</v>
      </c>
      <c r="AT4" s="28"/>
      <c r="AU4" s="28" t="s">
        <v>30</v>
      </c>
      <c r="AV4" s="28"/>
    </row>
    <row r="5" spans="1:48" x14ac:dyDescent="0.25">
      <c r="A5" s="10" t="s">
        <v>31</v>
      </c>
      <c r="B5" s="10"/>
      <c r="C5" s="29" t="s">
        <v>32</v>
      </c>
      <c r="D5" s="29"/>
      <c r="E5" s="29" t="s">
        <v>33</v>
      </c>
      <c r="F5" s="29"/>
      <c r="G5" s="29" t="s">
        <v>34</v>
      </c>
      <c r="H5" s="29"/>
      <c r="I5" s="29" t="s">
        <v>35</v>
      </c>
      <c r="J5" s="29"/>
      <c r="K5" s="29" t="s">
        <v>36</v>
      </c>
      <c r="L5" s="29"/>
      <c r="M5" s="29" t="s">
        <v>37</v>
      </c>
      <c r="N5" s="29"/>
      <c r="O5" s="29" t="s">
        <v>38</v>
      </c>
      <c r="P5" s="29"/>
      <c r="Q5" s="29" t="s">
        <v>39</v>
      </c>
      <c r="R5" s="29"/>
      <c r="S5" s="29" t="s">
        <v>40</v>
      </c>
      <c r="T5" s="29"/>
      <c r="U5" s="29" t="s">
        <v>41</v>
      </c>
      <c r="V5" s="29"/>
      <c r="W5" s="29" t="s">
        <v>42</v>
      </c>
      <c r="X5" s="29"/>
      <c r="Y5" s="29" t="s">
        <v>43</v>
      </c>
      <c r="Z5" s="29"/>
      <c r="AA5" s="29" t="s">
        <v>44</v>
      </c>
      <c r="AB5" s="29"/>
      <c r="AC5" s="29" t="s">
        <v>45</v>
      </c>
      <c r="AD5" s="29"/>
      <c r="AE5" s="29" t="s">
        <v>47</v>
      </c>
      <c r="AF5" s="29"/>
      <c r="AG5" s="29" t="s">
        <v>49</v>
      </c>
      <c r="AH5" s="29"/>
      <c r="AI5" s="29" t="s">
        <v>50</v>
      </c>
      <c r="AJ5" s="29"/>
      <c r="AK5" s="29" t="s">
        <v>51</v>
      </c>
      <c r="AL5" s="29"/>
      <c r="AM5" s="29" t="s">
        <v>52</v>
      </c>
      <c r="AN5" s="29"/>
      <c r="AO5" s="29" t="s">
        <v>53</v>
      </c>
      <c r="AP5" s="29"/>
      <c r="AQ5" s="29" t="s">
        <v>54</v>
      </c>
      <c r="AR5" s="29"/>
      <c r="AS5" s="29" t="s">
        <v>55</v>
      </c>
      <c r="AT5" s="29"/>
      <c r="AU5" s="29" t="s">
        <v>56</v>
      </c>
      <c r="AV5" s="29"/>
    </row>
    <row r="6" spans="1:48" x14ac:dyDescent="0.25">
      <c r="A6" s="7" t="s">
        <v>1253</v>
      </c>
      <c r="B6" s="7"/>
      <c r="C6" s="34" t="s">
        <v>1033</v>
      </c>
      <c r="D6" s="35"/>
      <c r="E6" s="34">
        <v>36013.17</v>
      </c>
      <c r="F6" s="35">
        <v>1</v>
      </c>
      <c r="G6" s="34">
        <v>37408</v>
      </c>
      <c r="H6" s="35">
        <v>1</v>
      </c>
      <c r="I6" s="34">
        <v>154383</v>
      </c>
      <c r="J6" s="35">
        <v>1</v>
      </c>
      <c r="K6" s="34">
        <v>45352</v>
      </c>
      <c r="L6" s="35">
        <v>1</v>
      </c>
      <c r="M6" s="34">
        <v>27783</v>
      </c>
      <c r="N6" s="35">
        <v>1</v>
      </c>
      <c r="O6" s="34">
        <v>25100</v>
      </c>
      <c r="P6" s="35">
        <v>1</v>
      </c>
      <c r="Q6" s="34">
        <v>30739</v>
      </c>
      <c r="R6" s="35">
        <v>1</v>
      </c>
      <c r="S6" s="34">
        <v>50722</v>
      </c>
      <c r="T6" s="35">
        <v>1</v>
      </c>
      <c r="U6" s="34">
        <v>32359</v>
      </c>
      <c r="V6" s="35">
        <v>1</v>
      </c>
      <c r="W6" s="34">
        <v>23463</v>
      </c>
      <c r="X6" s="35">
        <v>1</v>
      </c>
      <c r="Y6" s="34">
        <v>-9875</v>
      </c>
      <c r="Z6" s="35"/>
      <c r="AA6" s="34">
        <v>17412</v>
      </c>
      <c r="AB6" s="35">
        <v>1</v>
      </c>
      <c r="AC6" s="34">
        <v>17744</v>
      </c>
      <c r="AD6" s="35">
        <v>1</v>
      </c>
      <c r="AE6" s="34">
        <v>161847.29999999999</v>
      </c>
      <c r="AF6" s="35">
        <v>1</v>
      </c>
      <c r="AG6" s="34">
        <v>18289</v>
      </c>
      <c r="AH6" s="35">
        <v>1</v>
      </c>
      <c r="AI6" s="34">
        <v>19030</v>
      </c>
      <c r="AJ6" s="35">
        <v>1</v>
      </c>
      <c r="AK6" s="34">
        <v>183998</v>
      </c>
      <c r="AL6" s="35">
        <v>1</v>
      </c>
      <c r="AM6" s="34">
        <v>21098</v>
      </c>
      <c r="AN6" s="35">
        <v>1</v>
      </c>
      <c r="AO6" s="34">
        <v>19284</v>
      </c>
      <c r="AP6" s="35">
        <v>1</v>
      </c>
      <c r="AQ6" s="34">
        <v>18242</v>
      </c>
      <c r="AR6" s="35">
        <v>1</v>
      </c>
      <c r="AS6" s="34">
        <v>71482</v>
      </c>
      <c r="AT6" s="35">
        <v>1</v>
      </c>
      <c r="AU6" s="34">
        <v>21703</v>
      </c>
      <c r="AV6" s="35">
        <v>1</v>
      </c>
    </row>
    <row r="7" spans="1:48" x14ac:dyDescent="0.25">
      <c r="A7" s="11" t="s">
        <v>1254</v>
      </c>
      <c r="B7" s="11"/>
      <c r="C7" s="30" t="s">
        <v>1033</v>
      </c>
      <c r="D7" s="31"/>
      <c r="E7" s="30">
        <v>18035</v>
      </c>
      <c r="F7" s="31">
        <v>0.80646603765147795</v>
      </c>
      <c r="G7" s="30">
        <v>24817</v>
      </c>
      <c r="H7" s="31">
        <v>0.94121439678385899</v>
      </c>
      <c r="I7" s="30">
        <v>89561</v>
      </c>
      <c r="J7" s="31">
        <v>0.82903823012126299</v>
      </c>
      <c r="K7" s="30">
        <v>24538</v>
      </c>
      <c r="L7" s="31">
        <v>0.77811954970667496</v>
      </c>
      <c r="M7" s="30">
        <v>25261</v>
      </c>
      <c r="N7" s="31">
        <v>0.79934814252262498</v>
      </c>
      <c r="O7" s="30">
        <v>26271</v>
      </c>
      <c r="P7" s="31">
        <v>1.04665338645418</v>
      </c>
      <c r="Q7" s="30">
        <v>28356</v>
      </c>
      <c r="R7" s="31">
        <v>0.86243498889868897</v>
      </c>
      <c r="S7" s="30">
        <v>10818</v>
      </c>
      <c r="T7" s="31">
        <v>0.71761194029850806</v>
      </c>
      <c r="U7" s="30">
        <v>12421</v>
      </c>
      <c r="V7" s="31">
        <v>0.38384993355789698</v>
      </c>
      <c r="W7" s="30">
        <v>12211</v>
      </c>
      <c r="X7" s="31">
        <v>0.52043643182883703</v>
      </c>
      <c r="Y7" s="30">
        <v>11417</v>
      </c>
      <c r="Z7" s="31">
        <v>-1.1560348319157601</v>
      </c>
      <c r="AA7" s="30">
        <v>13896</v>
      </c>
      <c r="AB7" s="31">
        <v>0.79811613347883503</v>
      </c>
      <c r="AC7" s="30">
        <v>14208</v>
      </c>
      <c r="AD7" s="31">
        <v>0.80076649946457801</v>
      </c>
      <c r="AE7" s="30">
        <v>13295</v>
      </c>
      <c r="AF7" s="31">
        <v>0.79696679055269104</v>
      </c>
      <c r="AG7" s="30">
        <v>15382</v>
      </c>
      <c r="AH7" s="31">
        <v>0.84105199846902501</v>
      </c>
      <c r="AI7" s="30">
        <v>16062</v>
      </c>
      <c r="AJ7" s="31">
        <v>0.844035733053074</v>
      </c>
      <c r="AK7" s="30">
        <v>13304</v>
      </c>
      <c r="AL7" s="31">
        <v>0.79564619340948495</v>
      </c>
      <c r="AM7" s="30">
        <v>15651</v>
      </c>
      <c r="AN7" s="31">
        <v>0.74182386956109603</v>
      </c>
      <c r="AO7" s="30">
        <v>15799</v>
      </c>
      <c r="AP7" s="31">
        <v>0.81923774954627904</v>
      </c>
      <c r="AQ7" s="30">
        <v>14628</v>
      </c>
      <c r="AR7" s="31">
        <v>0.80188575814055496</v>
      </c>
      <c r="AS7" s="30">
        <v>18722</v>
      </c>
      <c r="AT7" s="31">
        <v>0.82283654902650205</v>
      </c>
      <c r="AU7" s="30">
        <v>16881</v>
      </c>
      <c r="AV7" s="31">
        <v>0.77781873473713303</v>
      </c>
    </row>
    <row r="8" spans="1:48" x14ac:dyDescent="0.25">
      <c r="A8" s="11" t="s">
        <v>1255</v>
      </c>
      <c r="B8" s="11"/>
      <c r="C8" s="30" t="s">
        <v>1033</v>
      </c>
      <c r="D8" s="31"/>
      <c r="E8" s="30">
        <v>430</v>
      </c>
      <c r="F8" s="31">
        <v>1.9228189420024099E-2</v>
      </c>
      <c r="G8" s="30">
        <v>-2716</v>
      </c>
      <c r="H8" s="31">
        <v>-0.10300754731292899</v>
      </c>
      <c r="I8" s="30">
        <v>-2268</v>
      </c>
      <c r="J8" s="31">
        <v>-2.0994168286587098E-2</v>
      </c>
      <c r="K8" s="30">
        <v>652</v>
      </c>
      <c r="L8" s="31">
        <v>2.0675439987315698E-2</v>
      </c>
      <c r="M8" s="30">
        <v>607</v>
      </c>
      <c r="N8" s="31">
        <v>1.9207645085754101E-2</v>
      </c>
      <c r="O8" s="30">
        <v>-3131</v>
      </c>
      <c r="P8" s="31">
        <v>-0.12474103585657401</v>
      </c>
      <c r="Q8" s="30">
        <v>-619</v>
      </c>
      <c r="R8" s="31">
        <v>-1.8826606648620701E-2</v>
      </c>
      <c r="S8" s="30">
        <v>-4106</v>
      </c>
      <c r="T8" s="31">
        <v>-0.27237147595356498</v>
      </c>
      <c r="U8" s="30">
        <v>12870</v>
      </c>
      <c r="V8" s="31">
        <v>0.39772551685775198</v>
      </c>
      <c r="W8" s="30">
        <v>3886</v>
      </c>
      <c r="X8" s="31">
        <v>0.165622469419938</v>
      </c>
      <c r="Y8" s="30">
        <v>3182</v>
      </c>
      <c r="Z8" s="31">
        <v>-0.32219522073714102</v>
      </c>
      <c r="AA8" s="30">
        <v>4073</v>
      </c>
      <c r="AB8" s="31">
        <v>0.233932571362931</v>
      </c>
      <c r="AC8" s="30">
        <v>4228</v>
      </c>
      <c r="AD8" s="31">
        <v>0.23829115707602999</v>
      </c>
      <c r="AE8" s="30">
        <v>3487</v>
      </c>
      <c r="AF8" s="31">
        <v>0.209027694521041</v>
      </c>
      <c r="AG8" s="30">
        <v>4375</v>
      </c>
      <c r="AH8" s="31">
        <v>0.23921482858548901</v>
      </c>
      <c r="AI8" s="30">
        <v>4015</v>
      </c>
      <c r="AJ8" s="31">
        <v>0.21098265895953799</v>
      </c>
      <c r="AK8" s="30">
        <v>4276</v>
      </c>
      <c r="AL8" s="31">
        <v>0.255726332157168</v>
      </c>
      <c r="AM8" s="30">
        <v>4509</v>
      </c>
      <c r="AN8" s="31">
        <v>0.21371693999431199</v>
      </c>
      <c r="AO8" s="30">
        <v>5369</v>
      </c>
      <c r="AP8" s="31">
        <v>0.27840290381125199</v>
      </c>
      <c r="AQ8" s="30">
        <v>3899</v>
      </c>
      <c r="AR8" s="31">
        <v>0.21373752877973901</v>
      </c>
      <c r="AS8" s="30">
        <v>4180</v>
      </c>
      <c r="AT8" s="31">
        <v>0.183712037973015</v>
      </c>
      <c r="AU8" s="30">
        <v>4114</v>
      </c>
      <c r="AV8" s="31">
        <v>0.189559047136341</v>
      </c>
    </row>
    <row r="9" spans="1:48" x14ac:dyDescent="0.25">
      <c r="A9" s="11" t="s">
        <v>1256</v>
      </c>
      <c r="B9" s="11"/>
      <c r="C9" s="30" t="s">
        <v>1033</v>
      </c>
      <c r="D9" s="31"/>
      <c r="E9" s="30">
        <v>3422</v>
      </c>
      <c r="F9" s="31">
        <v>0.15302061440772699</v>
      </c>
      <c r="G9" s="30">
        <v>2791</v>
      </c>
      <c r="H9" s="31">
        <v>0.105852011984678</v>
      </c>
      <c r="I9" s="30">
        <v>14377</v>
      </c>
      <c r="J9" s="31">
        <v>0.13308340275849301</v>
      </c>
      <c r="K9" s="30">
        <v>3729</v>
      </c>
      <c r="L9" s="31">
        <v>0.11824956397653399</v>
      </c>
      <c r="M9" s="30">
        <v>2891</v>
      </c>
      <c r="N9" s="31">
        <v>9.1481551800518895E-2</v>
      </c>
      <c r="O9" s="30">
        <v>2716</v>
      </c>
      <c r="P9" s="31">
        <v>0.108207171314741</v>
      </c>
      <c r="Q9" s="30">
        <v>3005</v>
      </c>
      <c r="R9" s="31">
        <v>9.13957237142249E-2</v>
      </c>
      <c r="S9" s="30">
        <v>2452</v>
      </c>
      <c r="T9" s="31">
        <v>0.16265339966832501</v>
      </c>
      <c r="U9" s="30">
        <v>1897</v>
      </c>
      <c r="V9" s="31">
        <v>5.8623566859297302E-2</v>
      </c>
      <c r="W9" s="30">
        <v>2502</v>
      </c>
      <c r="X9" s="31">
        <v>0.10663598005370201</v>
      </c>
      <c r="Y9" s="30">
        <v>2634</v>
      </c>
      <c r="Z9" s="31">
        <v>-0.26670716889428903</v>
      </c>
      <c r="AA9" s="30">
        <v>2874</v>
      </c>
      <c r="AB9" s="31">
        <v>0.16506806042157299</v>
      </c>
      <c r="AC9" s="30">
        <v>2464</v>
      </c>
      <c r="AD9" s="31">
        <v>0.138871667699938</v>
      </c>
      <c r="AE9" s="30">
        <v>2391</v>
      </c>
      <c r="AF9" s="31">
        <v>0.14332813811293599</v>
      </c>
      <c r="AG9" s="30">
        <v>2287</v>
      </c>
      <c r="AH9" s="31">
        <v>0.125047842965717</v>
      </c>
      <c r="AI9" s="30">
        <v>2311</v>
      </c>
      <c r="AJ9" s="31">
        <v>0.121439831844456</v>
      </c>
      <c r="AK9" s="30">
        <v>2573</v>
      </c>
      <c r="AL9" s="31">
        <v>0.153878356557622</v>
      </c>
      <c r="AM9" s="30">
        <v>4518</v>
      </c>
      <c r="AN9" s="31">
        <v>0.21414352071286399</v>
      </c>
      <c r="AO9" s="30">
        <v>2566</v>
      </c>
      <c r="AP9" s="31">
        <v>0.133056779880736</v>
      </c>
      <c r="AQ9" s="30">
        <v>2760</v>
      </c>
      <c r="AR9" s="31">
        <v>0.151299199649161</v>
      </c>
      <c r="AS9" s="30">
        <v>2832</v>
      </c>
      <c r="AT9" s="31">
        <v>0.124467103239133</v>
      </c>
      <c r="AU9" s="30">
        <v>3907</v>
      </c>
      <c r="AV9" s="31">
        <v>0.18002119522646601</v>
      </c>
    </row>
    <row r="10" spans="1:48" x14ac:dyDescent="0.25">
      <c r="A10" s="11" t="s">
        <v>1257</v>
      </c>
      <c r="B10" s="11"/>
      <c r="C10" s="30" t="s">
        <v>1033</v>
      </c>
      <c r="D10" s="31"/>
      <c r="E10" s="30">
        <v>826</v>
      </c>
      <c r="F10" s="31">
        <v>3.6936010374278898E-2</v>
      </c>
      <c r="G10" s="30">
        <v>630</v>
      </c>
      <c r="H10" s="31">
        <v>2.3893503242689702E-2</v>
      </c>
      <c r="I10" s="30">
        <v>3028</v>
      </c>
      <c r="J10" s="31">
        <v>2.8029251133944302E-2</v>
      </c>
      <c r="K10" s="30">
        <v>509</v>
      </c>
      <c r="L10" s="31">
        <v>1.6140795941017898E-2</v>
      </c>
      <c r="M10" s="30">
        <v>940</v>
      </c>
      <c r="N10" s="31">
        <v>2.9744952851085402E-2</v>
      </c>
      <c r="O10" s="30">
        <v>792</v>
      </c>
      <c r="P10" s="31">
        <v>3.15537848605578E-2</v>
      </c>
      <c r="Q10" s="30">
        <v>1127</v>
      </c>
      <c r="R10" s="31">
        <v>3.42771982116244E-2</v>
      </c>
      <c r="S10" s="30">
        <v>1094</v>
      </c>
      <c r="T10" s="31">
        <v>7.2570480928689896E-2</v>
      </c>
      <c r="U10" s="30">
        <v>297</v>
      </c>
      <c r="V10" s="31">
        <v>9.1782811582558198E-3</v>
      </c>
      <c r="W10" s="30">
        <v>243</v>
      </c>
      <c r="X10" s="31">
        <v>1.03567318757192E-2</v>
      </c>
      <c r="Y10" s="30">
        <v>105</v>
      </c>
      <c r="Z10" s="31">
        <v>-1.06318347509113E-2</v>
      </c>
      <c r="AA10" s="30">
        <v>10</v>
      </c>
      <c r="AB10" s="31">
        <v>5.74349549135604E-4</v>
      </c>
      <c r="AC10" s="30">
        <v>191</v>
      </c>
      <c r="AD10" s="31">
        <v>1.0764808656935101E-2</v>
      </c>
      <c r="AE10" s="30">
        <v>163</v>
      </c>
      <c r="AF10" s="31">
        <v>9.7710106701834297E-3</v>
      </c>
      <c r="AG10" s="30">
        <v>-24</v>
      </c>
      <c r="AH10" s="31">
        <v>-1.3122642025261101E-3</v>
      </c>
      <c r="AI10" s="30">
        <v>259</v>
      </c>
      <c r="AJ10" s="31">
        <v>1.36100893326327E-2</v>
      </c>
      <c r="AK10" s="30">
        <v>236</v>
      </c>
      <c r="AL10" s="31">
        <v>1.41139883978231E-2</v>
      </c>
      <c r="AM10" s="30">
        <v>459</v>
      </c>
      <c r="AN10" s="31">
        <v>2.1755616646127601E-2</v>
      </c>
      <c r="AO10" s="30">
        <v>501</v>
      </c>
      <c r="AP10" s="31">
        <v>2.5978739953331598E-2</v>
      </c>
      <c r="AQ10" s="30">
        <v>145</v>
      </c>
      <c r="AR10" s="31">
        <v>7.9486898366407203E-3</v>
      </c>
      <c r="AS10" s="30">
        <v>33</v>
      </c>
      <c r="AT10" s="31">
        <v>1.4503581945238E-3</v>
      </c>
      <c r="AU10" s="30">
        <v>292</v>
      </c>
      <c r="AV10" s="31">
        <v>1.34543611482284E-2</v>
      </c>
    </row>
    <row r="11" spans="1:48" x14ac:dyDescent="0.25">
      <c r="A11" s="11" t="s">
        <v>1258</v>
      </c>
      <c r="B11" s="11"/>
      <c r="C11" s="30" t="s">
        <v>1033</v>
      </c>
      <c r="D11" s="31"/>
      <c r="E11" s="30">
        <v>415</v>
      </c>
      <c r="F11" s="31">
        <v>1.8557438626302401E-2</v>
      </c>
      <c r="G11" s="30">
        <v>382</v>
      </c>
      <c r="H11" s="31">
        <v>1.44878067281071E-2</v>
      </c>
      <c r="I11" s="30">
        <v>1489</v>
      </c>
      <c r="J11" s="31">
        <v>1.3783208368045899E-2</v>
      </c>
      <c r="K11" s="30">
        <v>476</v>
      </c>
      <c r="L11" s="31">
        <v>1.5094339622641499E-2</v>
      </c>
      <c r="M11" s="30">
        <v>325</v>
      </c>
      <c r="N11" s="31">
        <v>1.02841592304285E-2</v>
      </c>
      <c r="O11" s="30">
        <v>401</v>
      </c>
      <c r="P11" s="31">
        <v>1.5976095617529901E-2</v>
      </c>
      <c r="Q11" s="30">
        <v>462</v>
      </c>
      <c r="R11" s="31">
        <v>1.40515222482436E-2</v>
      </c>
      <c r="S11" s="30">
        <v>134</v>
      </c>
      <c r="T11" s="31">
        <v>8.8888888888888906E-3</v>
      </c>
      <c r="U11" s="30">
        <v>220</v>
      </c>
      <c r="V11" s="31">
        <v>6.7987267838932001E-3</v>
      </c>
      <c r="W11" s="30">
        <v>44</v>
      </c>
      <c r="X11" s="31">
        <v>1.8752930145335201E-3</v>
      </c>
      <c r="Y11" s="30">
        <v>258</v>
      </c>
      <c r="Z11" s="31">
        <v>-2.61239368165249E-2</v>
      </c>
      <c r="AA11" s="30">
        <v>102</v>
      </c>
      <c r="AB11" s="31">
        <v>5.8583654011831604E-3</v>
      </c>
      <c r="AC11" s="30">
        <v>167</v>
      </c>
      <c r="AD11" s="31">
        <v>9.4121625429746895E-3</v>
      </c>
      <c r="AE11" s="30">
        <v>268</v>
      </c>
      <c r="AF11" s="31">
        <v>1.6065219997602201E-2</v>
      </c>
      <c r="AG11" s="30">
        <v>261</v>
      </c>
      <c r="AH11" s="31">
        <v>1.4270873202471401E-2</v>
      </c>
      <c r="AI11" s="30">
        <v>229</v>
      </c>
      <c r="AJ11" s="31">
        <v>1.2033631108775599E-2</v>
      </c>
      <c r="AK11" s="30">
        <v>559</v>
      </c>
      <c r="AL11" s="31">
        <v>3.3431014891453899E-2</v>
      </c>
      <c r="AM11" s="30">
        <v>200</v>
      </c>
      <c r="AN11" s="31">
        <v>9.4795715233671404E-3</v>
      </c>
      <c r="AO11" s="30">
        <v>212</v>
      </c>
      <c r="AP11" s="31">
        <v>1.09929997407311E-2</v>
      </c>
      <c r="AQ11" s="30">
        <v>378</v>
      </c>
      <c r="AR11" s="31">
        <v>2.0721412125863401E-2</v>
      </c>
      <c r="AS11" s="30">
        <v>821</v>
      </c>
      <c r="AT11" s="31">
        <v>3.6083153869819397E-2</v>
      </c>
      <c r="AU11" s="30">
        <v>230</v>
      </c>
      <c r="AV11" s="31">
        <v>1.05976132331936E-2</v>
      </c>
    </row>
    <row r="12" spans="1:48" x14ac:dyDescent="0.25">
      <c r="A12" s="11" t="s">
        <v>1259</v>
      </c>
      <c r="B12" s="11"/>
      <c r="C12" s="30" t="s">
        <v>1033</v>
      </c>
      <c r="D12" s="31"/>
      <c r="E12" s="30">
        <v>850</v>
      </c>
      <c r="F12" s="31">
        <v>3.8009211644233799E-2</v>
      </c>
      <c r="G12" s="30">
        <v>874</v>
      </c>
      <c r="H12" s="31">
        <v>3.3147494974779097E-2</v>
      </c>
      <c r="I12" s="30">
        <v>3413</v>
      </c>
      <c r="J12" s="31">
        <v>3.1593075997408099E-2</v>
      </c>
      <c r="K12" s="30">
        <v>856</v>
      </c>
      <c r="L12" s="31">
        <v>2.7144442682733499E-2</v>
      </c>
      <c r="M12" s="30">
        <v>875</v>
      </c>
      <c r="N12" s="31">
        <v>2.7688121004999702E-2</v>
      </c>
      <c r="O12" s="30">
        <v>897</v>
      </c>
      <c r="P12" s="31">
        <v>3.5737051792828697E-2</v>
      </c>
      <c r="Q12" s="30">
        <v>901</v>
      </c>
      <c r="R12" s="31">
        <v>2.7403509839106999E-2</v>
      </c>
      <c r="S12" s="30">
        <v>132</v>
      </c>
      <c r="T12" s="31">
        <v>8.7562189054726392E-3</v>
      </c>
      <c r="U12" s="30">
        <v>124</v>
      </c>
      <c r="V12" s="31">
        <v>3.83200964183071E-3</v>
      </c>
      <c r="W12" s="30">
        <v>115</v>
      </c>
      <c r="X12" s="31">
        <v>4.9013340152580702E-3</v>
      </c>
      <c r="Y12" s="30">
        <v>122</v>
      </c>
      <c r="Z12" s="31">
        <v>-1.23531794248684E-2</v>
      </c>
      <c r="AA12" s="30">
        <v>107</v>
      </c>
      <c r="AB12" s="31">
        <v>6.1455401757509603E-3</v>
      </c>
      <c r="AC12" s="30">
        <v>131</v>
      </c>
      <c r="AD12" s="31">
        <v>7.3831933720340404E-3</v>
      </c>
      <c r="AE12" s="30">
        <v>142</v>
      </c>
      <c r="AF12" s="31">
        <v>8.5121688046996807E-3</v>
      </c>
      <c r="AG12" s="30">
        <v>144</v>
      </c>
      <c r="AH12" s="31">
        <v>7.8735852151566501E-3</v>
      </c>
      <c r="AI12" s="30">
        <v>170</v>
      </c>
      <c r="AJ12" s="31">
        <v>8.9332632685233792E-3</v>
      </c>
      <c r="AK12" s="30">
        <v>198</v>
      </c>
      <c r="AL12" s="31">
        <v>1.18413970456312E-2</v>
      </c>
      <c r="AM12" s="30">
        <v>184</v>
      </c>
      <c r="AN12" s="31">
        <v>8.7212058014977702E-3</v>
      </c>
      <c r="AO12" s="30">
        <v>211</v>
      </c>
      <c r="AP12" s="31">
        <v>1.09411459683692E-2</v>
      </c>
      <c r="AQ12" s="30">
        <v>214</v>
      </c>
      <c r="AR12" s="31">
        <v>1.17311698278698E-2</v>
      </c>
      <c r="AS12" s="30">
        <v>216</v>
      </c>
      <c r="AT12" s="31">
        <v>9.4932536368830499E-3</v>
      </c>
      <c r="AU12" s="30">
        <v>216</v>
      </c>
      <c r="AV12" s="31">
        <v>9.9525411233469998E-3</v>
      </c>
    </row>
    <row r="13" spans="1:48" x14ac:dyDescent="0.25">
      <c r="A13" s="11" t="s">
        <v>1260</v>
      </c>
      <c r="B13" s="11"/>
      <c r="C13" s="30" t="s">
        <v>1033</v>
      </c>
      <c r="D13" s="31"/>
      <c r="E13" s="30">
        <v>202</v>
      </c>
      <c r="F13" s="31">
        <v>9.0327773554532004E-3</v>
      </c>
      <c r="G13" s="30">
        <v>167</v>
      </c>
      <c r="H13" s="31">
        <v>6.3336746690939401E-3</v>
      </c>
      <c r="I13" s="30">
        <v>780</v>
      </c>
      <c r="J13" s="31">
        <v>7.2202166064982004E-3</v>
      </c>
      <c r="K13" s="30">
        <v>143</v>
      </c>
      <c r="L13" s="31">
        <v>4.5346440462977599E-3</v>
      </c>
      <c r="M13" s="30">
        <v>84</v>
      </c>
      <c r="N13" s="31">
        <v>2.6580596164799699E-3</v>
      </c>
      <c r="O13" s="30">
        <v>191</v>
      </c>
      <c r="P13" s="31">
        <v>7.6095617529880503E-3</v>
      </c>
      <c r="Q13" s="30">
        <v>270</v>
      </c>
      <c r="R13" s="31">
        <v>8.2119285866358496E-3</v>
      </c>
      <c r="S13" s="30">
        <v>211</v>
      </c>
      <c r="T13" s="31">
        <v>1.39966832504146E-2</v>
      </c>
      <c r="U13" s="30">
        <v>246</v>
      </c>
      <c r="V13" s="31">
        <v>7.6022126765351201E-3</v>
      </c>
      <c r="W13" s="30">
        <v>526</v>
      </c>
      <c r="X13" s="31">
        <v>2.2418275582832499E-2</v>
      </c>
      <c r="Y13" s="30">
        <v>518</v>
      </c>
      <c r="Z13" s="31">
        <v>-5.24503847711624E-2</v>
      </c>
      <c r="AA13" s="30">
        <v>399</v>
      </c>
      <c r="AB13" s="31">
        <v>2.2916547010510602E-2</v>
      </c>
      <c r="AC13" s="30">
        <v>539</v>
      </c>
      <c r="AD13" s="31">
        <v>3.03781773093614E-2</v>
      </c>
      <c r="AE13" s="30">
        <v>385</v>
      </c>
      <c r="AF13" s="31">
        <v>2.30787675338688E-2</v>
      </c>
      <c r="AG13" s="30">
        <v>546</v>
      </c>
      <c r="AH13" s="31">
        <v>2.9854010607468999E-2</v>
      </c>
      <c r="AI13" s="30">
        <v>339</v>
      </c>
      <c r="AJ13" s="31">
        <v>1.78139779295849E-2</v>
      </c>
      <c r="AK13" s="30">
        <v>320</v>
      </c>
      <c r="AL13" s="31">
        <v>1.9137611386878799E-2</v>
      </c>
      <c r="AM13" s="30">
        <v>330</v>
      </c>
      <c r="AN13" s="31">
        <v>1.5641293013555799E-2</v>
      </c>
      <c r="AO13" s="30">
        <v>208</v>
      </c>
      <c r="AP13" s="31">
        <v>1.07855846512834E-2</v>
      </c>
      <c r="AQ13" s="30">
        <v>93</v>
      </c>
      <c r="AR13" s="31">
        <v>5.0981252055695703E-3</v>
      </c>
      <c r="AS13" s="30">
        <v>123</v>
      </c>
      <c r="AT13" s="31">
        <v>5.40588054322507E-3</v>
      </c>
      <c r="AU13" s="30">
        <v>161</v>
      </c>
      <c r="AV13" s="31">
        <v>7.4183292632354998E-3</v>
      </c>
    </row>
    <row r="14" spans="1:48" x14ac:dyDescent="0.25">
      <c r="A14" s="11" t="s">
        <v>1261</v>
      </c>
      <c r="B14" s="11"/>
      <c r="C14" s="30" t="s">
        <v>1033</v>
      </c>
      <c r="D14" s="31"/>
      <c r="E14" s="30">
        <v>24</v>
      </c>
      <c r="F14" s="31">
        <v>1.0732012699548399E-3</v>
      </c>
      <c r="G14" s="30">
        <v>22</v>
      </c>
      <c r="H14" s="31">
        <v>8.3437630371297497E-4</v>
      </c>
      <c r="I14" s="30">
        <v>94</v>
      </c>
      <c r="J14" s="31">
        <v>8.7012866796260305E-4</v>
      </c>
      <c r="K14" s="30">
        <v>26</v>
      </c>
      <c r="L14" s="31">
        <v>8.2448073569050303E-4</v>
      </c>
      <c r="M14" s="30">
        <v>18</v>
      </c>
      <c r="N14" s="31">
        <v>5.6958420353142201E-4</v>
      </c>
      <c r="O14" s="30">
        <v>22</v>
      </c>
      <c r="P14" s="31">
        <v>8.7649402390438304E-4</v>
      </c>
      <c r="Q14" s="30">
        <v>22</v>
      </c>
      <c r="R14" s="31">
        <v>6.69120107059217E-4</v>
      </c>
      <c r="S14" s="30">
        <v>13</v>
      </c>
      <c r="T14" s="31">
        <v>8.62354892205638E-4</v>
      </c>
      <c r="U14" s="30">
        <v>7</v>
      </c>
      <c r="V14" s="31">
        <v>2.16323124942056E-4</v>
      </c>
      <c r="W14" s="30">
        <v>17</v>
      </c>
      <c r="X14" s="31">
        <v>7.2454502834249702E-4</v>
      </c>
      <c r="Y14" s="30">
        <v>31</v>
      </c>
      <c r="Z14" s="31">
        <v>-3.13892264074524E-3</v>
      </c>
      <c r="AA14" s="30">
        <v>18</v>
      </c>
      <c r="AB14" s="31">
        <v>1.03382918844409E-3</v>
      </c>
      <c r="AC14" s="30">
        <v>22</v>
      </c>
      <c r="AD14" s="31">
        <v>1.2399256044637299E-3</v>
      </c>
      <c r="AE14" s="30">
        <v>20</v>
      </c>
      <c r="AF14" s="31">
        <v>1.19889701474643E-3</v>
      </c>
      <c r="AG14" s="30">
        <v>11</v>
      </c>
      <c r="AH14" s="31">
        <v>6.0145442615779999E-4</v>
      </c>
      <c r="AI14" s="30">
        <v>13</v>
      </c>
      <c r="AJ14" s="31">
        <v>6.8313189700472897E-4</v>
      </c>
      <c r="AK14" s="30">
        <v>-3</v>
      </c>
      <c r="AL14" s="31">
        <v>-1.7941510675198799E-4</v>
      </c>
      <c r="AM14" s="30">
        <v>38</v>
      </c>
      <c r="AN14" s="31">
        <v>1.80111858943976E-3</v>
      </c>
      <c r="AO14" s="30">
        <v>22</v>
      </c>
      <c r="AP14" s="31">
        <v>1.1407829919626699E-3</v>
      </c>
      <c r="AQ14" s="30">
        <v>24</v>
      </c>
      <c r="AR14" s="31">
        <v>1.31564521434053E-3</v>
      </c>
      <c r="AS14" s="30">
        <v>6</v>
      </c>
      <c r="AT14" s="31">
        <v>2.6370148991341802E-4</v>
      </c>
      <c r="AU14" s="30">
        <v>16</v>
      </c>
      <c r="AV14" s="31">
        <v>7.3722526839607402E-4</v>
      </c>
    </row>
    <row r="15" spans="1:48" x14ac:dyDescent="0.25">
      <c r="A15" s="11" t="s">
        <v>1262</v>
      </c>
      <c r="B15" s="11"/>
      <c r="C15" s="30" t="s">
        <v>1033</v>
      </c>
      <c r="D15" s="31"/>
      <c r="E15" s="30">
        <v>-1841</v>
      </c>
      <c r="F15" s="31">
        <v>-8.2323480749452199E-2</v>
      </c>
      <c r="G15" s="30">
        <v>-601</v>
      </c>
      <c r="H15" s="31">
        <v>-2.2793643569613501E-2</v>
      </c>
      <c r="I15" s="30">
        <v>-2446</v>
      </c>
      <c r="J15" s="31">
        <v>-2.2641858742941799E-2</v>
      </c>
      <c r="K15" s="30">
        <v>625</v>
      </c>
      <c r="L15" s="31">
        <v>1.98192484540986E-2</v>
      </c>
      <c r="M15" s="30">
        <v>605</v>
      </c>
      <c r="N15" s="31">
        <v>1.9144357952028401E-2</v>
      </c>
      <c r="O15" s="30">
        <v>-3067</v>
      </c>
      <c r="P15" s="31">
        <v>-0.122191235059761</v>
      </c>
      <c r="Q15" s="30">
        <v>-654</v>
      </c>
      <c r="R15" s="31">
        <v>-1.9891115909851299E-2</v>
      </c>
      <c r="S15" s="30">
        <v>4315</v>
      </c>
      <c r="T15" s="31">
        <v>0.28623548922056402</v>
      </c>
      <c r="U15" s="30">
        <v>4261</v>
      </c>
      <c r="V15" s="31">
        <v>0.131678976482586</v>
      </c>
      <c r="W15" s="30">
        <v>3903</v>
      </c>
      <c r="X15" s="31">
        <v>0.16634701444828001</v>
      </c>
      <c r="Y15" s="30">
        <v>-28150</v>
      </c>
      <c r="Z15" s="31">
        <v>2.8503442689347902</v>
      </c>
      <c r="AA15" s="30">
        <v>-4085</v>
      </c>
      <c r="AB15" s="31">
        <v>-0.23462179082189399</v>
      </c>
      <c r="AC15" s="30">
        <v>-4218</v>
      </c>
      <c r="AD15" s="31">
        <v>-0.23772755452854599</v>
      </c>
      <c r="AE15" s="30">
        <v>-3488</v>
      </c>
      <c r="AF15" s="31">
        <v>-0.20908763937177799</v>
      </c>
      <c r="AG15" s="30">
        <v>-4375</v>
      </c>
      <c r="AH15" s="31">
        <v>-0.23921482858548901</v>
      </c>
      <c r="AI15" s="30">
        <v>-4015</v>
      </c>
      <c r="AJ15" s="31">
        <v>-0.21098265895953799</v>
      </c>
      <c r="AK15" s="30">
        <v>-4276</v>
      </c>
      <c r="AL15" s="31">
        <v>-0.255726332157168</v>
      </c>
      <c r="AM15" s="30">
        <v>-4509</v>
      </c>
      <c r="AN15" s="31">
        <v>-0.21371693999431199</v>
      </c>
      <c r="AO15" s="30">
        <v>-5369</v>
      </c>
      <c r="AP15" s="31">
        <v>-0.27840290381125199</v>
      </c>
      <c r="AQ15" s="30">
        <v>-3899</v>
      </c>
      <c r="AR15" s="31">
        <v>-0.21373752877973901</v>
      </c>
      <c r="AS15" s="30">
        <v>-4180</v>
      </c>
      <c r="AT15" s="31">
        <v>-0.183712037973015</v>
      </c>
      <c r="AU15" s="30">
        <v>-4114</v>
      </c>
      <c r="AV15" s="31">
        <v>-0.189559047136341</v>
      </c>
    </row>
    <row r="16" spans="1:48" x14ac:dyDescent="0.25">
      <c r="A16" s="11" t="s">
        <v>1263</v>
      </c>
      <c r="B16" s="11"/>
      <c r="C16" s="30" t="s">
        <v>1033</v>
      </c>
      <c r="D16" s="31"/>
      <c r="E16" s="30">
        <v>13650.17</v>
      </c>
      <c r="F16" s="31"/>
      <c r="G16" s="30">
        <v>11041</v>
      </c>
      <c r="H16" s="31"/>
      <c r="I16" s="30">
        <v>46353</v>
      </c>
      <c r="J16" s="31"/>
      <c r="K16" s="30">
        <v>13817</v>
      </c>
      <c r="L16" s="31"/>
      <c r="M16" s="30">
        <v>-3819</v>
      </c>
      <c r="N16" s="31"/>
      <c r="O16" s="30" t="s">
        <v>1033</v>
      </c>
      <c r="P16" s="31"/>
      <c r="Q16" s="30">
        <v>-2140</v>
      </c>
      <c r="R16" s="31"/>
      <c r="S16" s="30">
        <v>35647</v>
      </c>
      <c r="T16" s="31"/>
      <c r="U16" s="30" t="s">
        <v>1033</v>
      </c>
      <c r="V16" s="31"/>
      <c r="W16" s="30" t="s">
        <v>1033</v>
      </c>
      <c r="X16" s="31"/>
      <c r="Y16" s="30">
        <v>1</v>
      </c>
      <c r="Z16" s="31"/>
      <c r="AA16" s="30">
        <v>1</v>
      </c>
      <c r="AB16" s="31"/>
      <c r="AC16" s="30">
        <v>1</v>
      </c>
      <c r="AD16" s="31"/>
      <c r="AE16" s="30">
        <v>145165.29999999999</v>
      </c>
      <c r="AF16" s="31"/>
      <c r="AG16" s="30" t="s">
        <v>1033</v>
      </c>
      <c r="AH16" s="31"/>
      <c r="AI16" s="30" t="s">
        <v>1033</v>
      </c>
      <c r="AJ16" s="31"/>
      <c r="AK16" s="30">
        <v>167277</v>
      </c>
      <c r="AL16" s="31"/>
      <c r="AM16" s="30" t="s">
        <v>1033</v>
      </c>
      <c r="AN16" s="31"/>
      <c r="AO16" s="30">
        <v>-1</v>
      </c>
      <c r="AP16" s="31"/>
      <c r="AQ16" s="30">
        <v>0</v>
      </c>
      <c r="AR16" s="31"/>
      <c r="AS16" s="30">
        <v>48729</v>
      </c>
      <c r="AT16" s="31"/>
      <c r="AU16" s="30" t="s">
        <v>1033</v>
      </c>
      <c r="AV16" s="31"/>
    </row>
    <row r="17" spans="1:48" x14ac:dyDescent="0.25">
      <c r="A17" s="11" t="s">
        <v>1264</v>
      </c>
      <c r="B17" s="11"/>
      <c r="C17" s="30" t="s">
        <v>1033</v>
      </c>
      <c r="D17" s="31"/>
      <c r="E17" s="30">
        <v>0</v>
      </c>
      <c r="F17" s="31"/>
      <c r="G17" s="30">
        <v>1</v>
      </c>
      <c r="H17" s="31">
        <v>3.7926195623317E-5</v>
      </c>
      <c r="I17" s="30">
        <v>2</v>
      </c>
      <c r="J17" s="31">
        <v>1.8513375914097899E-5</v>
      </c>
      <c r="K17" s="30">
        <v>-19</v>
      </c>
      <c r="L17" s="31">
        <v>-6.0250515300459796E-4</v>
      </c>
      <c r="M17" s="30">
        <v>-4</v>
      </c>
      <c r="N17" s="31">
        <v>-1.2657426745142701E-4</v>
      </c>
      <c r="O17" s="30">
        <v>8</v>
      </c>
      <c r="P17" s="31">
        <v>3.1872509960159402E-4</v>
      </c>
      <c r="Q17" s="30">
        <v>9</v>
      </c>
      <c r="R17" s="31">
        <v>2.7373095288786201E-4</v>
      </c>
      <c r="S17" s="30">
        <v>12</v>
      </c>
      <c r="T17" s="31">
        <v>7.9601990049751198E-4</v>
      </c>
      <c r="U17" s="30">
        <v>16</v>
      </c>
      <c r="V17" s="31">
        <v>4.9445285701041396E-4</v>
      </c>
      <c r="W17" s="30">
        <v>16</v>
      </c>
      <c r="X17" s="31">
        <v>6.8192473255764398E-4</v>
      </c>
      <c r="Y17" s="30">
        <v>7</v>
      </c>
      <c r="Z17" s="31">
        <v>-7.0878898339408699E-4</v>
      </c>
      <c r="AA17" s="30">
        <v>17</v>
      </c>
      <c r="AB17" s="31">
        <v>9.7639423353052695E-4</v>
      </c>
      <c r="AC17" s="30">
        <v>11</v>
      </c>
      <c r="AD17" s="31">
        <v>6.1996280223186595E-4</v>
      </c>
      <c r="AE17" s="30">
        <v>19</v>
      </c>
      <c r="AF17" s="31">
        <v>1.13895216400911E-3</v>
      </c>
      <c r="AG17" s="30">
        <v>-318</v>
      </c>
      <c r="AH17" s="31">
        <v>-1.7387500683470902E-2</v>
      </c>
      <c r="AI17" s="30">
        <v>-353</v>
      </c>
      <c r="AJ17" s="31">
        <v>-1.85496584340515E-2</v>
      </c>
      <c r="AK17" s="30">
        <v>-466</v>
      </c>
      <c r="AL17" s="31">
        <v>-2.78691465821422E-2</v>
      </c>
      <c r="AM17" s="30">
        <v>-282</v>
      </c>
      <c r="AN17" s="31">
        <v>-1.3366195847947701E-2</v>
      </c>
      <c r="AO17" s="30">
        <v>-234</v>
      </c>
      <c r="AP17" s="31">
        <v>-1.2133782732693801E-2</v>
      </c>
      <c r="AQ17" s="30" t="s">
        <v>1033</v>
      </c>
      <c r="AR17" s="31"/>
      <c r="AS17" s="30" t="s">
        <v>1033</v>
      </c>
      <c r="AT17" s="31"/>
      <c r="AU17" s="30" t="s">
        <v>1033</v>
      </c>
      <c r="AV17" s="31"/>
    </row>
    <row r="18" spans="1:48" x14ac:dyDescent="0.25">
      <c r="A18" s="7" t="s">
        <v>1162</v>
      </c>
      <c r="B18" s="7"/>
      <c r="C18" s="34">
        <v>14530.44</v>
      </c>
      <c r="D18" s="35">
        <v>1</v>
      </c>
      <c r="E18" s="34">
        <v>18489</v>
      </c>
      <c r="F18" s="35">
        <v>1</v>
      </c>
      <c r="G18" s="34">
        <v>10337</v>
      </c>
      <c r="H18" s="35">
        <v>1</v>
      </c>
      <c r="I18" s="34">
        <v>9615</v>
      </c>
      <c r="J18" s="35">
        <v>1</v>
      </c>
      <c r="K18" s="34">
        <v>12217</v>
      </c>
      <c r="L18" s="35">
        <v>1</v>
      </c>
      <c r="M18" s="34">
        <v>11367</v>
      </c>
      <c r="N18" s="35">
        <v>1</v>
      </c>
      <c r="O18" s="34">
        <v>10320</v>
      </c>
      <c r="P18" s="35">
        <v>1</v>
      </c>
      <c r="Q18" s="34">
        <v>11159</v>
      </c>
      <c r="R18" s="35">
        <v>1</v>
      </c>
      <c r="S18" s="34">
        <v>35324</v>
      </c>
      <c r="T18" s="35">
        <v>1</v>
      </c>
      <c r="U18" s="34">
        <v>26162</v>
      </c>
      <c r="V18" s="35">
        <v>1</v>
      </c>
      <c r="W18" s="34">
        <v>41469</v>
      </c>
      <c r="X18" s="35">
        <v>1</v>
      </c>
      <c r="Y18" s="34">
        <v>49514</v>
      </c>
      <c r="Z18" s="35">
        <v>1</v>
      </c>
      <c r="AA18" s="34">
        <v>55493</v>
      </c>
      <c r="AB18" s="35">
        <v>1</v>
      </c>
      <c r="AC18" s="34">
        <v>63019</v>
      </c>
      <c r="AD18" s="35">
        <v>1</v>
      </c>
      <c r="AE18" s="34">
        <v>63164</v>
      </c>
      <c r="AF18" s="35">
        <v>1</v>
      </c>
      <c r="AG18" s="34">
        <v>63102</v>
      </c>
      <c r="AH18" s="35">
        <v>1</v>
      </c>
      <c r="AI18" s="34">
        <v>67913</v>
      </c>
      <c r="AJ18" s="35">
        <v>1</v>
      </c>
      <c r="AK18" s="34">
        <v>74351</v>
      </c>
      <c r="AL18" s="35">
        <v>1</v>
      </c>
      <c r="AM18" s="34">
        <v>73004</v>
      </c>
      <c r="AN18" s="35">
        <v>1</v>
      </c>
      <c r="AO18" s="34">
        <v>69997</v>
      </c>
      <c r="AP18" s="35">
        <v>1</v>
      </c>
      <c r="AQ18" s="34">
        <v>60961</v>
      </c>
      <c r="AR18" s="35">
        <v>1</v>
      </c>
      <c r="AS18" s="34">
        <v>54497</v>
      </c>
      <c r="AT18" s="35">
        <v>1</v>
      </c>
      <c r="AU18" s="34">
        <v>49096</v>
      </c>
      <c r="AV18" s="35">
        <v>1</v>
      </c>
    </row>
    <row r="19" spans="1:48" x14ac:dyDescent="0.25">
      <c r="A19" s="11" t="s">
        <v>1254</v>
      </c>
      <c r="B19" s="11"/>
      <c r="C19" s="30">
        <v>12462</v>
      </c>
      <c r="D19" s="31">
        <v>0.85761475466244597</v>
      </c>
      <c r="E19" s="30">
        <v>11429</v>
      </c>
      <c r="F19" s="31">
        <v>0.86662117076129797</v>
      </c>
      <c r="G19" s="30">
        <v>9017</v>
      </c>
      <c r="H19" s="31">
        <v>0.87230337622134102</v>
      </c>
      <c r="I19" s="30">
        <v>8385</v>
      </c>
      <c r="J19" s="31">
        <v>0.87207488299531999</v>
      </c>
      <c r="K19" s="30">
        <v>8672</v>
      </c>
      <c r="L19" s="31">
        <v>0.88516892926405999</v>
      </c>
      <c r="M19" s="30">
        <v>8461</v>
      </c>
      <c r="N19" s="31">
        <v>0.89119443859279501</v>
      </c>
      <c r="O19" s="30">
        <v>9552</v>
      </c>
      <c r="P19" s="31">
        <v>0.92540205386552998</v>
      </c>
      <c r="Q19" s="30">
        <v>10234</v>
      </c>
      <c r="R19" s="31">
        <v>0.91710726767631501</v>
      </c>
      <c r="S19" s="30">
        <v>26959</v>
      </c>
      <c r="T19" s="31">
        <v>0.76319216396784095</v>
      </c>
      <c r="U19" s="30">
        <v>30762</v>
      </c>
      <c r="V19" s="31">
        <v>1.1758275361210899</v>
      </c>
      <c r="W19" s="30">
        <v>38048</v>
      </c>
      <c r="X19" s="31">
        <v>0.91750464202175097</v>
      </c>
      <c r="Y19" s="30">
        <v>45630</v>
      </c>
      <c r="Z19" s="31">
        <v>0.92155753928181905</v>
      </c>
      <c r="AA19" s="30">
        <v>51207</v>
      </c>
      <c r="AB19" s="31">
        <v>0.92276503342763905</v>
      </c>
      <c r="AC19" s="30">
        <v>58269</v>
      </c>
      <c r="AD19" s="31">
        <v>0.92464057888222395</v>
      </c>
      <c r="AE19" s="30">
        <v>57006</v>
      </c>
      <c r="AF19" s="31">
        <v>0.90250775758343404</v>
      </c>
      <c r="AG19" s="30">
        <v>57322</v>
      </c>
      <c r="AH19" s="31">
        <v>0.90840226934170099</v>
      </c>
      <c r="AI19" s="30">
        <v>61501</v>
      </c>
      <c r="AJ19" s="31">
        <v>0.90558508680223204</v>
      </c>
      <c r="AK19" s="30">
        <v>68147</v>
      </c>
      <c r="AL19" s="31">
        <v>0.91655794811098701</v>
      </c>
      <c r="AM19" s="30">
        <v>67635</v>
      </c>
      <c r="AN19" s="31">
        <v>0.92645608459810402</v>
      </c>
      <c r="AO19" s="30">
        <v>65447</v>
      </c>
      <c r="AP19" s="31">
        <v>0.93498385668161899</v>
      </c>
      <c r="AQ19" s="30">
        <v>56409</v>
      </c>
      <c r="AR19" s="31">
        <v>0.92532930890241305</v>
      </c>
      <c r="AS19" s="30">
        <v>50584</v>
      </c>
      <c r="AT19" s="31">
        <v>0.92819788245224499</v>
      </c>
      <c r="AU19" s="30">
        <v>45930</v>
      </c>
      <c r="AV19" s="31">
        <v>0.93551409483461001</v>
      </c>
    </row>
    <row r="20" spans="1:48" x14ac:dyDescent="0.25">
      <c r="A20" s="11" t="s">
        <v>1257</v>
      </c>
      <c r="B20" s="11"/>
      <c r="C20" s="30">
        <v>3453</v>
      </c>
      <c r="D20" s="31">
        <v>0.237629894707866</v>
      </c>
      <c r="E20" s="30">
        <v>2960</v>
      </c>
      <c r="F20" s="31">
        <v>0.224446466484683</v>
      </c>
      <c r="G20" s="30">
        <v>2258</v>
      </c>
      <c r="H20" s="31">
        <v>0.218438618554706</v>
      </c>
      <c r="I20" s="30">
        <v>2767</v>
      </c>
      <c r="J20" s="31">
        <v>0.28777951118044698</v>
      </c>
      <c r="K20" s="30">
        <v>2782</v>
      </c>
      <c r="L20" s="31">
        <v>0.28396447892211901</v>
      </c>
      <c r="M20" s="30">
        <v>2796</v>
      </c>
      <c r="N20" s="31">
        <v>0.29450179060459197</v>
      </c>
      <c r="O20" s="30">
        <v>3036</v>
      </c>
      <c r="P20" s="31">
        <v>0.294129044758768</v>
      </c>
      <c r="Q20" s="30">
        <v>3649</v>
      </c>
      <c r="R20" s="31">
        <v>0.32700062729635299</v>
      </c>
      <c r="S20" s="30">
        <v>4410</v>
      </c>
      <c r="T20" s="31">
        <v>0.124844298493942</v>
      </c>
      <c r="U20" s="30">
        <v>5116</v>
      </c>
      <c r="V20" s="31">
        <v>0.195550798868588</v>
      </c>
      <c r="W20" s="30">
        <v>5875</v>
      </c>
      <c r="X20" s="31">
        <v>0.14167209240637599</v>
      </c>
      <c r="Y20" s="30">
        <v>5440</v>
      </c>
      <c r="Z20" s="31">
        <v>0.109867916144929</v>
      </c>
      <c r="AA20" s="30">
        <v>6244</v>
      </c>
      <c r="AB20" s="31">
        <v>0.11251869605175401</v>
      </c>
      <c r="AC20" s="30">
        <v>6721</v>
      </c>
      <c r="AD20" s="31">
        <v>0.10665206766320701</v>
      </c>
      <c r="AE20" s="30">
        <v>7036</v>
      </c>
      <c r="AF20" s="31">
        <v>0.111392565385346</v>
      </c>
      <c r="AG20" s="30">
        <v>7459</v>
      </c>
      <c r="AH20" s="31">
        <v>0.118205445152293</v>
      </c>
      <c r="AI20" s="30">
        <v>7509</v>
      </c>
      <c r="AJ20" s="31">
        <v>0.11056793250187701</v>
      </c>
      <c r="AK20" s="30">
        <v>6988</v>
      </c>
      <c r="AL20" s="31">
        <v>9.3986630980081004E-2</v>
      </c>
      <c r="AM20" s="30">
        <v>6843</v>
      </c>
      <c r="AN20" s="31">
        <v>9.3734589885485706E-2</v>
      </c>
      <c r="AO20" s="30">
        <v>6821</v>
      </c>
      <c r="AP20" s="31">
        <v>9.7445641304037295E-2</v>
      </c>
      <c r="AQ20" s="30">
        <v>5438</v>
      </c>
      <c r="AR20" s="31">
        <v>8.9204573415790397E-2</v>
      </c>
      <c r="AS20" s="30">
        <v>4716</v>
      </c>
      <c r="AT20" s="31">
        <v>8.6536873589371899E-2</v>
      </c>
      <c r="AU20" s="30">
        <v>3850</v>
      </c>
      <c r="AV20" s="31">
        <v>7.8417793710281902E-2</v>
      </c>
    </row>
    <row r="21" spans="1:48" x14ac:dyDescent="0.25">
      <c r="A21" s="11" t="s">
        <v>1258</v>
      </c>
      <c r="B21" s="11"/>
      <c r="C21" s="30">
        <v>448</v>
      </c>
      <c r="D21" s="31">
        <v>3.0830637946459301E-2</v>
      </c>
      <c r="E21" s="30">
        <v>372</v>
      </c>
      <c r="F21" s="31">
        <v>2.8207461328480399E-2</v>
      </c>
      <c r="G21" s="30">
        <v>604</v>
      </c>
      <c r="H21" s="31">
        <v>5.8430879365386497E-2</v>
      </c>
      <c r="I21" s="30">
        <v>377</v>
      </c>
      <c r="J21" s="31">
        <v>3.9209568382735302E-2</v>
      </c>
      <c r="K21" s="30" t="s">
        <v>1033</v>
      </c>
      <c r="L21" s="31"/>
      <c r="M21" s="30">
        <v>342</v>
      </c>
      <c r="N21" s="31">
        <v>3.6022751211291303E-2</v>
      </c>
      <c r="O21" s="30">
        <v>330</v>
      </c>
      <c r="P21" s="31">
        <v>3.1970548343344299E-2</v>
      </c>
      <c r="Q21" s="30">
        <v>381</v>
      </c>
      <c r="R21" s="31">
        <v>3.41428443408908E-2</v>
      </c>
      <c r="S21" s="30">
        <v>445</v>
      </c>
      <c r="T21" s="31">
        <v>1.2597667308345601E-2</v>
      </c>
      <c r="U21" s="30">
        <v>470</v>
      </c>
      <c r="V21" s="31">
        <v>1.7964987386285498E-2</v>
      </c>
      <c r="W21" s="30">
        <v>567</v>
      </c>
      <c r="X21" s="31">
        <v>1.3672864067134499E-2</v>
      </c>
      <c r="Y21" s="30">
        <v>680</v>
      </c>
      <c r="Z21" s="31">
        <v>1.37334895181161E-2</v>
      </c>
      <c r="AA21" s="30">
        <v>775</v>
      </c>
      <c r="AB21" s="31">
        <v>1.3965725406808099E-2</v>
      </c>
      <c r="AC21" s="30">
        <v>853</v>
      </c>
      <c r="AD21" s="31">
        <v>1.35358151639214E-2</v>
      </c>
      <c r="AE21" s="30">
        <v>977</v>
      </c>
      <c r="AF21" s="31">
        <v>1.5467671458425701E-2</v>
      </c>
      <c r="AG21" s="30">
        <v>1013</v>
      </c>
      <c r="AH21" s="31">
        <v>1.60533739025704E-2</v>
      </c>
      <c r="AI21" s="30">
        <v>1143</v>
      </c>
      <c r="AJ21" s="31">
        <v>1.68303564855035E-2</v>
      </c>
      <c r="AK21" s="30">
        <v>1084</v>
      </c>
      <c r="AL21" s="31">
        <v>1.4579494559589E-2</v>
      </c>
      <c r="AM21" s="30">
        <v>892</v>
      </c>
      <c r="AN21" s="31">
        <v>1.22185085748726E-2</v>
      </c>
      <c r="AO21" s="30">
        <v>935</v>
      </c>
      <c r="AP21" s="31">
        <v>1.33575245007E-2</v>
      </c>
      <c r="AQ21" s="30">
        <v>833</v>
      </c>
      <c r="AR21" s="31">
        <v>1.3664474007972299E-2</v>
      </c>
      <c r="AS21" s="30">
        <v>876</v>
      </c>
      <c r="AT21" s="31">
        <v>1.6074279318127601E-2</v>
      </c>
      <c r="AU21" s="30">
        <v>790</v>
      </c>
      <c r="AV21" s="31">
        <v>1.60909239041877E-2</v>
      </c>
    </row>
    <row r="22" spans="1:48" x14ac:dyDescent="0.25">
      <c r="A22" s="11" t="s">
        <v>1256</v>
      </c>
      <c r="B22" s="11"/>
      <c r="C22" s="30" t="s">
        <v>1033</v>
      </c>
      <c r="D22" s="31"/>
      <c r="E22" s="30" t="s">
        <v>1033</v>
      </c>
      <c r="F22" s="31"/>
      <c r="G22" s="30" t="s">
        <v>1033</v>
      </c>
      <c r="H22" s="31"/>
      <c r="I22" s="30" t="s">
        <v>1033</v>
      </c>
      <c r="J22" s="31"/>
      <c r="K22" s="30" t="s">
        <v>1033</v>
      </c>
      <c r="L22" s="31"/>
      <c r="M22" s="30" t="s">
        <v>1033</v>
      </c>
      <c r="N22" s="31"/>
      <c r="O22" s="30" t="s">
        <v>1033</v>
      </c>
      <c r="P22" s="31"/>
      <c r="Q22" s="30" t="s">
        <v>1033</v>
      </c>
      <c r="R22" s="31"/>
      <c r="S22" s="30">
        <v>3</v>
      </c>
      <c r="T22" s="31">
        <v>8.4928094213565901E-5</v>
      </c>
      <c r="U22" s="30">
        <v>118</v>
      </c>
      <c r="V22" s="31">
        <v>4.5103585352801803E-3</v>
      </c>
      <c r="W22" s="30">
        <v>-79</v>
      </c>
      <c r="X22" s="31">
        <v>-1.9050374978899899E-3</v>
      </c>
      <c r="Y22" s="30">
        <v>-31</v>
      </c>
      <c r="Z22" s="31">
        <v>-6.2608555156117495E-4</v>
      </c>
      <c r="AA22" s="30">
        <v>3</v>
      </c>
      <c r="AB22" s="31">
        <v>5.4060872542482799E-5</v>
      </c>
      <c r="AC22" s="30">
        <v>1</v>
      </c>
      <c r="AD22" s="31">
        <v>1.58684820210099E-5</v>
      </c>
      <c r="AE22" s="30">
        <v>2</v>
      </c>
      <c r="AF22" s="31">
        <v>3.1663605851434401E-5</v>
      </c>
      <c r="AG22" s="30">
        <v>2</v>
      </c>
      <c r="AH22" s="31">
        <v>3.1694716490761E-5</v>
      </c>
      <c r="AI22" s="30">
        <v>2</v>
      </c>
      <c r="AJ22" s="31">
        <v>2.9449442669297501E-5</v>
      </c>
      <c r="AK22" s="30">
        <v>2</v>
      </c>
      <c r="AL22" s="31">
        <v>2.68994364568062E-5</v>
      </c>
      <c r="AM22" s="30">
        <v>2</v>
      </c>
      <c r="AN22" s="31">
        <v>2.7395759136485699E-5</v>
      </c>
      <c r="AO22" s="30">
        <v>2</v>
      </c>
      <c r="AP22" s="31">
        <v>2.8572244921283501E-5</v>
      </c>
      <c r="AQ22" s="30">
        <v>1</v>
      </c>
      <c r="AR22" s="31">
        <v>1.64039303817195E-5</v>
      </c>
      <c r="AS22" s="30">
        <v>5</v>
      </c>
      <c r="AT22" s="31">
        <v>9.1748169624015995E-5</v>
      </c>
      <c r="AU22" s="30">
        <v>5</v>
      </c>
      <c r="AV22" s="31">
        <v>1.01841290532834E-4</v>
      </c>
    </row>
    <row r="23" spans="1:48" x14ac:dyDescent="0.25">
      <c r="A23" s="11" t="s">
        <v>1255</v>
      </c>
      <c r="B23" s="11"/>
      <c r="C23" s="30">
        <v>-1832</v>
      </c>
      <c r="D23" s="31">
        <v>-0.12607528731677101</v>
      </c>
      <c r="E23" s="30">
        <v>-1573</v>
      </c>
      <c r="F23" s="31">
        <v>-0.119275098574462</v>
      </c>
      <c r="G23" s="30">
        <v>-1316</v>
      </c>
      <c r="H23" s="31">
        <v>-0.127309664312663</v>
      </c>
      <c r="I23" s="30">
        <v>-1914</v>
      </c>
      <c r="J23" s="31">
        <v>-0.19906396255850201</v>
      </c>
      <c r="K23" s="30">
        <v>-2030</v>
      </c>
      <c r="L23" s="31">
        <v>-0.20720628763907301</v>
      </c>
      <c r="M23" s="30">
        <v>-2105</v>
      </c>
      <c r="N23" s="31">
        <v>-0.22171898040867899</v>
      </c>
      <c r="O23" s="30">
        <v>-2596</v>
      </c>
      <c r="P23" s="31">
        <v>-0.25150164696764199</v>
      </c>
      <c r="Q23" s="30">
        <v>-3105</v>
      </c>
      <c r="R23" s="31">
        <v>-0.27825073931355898</v>
      </c>
      <c r="S23" s="30">
        <v>3507</v>
      </c>
      <c r="T23" s="31">
        <v>9.9280942135658495E-2</v>
      </c>
      <c r="U23" s="30">
        <v>-10304</v>
      </c>
      <c r="V23" s="31">
        <v>-0.39385368091124501</v>
      </c>
      <c r="W23" s="30">
        <v>-2943</v>
      </c>
      <c r="X23" s="31">
        <v>-7.0968675396078998E-2</v>
      </c>
      <c r="Y23" s="30">
        <v>-2204</v>
      </c>
      <c r="Z23" s="31">
        <v>-4.4512663085188003E-2</v>
      </c>
      <c r="AA23" s="30">
        <v>-2736</v>
      </c>
      <c r="AB23" s="31">
        <v>-4.9303515758744303E-2</v>
      </c>
      <c r="AC23" s="30">
        <v>-2826</v>
      </c>
      <c r="AD23" s="31">
        <v>-4.4844330191373898E-2</v>
      </c>
      <c r="AE23" s="30">
        <v>-1857</v>
      </c>
      <c r="AF23" s="31">
        <v>-2.9399658033056799E-2</v>
      </c>
      <c r="AG23" s="30">
        <v>-2694</v>
      </c>
      <c r="AH23" s="31">
        <v>-4.2692783113055098E-2</v>
      </c>
      <c r="AI23" s="30">
        <v>-2242</v>
      </c>
      <c r="AJ23" s="31">
        <v>-3.3012825232282501E-2</v>
      </c>
      <c r="AK23" s="30">
        <v>-1870</v>
      </c>
      <c r="AL23" s="31">
        <v>-2.5150973087113799E-2</v>
      </c>
      <c r="AM23" s="30">
        <v>-2368</v>
      </c>
      <c r="AN23" s="31">
        <v>-3.2436578817599003E-2</v>
      </c>
      <c r="AO23" s="30">
        <v>-3208</v>
      </c>
      <c r="AP23" s="31">
        <v>-4.5829880853738701E-2</v>
      </c>
      <c r="AQ23" s="30">
        <v>-1720</v>
      </c>
      <c r="AR23" s="31">
        <v>-2.8214760256557499E-2</v>
      </c>
      <c r="AS23" s="30">
        <v>-1684</v>
      </c>
      <c r="AT23" s="31">
        <v>-3.0900783529368599E-2</v>
      </c>
      <c r="AU23" s="30">
        <v>-1479</v>
      </c>
      <c r="AV23" s="31">
        <v>-3.0124653739612199E-2</v>
      </c>
    </row>
    <row r="24" spans="1:48" x14ac:dyDescent="0.25">
      <c r="A24" s="11" t="s">
        <v>1263</v>
      </c>
      <c r="B24" s="11"/>
      <c r="C24" s="30">
        <v>-0.56000000000000005</v>
      </c>
      <c r="D24" s="31"/>
      <c r="E24" s="30">
        <v>5301</v>
      </c>
      <c r="F24" s="31"/>
      <c r="G24" s="30">
        <v>0</v>
      </c>
      <c r="H24" s="31"/>
      <c r="I24" s="30" t="s">
        <v>1033</v>
      </c>
      <c r="J24" s="31"/>
      <c r="K24" s="30">
        <v>2420</v>
      </c>
      <c r="L24" s="31"/>
      <c r="M24" s="30">
        <v>1873</v>
      </c>
      <c r="N24" s="31"/>
      <c r="O24" s="30">
        <v>-2</v>
      </c>
      <c r="P24" s="31"/>
      <c r="Q24" s="30" t="s">
        <v>1033</v>
      </c>
      <c r="R24" s="31"/>
      <c r="S24" s="30" t="s">
        <v>1033</v>
      </c>
      <c r="T24" s="31"/>
      <c r="U24" s="30" t="s">
        <v>1033</v>
      </c>
      <c r="V24" s="31"/>
      <c r="W24" s="30" t="s">
        <v>1033</v>
      </c>
      <c r="X24" s="31"/>
      <c r="Y24" s="30">
        <v>0</v>
      </c>
      <c r="Z24" s="31"/>
      <c r="AA24" s="30" t="s">
        <v>1033</v>
      </c>
      <c r="AB24" s="31"/>
      <c r="AC24" s="30">
        <v>1</v>
      </c>
      <c r="AD24" s="31"/>
      <c r="AE24" s="30">
        <v>0</v>
      </c>
      <c r="AF24" s="31"/>
      <c r="AG24" s="30" t="s">
        <v>1033</v>
      </c>
      <c r="AH24" s="31"/>
      <c r="AI24" s="30" t="s">
        <v>1033</v>
      </c>
      <c r="AJ24" s="31"/>
      <c r="AK24" s="30">
        <v>0</v>
      </c>
      <c r="AL24" s="31"/>
      <c r="AM24" s="30" t="s">
        <v>1033</v>
      </c>
      <c r="AN24" s="31"/>
      <c r="AO24" s="30">
        <v>-1</v>
      </c>
      <c r="AP24" s="31"/>
      <c r="AQ24" s="30">
        <v>0</v>
      </c>
      <c r="AR24" s="31"/>
      <c r="AS24" s="30" t="s">
        <v>1033</v>
      </c>
      <c r="AT24" s="31"/>
      <c r="AU24" s="30" t="s">
        <v>1033</v>
      </c>
      <c r="AV24" s="31"/>
    </row>
    <row r="25" spans="1:48" x14ac:dyDescent="0.25">
      <c r="A25" s="11" t="s">
        <v>1259</v>
      </c>
      <c r="B25" s="11"/>
      <c r="C25" s="30" t="s">
        <v>1033</v>
      </c>
      <c r="D25" s="31"/>
      <c r="E25" s="30" t="s">
        <v>1033</v>
      </c>
      <c r="F25" s="31"/>
      <c r="G25" s="30" t="s">
        <v>1033</v>
      </c>
      <c r="H25" s="31"/>
      <c r="I25" s="30" t="s">
        <v>1033</v>
      </c>
      <c r="J25" s="31"/>
      <c r="K25" s="30" t="s">
        <v>1033</v>
      </c>
      <c r="L25" s="31"/>
      <c r="M25" s="30" t="s">
        <v>1033</v>
      </c>
      <c r="N25" s="31"/>
      <c r="O25" s="30" t="s">
        <v>1033</v>
      </c>
      <c r="P25" s="31"/>
      <c r="Q25" s="30" t="s">
        <v>1033</v>
      </c>
      <c r="R25" s="31"/>
      <c r="S25" s="30" t="s">
        <v>1033</v>
      </c>
      <c r="T25" s="31"/>
      <c r="U25" s="30" t="s">
        <v>1033</v>
      </c>
      <c r="V25" s="31"/>
      <c r="W25" s="30" t="s">
        <v>1033</v>
      </c>
      <c r="X25" s="31"/>
      <c r="Y25" s="30" t="s">
        <v>1033</v>
      </c>
      <c r="Z25" s="31"/>
      <c r="AA25" s="30" t="s">
        <v>1033</v>
      </c>
      <c r="AB25" s="31"/>
      <c r="AC25" s="30" t="s">
        <v>1033</v>
      </c>
      <c r="AD25" s="31"/>
      <c r="AE25" s="30" t="s">
        <v>1033</v>
      </c>
      <c r="AF25" s="31"/>
      <c r="AG25" s="30">
        <v>0</v>
      </c>
      <c r="AH25" s="31"/>
      <c r="AI25" s="30" t="s">
        <v>1033</v>
      </c>
      <c r="AJ25" s="31"/>
      <c r="AK25" s="30" t="s">
        <v>1033</v>
      </c>
      <c r="AL25" s="31"/>
      <c r="AM25" s="30" t="s">
        <v>1033</v>
      </c>
      <c r="AN25" s="31"/>
      <c r="AO25" s="30" t="s">
        <v>1033</v>
      </c>
      <c r="AP25" s="31"/>
      <c r="AQ25" s="30" t="s">
        <v>1033</v>
      </c>
      <c r="AR25" s="31"/>
      <c r="AS25" s="30" t="s">
        <v>1033</v>
      </c>
      <c r="AT25" s="31"/>
      <c r="AU25" s="30" t="s">
        <v>1033</v>
      </c>
      <c r="AV25" s="31"/>
    </row>
    <row r="26" spans="1:48" x14ac:dyDescent="0.25">
      <c r="A26" s="11" t="s">
        <v>1262</v>
      </c>
      <c r="B26" s="11"/>
      <c r="C26" s="30" t="s">
        <v>1033</v>
      </c>
      <c r="D26" s="31"/>
      <c r="E26" s="30" t="s">
        <v>1033</v>
      </c>
      <c r="F26" s="31"/>
      <c r="G26" s="30" t="s">
        <v>1033</v>
      </c>
      <c r="H26" s="31"/>
      <c r="I26" s="30" t="s">
        <v>1033</v>
      </c>
      <c r="J26" s="31"/>
      <c r="K26" s="30" t="s">
        <v>1033</v>
      </c>
      <c r="L26" s="31"/>
      <c r="M26" s="30" t="s">
        <v>1033</v>
      </c>
      <c r="N26" s="31"/>
      <c r="O26" s="30" t="s">
        <v>1033</v>
      </c>
      <c r="P26" s="31"/>
      <c r="Q26" s="30" t="s">
        <v>1033</v>
      </c>
      <c r="R26" s="31"/>
      <c r="S26" s="30" t="s">
        <v>1033</v>
      </c>
      <c r="T26" s="31"/>
      <c r="U26" s="30" t="s">
        <v>1033</v>
      </c>
      <c r="V26" s="31"/>
      <c r="W26" s="30" t="s">
        <v>1033</v>
      </c>
      <c r="X26" s="31"/>
      <c r="Y26" s="30" t="s">
        <v>1033</v>
      </c>
      <c r="Z26" s="31"/>
      <c r="AA26" s="30" t="s">
        <v>1033</v>
      </c>
      <c r="AB26" s="31"/>
      <c r="AC26" s="30" t="s">
        <v>1033</v>
      </c>
      <c r="AD26" s="31"/>
      <c r="AE26" s="30" t="s">
        <v>1033</v>
      </c>
      <c r="AF26" s="31"/>
      <c r="AG26" s="30">
        <v>0</v>
      </c>
      <c r="AH26" s="31"/>
      <c r="AI26" s="30" t="s">
        <v>1033</v>
      </c>
      <c r="AJ26" s="31"/>
      <c r="AK26" s="30" t="s">
        <v>1033</v>
      </c>
      <c r="AL26" s="31"/>
      <c r="AM26" s="30" t="s">
        <v>1033</v>
      </c>
      <c r="AN26" s="31"/>
      <c r="AO26" s="30" t="s">
        <v>1033</v>
      </c>
      <c r="AP26" s="31"/>
      <c r="AQ26" s="30" t="s">
        <v>1033</v>
      </c>
      <c r="AR26" s="31"/>
      <c r="AS26" s="30" t="s">
        <v>1033</v>
      </c>
      <c r="AT26" s="31"/>
      <c r="AU26" s="30" t="s">
        <v>1033</v>
      </c>
      <c r="AV26" s="31"/>
    </row>
    <row r="27" spans="1:48" x14ac:dyDescent="0.25">
      <c r="A27" s="11" t="s">
        <v>1264</v>
      </c>
      <c r="B27" s="11"/>
      <c r="C27" s="30" t="s">
        <v>1033</v>
      </c>
      <c r="D27" s="31"/>
      <c r="E27" s="30" t="s">
        <v>1033</v>
      </c>
      <c r="F27" s="31"/>
      <c r="G27" s="30" t="s">
        <v>1033</v>
      </c>
      <c r="H27" s="31"/>
      <c r="I27" s="30" t="s">
        <v>1033</v>
      </c>
      <c r="J27" s="31"/>
      <c r="K27" s="30" t="s">
        <v>1033</v>
      </c>
      <c r="L27" s="31"/>
      <c r="M27" s="30" t="s">
        <v>1033</v>
      </c>
      <c r="N27" s="31"/>
      <c r="O27" s="30" t="s">
        <v>1033</v>
      </c>
      <c r="P27" s="31"/>
      <c r="Q27" s="30" t="s">
        <v>1033</v>
      </c>
      <c r="R27" s="31"/>
      <c r="S27" s="30" t="s">
        <v>1033</v>
      </c>
      <c r="T27" s="31"/>
      <c r="U27" s="30" t="s">
        <v>1033</v>
      </c>
      <c r="V27" s="31"/>
      <c r="W27" s="30" t="s">
        <v>1033</v>
      </c>
      <c r="X27" s="31"/>
      <c r="Y27" s="30" t="s">
        <v>1033</v>
      </c>
      <c r="Z27" s="31"/>
      <c r="AA27" s="30" t="s">
        <v>1033</v>
      </c>
      <c r="AB27" s="31"/>
      <c r="AC27" s="30" t="s">
        <v>1033</v>
      </c>
      <c r="AD27" s="31"/>
      <c r="AE27" s="30">
        <v>0</v>
      </c>
      <c r="AF27" s="31"/>
      <c r="AG27" s="30">
        <v>0</v>
      </c>
      <c r="AH27" s="31"/>
      <c r="AI27" s="30" t="s">
        <v>1033</v>
      </c>
      <c r="AJ27" s="31"/>
      <c r="AK27" s="30">
        <v>0</v>
      </c>
      <c r="AL27" s="31"/>
      <c r="AM27" s="30">
        <v>0</v>
      </c>
      <c r="AN27" s="31"/>
      <c r="AO27" s="30">
        <v>1</v>
      </c>
      <c r="AP27" s="31">
        <v>1.42861224606417E-5</v>
      </c>
      <c r="AQ27" s="30" t="s">
        <v>1033</v>
      </c>
      <c r="AR27" s="31"/>
      <c r="AS27" s="30" t="s">
        <v>1033</v>
      </c>
      <c r="AT27" s="31"/>
      <c r="AU27" s="30" t="s">
        <v>1033</v>
      </c>
      <c r="AV27" s="31"/>
    </row>
    <row r="28" spans="1:48" x14ac:dyDescent="0.25">
      <c r="A28" s="11" t="s">
        <v>1261</v>
      </c>
      <c r="B28" s="11"/>
      <c r="C28" s="30">
        <v>0</v>
      </c>
      <c r="D28" s="31"/>
      <c r="E28" s="30">
        <v>0</v>
      </c>
      <c r="F28" s="31"/>
      <c r="G28" s="30">
        <v>-226</v>
      </c>
      <c r="H28" s="31">
        <v>-2.1863209828770401E-2</v>
      </c>
      <c r="I28" s="30">
        <v>0</v>
      </c>
      <c r="J28" s="31"/>
      <c r="K28" s="30">
        <v>373</v>
      </c>
      <c r="L28" s="31">
        <v>3.8072879452893699E-2</v>
      </c>
      <c r="M28" s="30" t="s">
        <v>1033</v>
      </c>
      <c r="N28" s="31"/>
      <c r="O28" s="30" t="s">
        <v>1033</v>
      </c>
      <c r="P28" s="31"/>
      <c r="Q28" s="30">
        <v>0</v>
      </c>
      <c r="R28" s="31"/>
      <c r="S28" s="30" t="s">
        <v>1033</v>
      </c>
      <c r="T28" s="31"/>
      <c r="U28" s="30" t="s">
        <v>1033</v>
      </c>
      <c r="V28" s="31"/>
      <c r="W28" s="30">
        <v>1</v>
      </c>
      <c r="X28" s="31">
        <v>2.4114398707468201E-5</v>
      </c>
      <c r="Y28" s="30">
        <v>-1</v>
      </c>
      <c r="Z28" s="31">
        <v>-2.0196308114876601E-5</v>
      </c>
      <c r="AA28" s="30" t="s">
        <v>1033</v>
      </c>
      <c r="AB28" s="31"/>
      <c r="AC28" s="30" t="s">
        <v>1033</v>
      </c>
      <c r="AD28" s="31"/>
      <c r="AE28" s="30">
        <v>0</v>
      </c>
      <c r="AF28" s="31"/>
      <c r="AG28" s="30">
        <v>0</v>
      </c>
      <c r="AH28" s="31"/>
      <c r="AI28" s="30" t="s">
        <v>1033</v>
      </c>
      <c r="AJ28" s="31"/>
      <c r="AK28" s="30">
        <v>0</v>
      </c>
      <c r="AL28" s="31"/>
      <c r="AM28" s="30" t="s">
        <v>1033</v>
      </c>
      <c r="AN28" s="31"/>
      <c r="AO28" s="30">
        <v>0</v>
      </c>
      <c r="AP28" s="31"/>
      <c r="AQ28" s="30" t="s">
        <v>1033</v>
      </c>
      <c r="AR28" s="31"/>
      <c r="AS28" s="30" t="s">
        <v>1033</v>
      </c>
      <c r="AT28" s="31"/>
      <c r="AU28" s="30" t="s">
        <v>1033</v>
      </c>
      <c r="AV28" s="31"/>
    </row>
    <row r="29" spans="1:48" x14ac:dyDescent="0.25">
      <c r="A29" s="11" t="s">
        <v>1260</v>
      </c>
      <c r="B29" s="11"/>
      <c r="C29" s="30" t="s">
        <v>1033</v>
      </c>
      <c r="D29" s="31"/>
      <c r="E29" s="30" t="s">
        <v>1033</v>
      </c>
      <c r="F29" s="31"/>
      <c r="G29" s="30" t="s">
        <v>1033</v>
      </c>
      <c r="H29" s="31"/>
      <c r="I29" s="30" t="s">
        <v>1033</v>
      </c>
      <c r="J29" s="31"/>
      <c r="K29" s="30" t="s">
        <v>1033</v>
      </c>
      <c r="L29" s="31"/>
      <c r="M29" s="30" t="s">
        <v>1033</v>
      </c>
      <c r="N29" s="31"/>
      <c r="O29" s="30" t="s">
        <v>1033</v>
      </c>
      <c r="P29" s="31"/>
      <c r="Q29" s="30" t="s">
        <v>1033</v>
      </c>
      <c r="R29" s="31"/>
      <c r="S29" s="30" t="s">
        <v>1033</v>
      </c>
      <c r="T29" s="31"/>
      <c r="U29" s="30" t="s">
        <v>1033</v>
      </c>
      <c r="V29" s="31"/>
      <c r="W29" s="30" t="s">
        <v>1033</v>
      </c>
      <c r="X29" s="31"/>
      <c r="Y29" s="30" t="s">
        <v>1033</v>
      </c>
      <c r="Z29" s="31"/>
      <c r="AA29" s="30" t="s">
        <v>1033</v>
      </c>
      <c r="AB29" s="31"/>
      <c r="AC29" s="30" t="s">
        <v>1033</v>
      </c>
      <c r="AD29" s="31"/>
      <c r="AE29" s="30" t="s">
        <v>1033</v>
      </c>
      <c r="AF29" s="31"/>
      <c r="AG29" s="30">
        <v>0</v>
      </c>
      <c r="AH29" s="31"/>
      <c r="AI29" s="30" t="s">
        <v>1033</v>
      </c>
      <c r="AJ29" s="31"/>
      <c r="AK29" s="30" t="s">
        <v>1033</v>
      </c>
      <c r="AL29" s="31"/>
      <c r="AM29" s="30" t="s">
        <v>1033</v>
      </c>
      <c r="AN29" s="31"/>
      <c r="AO29" s="30" t="s">
        <v>1033</v>
      </c>
      <c r="AP29" s="31"/>
      <c r="AQ29" s="30" t="s">
        <v>1033</v>
      </c>
      <c r="AR29" s="31"/>
      <c r="AS29" s="30" t="s">
        <v>1033</v>
      </c>
      <c r="AT29" s="31"/>
      <c r="AU29" s="30" t="s">
        <v>1033</v>
      </c>
      <c r="AV29" s="31"/>
    </row>
    <row r="30" spans="1:48" x14ac:dyDescent="0.25">
      <c r="A30" s="7" t="s">
        <v>1265</v>
      </c>
      <c r="B30" s="7"/>
      <c r="C30" s="34">
        <v>36929.35</v>
      </c>
      <c r="D30" s="35">
        <v>1</v>
      </c>
      <c r="E30" s="34">
        <v>25643.94</v>
      </c>
      <c r="F30" s="35">
        <v>1</v>
      </c>
      <c r="G30" s="34">
        <v>33248.9</v>
      </c>
      <c r="H30" s="35">
        <v>1</v>
      </c>
      <c r="I30" s="34">
        <v>30651.8</v>
      </c>
      <c r="J30" s="35">
        <v>1</v>
      </c>
      <c r="K30" s="34">
        <v>32220</v>
      </c>
      <c r="L30" s="35">
        <v>1</v>
      </c>
      <c r="M30" s="34">
        <v>31653</v>
      </c>
      <c r="N30" s="35">
        <v>1</v>
      </c>
      <c r="O30" s="34">
        <v>33234.378793000003</v>
      </c>
      <c r="P30" s="35">
        <v>1</v>
      </c>
      <c r="Q30" s="34">
        <v>37615.621206999997</v>
      </c>
      <c r="R30" s="35">
        <v>1</v>
      </c>
      <c r="S30" s="34">
        <v>62345</v>
      </c>
      <c r="T30" s="35">
        <v>1</v>
      </c>
      <c r="U30" s="34">
        <v>66816</v>
      </c>
      <c r="V30" s="35">
        <v>1</v>
      </c>
      <c r="W30" s="34">
        <v>78329</v>
      </c>
      <c r="X30" s="35">
        <v>1</v>
      </c>
      <c r="Y30" s="34">
        <v>61138</v>
      </c>
      <c r="Z30" s="35">
        <v>1</v>
      </c>
      <c r="AA30" s="34">
        <v>87223</v>
      </c>
      <c r="AB30" s="35">
        <v>1</v>
      </c>
      <c r="AC30" s="34">
        <v>91542</v>
      </c>
      <c r="AD30" s="35">
        <v>1</v>
      </c>
      <c r="AE30" s="34">
        <v>97202</v>
      </c>
      <c r="AF30" s="35">
        <v>1</v>
      </c>
      <c r="AG30" s="34">
        <v>95041</v>
      </c>
      <c r="AH30" s="35">
        <v>1</v>
      </c>
      <c r="AI30" s="34">
        <v>103921</v>
      </c>
      <c r="AJ30" s="35">
        <v>1</v>
      </c>
      <c r="AK30" s="34">
        <v>110988</v>
      </c>
      <c r="AL30" s="35">
        <v>1</v>
      </c>
      <c r="AM30" s="34">
        <v>109082</v>
      </c>
      <c r="AN30" s="35">
        <v>1</v>
      </c>
      <c r="AO30" s="34">
        <v>105832</v>
      </c>
      <c r="AP30" s="35">
        <v>1</v>
      </c>
      <c r="AQ30" s="34">
        <v>97578</v>
      </c>
      <c r="AR30" s="35">
        <v>1</v>
      </c>
      <c r="AS30" s="34">
        <v>92614</v>
      </c>
      <c r="AT30" s="35">
        <v>1</v>
      </c>
      <c r="AU30" s="34">
        <v>91548</v>
      </c>
      <c r="AV30" s="35">
        <v>1</v>
      </c>
    </row>
    <row r="31" spans="1:48" x14ac:dyDescent="0.25">
      <c r="A31" s="11" t="s">
        <v>1254</v>
      </c>
      <c r="B31" s="11"/>
      <c r="C31" s="30">
        <v>29978</v>
      </c>
      <c r="D31" s="31">
        <v>0.80982224863579899</v>
      </c>
      <c r="E31" s="30">
        <v>28851</v>
      </c>
      <c r="F31" s="31">
        <v>1.12906508042109</v>
      </c>
      <c r="G31" s="30">
        <v>26518</v>
      </c>
      <c r="H31" s="31">
        <v>0.79454681647940095</v>
      </c>
      <c r="I31" s="30">
        <v>25327</v>
      </c>
      <c r="J31" s="31">
        <v>0.82630256761606502</v>
      </c>
      <c r="K31" s="30">
        <v>24843</v>
      </c>
      <c r="L31" s="31">
        <v>0.67633126429271495</v>
      </c>
      <c r="M31" s="30">
        <v>25345</v>
      </c>
      <c r="N31" s="31">
        <v>0.71197820102252896</v>
      </c>
      <c r="O31" s="30">
        <v>26621</v>
      </c>
      <c r="P31" s="31">
        <v>1.07442386083868</v>
      </c>
      <c r="Q31" s="30">
        <v>28061</v>
      </c>
      <c r="R31" s="31">
        <v>0.74598575074436402</v>
      </c>
      <c r="S31" s="30">
        <v>46022</v>
      </c>
      <c r="T31" s="31">
        <v>0.73818269307883599</v>
      </c>
      <c r="U31" s="30">
        <v>50905</v>
      </c>
      <c r="V31" s="31">
        <v>0.76186841475095801</v>
      </c>
      <c r="W31" s="30">
        <v>60095</v>
      </c>
      <c r="X31" s="31">
        <v>0.76721265431704699</v>
      </c>
      <c r="Y31" s="30">
        <v>69620</v>
      </c>
      <c r="Z31" s="31">
        <v>1.13871669474476</v>
      </c>
      <c r="AA31" s="30">
        <v>75326</v>
      </c>
      <c r="AB31" s="31">
        <v>0.86360249016887702</v>
      </c>
      <c r="AC31" s="30">
        <v>82864</v>
      </c>
      <c r="AD31" s="31">
        <v>0.90521187227581101</v>
      </c>
      <c r="AE31" s="30">
        <v>83320</v>
      </c>
      <c r="AF31" s="31">
        <v>0.85718400855949495</v>
      </c>
      <c r="AG31" s="30">
        <v>84172</v>
      </c>
      <c r="AH31" s="31">
        <v>0.88563882955776996</v>
      </c>
      <c r="AI31" s="30">
        <v>89149</v>
      </c>
      <c r="AJ31" s="31">
        <v>0.85787007188290898</v>
      </c>
      <c r="AK31" s="30">
        <v>97077</v>
      </c>
      <c r="AL31" s="31">
        <v>0.87463848420142198</v>
      </c>
      <c r="AM31" s="30">
        <v>96160</v>
      </c>
      <c r="AN31" s="31">
        <v>0.881538658990484</v>
      </c>
      <c r="AO31" s="30">
        <v>93961</v>
      </c>
      <c r="AP31" s="31">
        <v>0.88781487990626795</v>
      </c>
      <c r="AQ31" s="30">
        <v>86824</v>
      </c>
      <c r="AR31" s="31">
        <v>0.88981808864975698</v>
      </c>
      <c r="AS31" s="30">
        <v>80159</v>
      </c>
      <c r="AT31" s="31">
        <v>0.86550774712519596</v>
      </c>
      <c r="AU31" s="30">
        <v>76742</v>
      </c>
      <c r="AV31" s="31">
        <v>0.83827063398435797</v>
      </c>
    </row>
    <row r="32" spans="1:48" x14ac:dyDescent="0.25">
      <c r="A32" s="11" t="s">
        <v>1256</v>
      </c>
      <c r="B32" s="11"/>
      <c r="C32" s="30">
        <v>4003</v>
      </c>
      <c r="D32" s="31">
        <v>0.10813658220325199</v>
      </c>
      <c r="E32" s="30">
        <v>995</v>
      </c>
      <c r="F32" s="31">
        <v>3.8938676476343297E-2</v>
      </c>
      <c r="G32" s="30">
        <v>4491</v>
      </c>
      <c r="H32" s="31">
        <v>0.13456179775280899</v>
      </c>
      <c r="I32" s="30">
        <v>3239</v>
      </c>
      <c r="J32" s="31">
        <v>0.105673550618251</v>
      </c>
      <c r="K32" s="30">
        <v>5413</v>
      </c>
      <c r="L32" s="31">
        <v>0.14736469563323501</v>
      </c>
      <c r="M32" s="30">
        <v>4139</v>
      </c>
      <c r="N32" s="31">
        <v>0.11627057699870801</v>
      </c>
      <c r="O32" s="30">
        <v>4692</v>
      </c>
      <c r="P32" s="31">
        <v>0.189369173023368</v>
      </c>
      <c r="Q32" s="30">
        <v>7539</v>
      </c>
      <c r="R32" s="31">
        <v>0.20042003402807301</v>
      </c>
      <c r="S32" s="30">
        <v>6175</v>
      </c>
      <c r="T32" s="31">
        <v>9.9045633170262298E-2</v>
      </c>
      <c r="U32" s="30">
        <v>6012</v>
      </c>
      <c r="V32" s="31">
        <v>8.99784482758621E-2</v>
      </c>
      <c r="W32" s="30">
        <v>7718</v>
      </c>
      <c r="X32" s="31">
        <v>9.8533110342274299E-2</v>
      </c>
      <c r="Y32" s="30">
        <v>6163</v>
      </c>
      <c r="Z32" s="31">
        <v>0.10080308804527401</v>
      </c>
      <c r="AA32" s="30">
        <v>6949</v>
      </c>
      <c r="AB32" s="31">
        <v>7.9669353266913503E-2</v>
      </c>
      <c r="AC32" s="30">
        <v>2977</v>
      </c>
      <c r="AD32" s="31">
        <v>3.2520946898111198E-2</v>
      </c>
      <c r="AE32" s="30">
        <v>6883</v>
      </c>
      <c r="AF32" s="31">
        <v>7.0811300179008704E-2</v>
      </c>
      <c r="AG32" s="30">
        <v>3996</v>
      </c>
      <c r="AH32" s="31">
        <v>4.2045012152649899E-2</v>
      </c>
      <c r="AI32" s="30">
        <v>7476</v>
      </c>
      <c r="AJ32" s="31">
        <v>7.1940646080120102E-2</v>
      </c>
      <c r="AK32" s="30">
        <v>6832</v>
      </c>
      <c r="AL32" s="31">
        <v>6.1554540458235399E-2</v>
      </c>
      <c r="AM32" s="30">
        <v>6420</v>
      </c>
      <c r="AN32" s="31">
        <v>5.8854806475862199E-2</v>
      </c>
      <c r="AO32" s="30">
        <v>6342</v>
      </c>
      <c r="AP32" s="31">
        <v>5.9924031974601701E-2</v>
      </c>
      <c r="AQ32" s="30">
        <v>5282</v>
      </c>
      <c r="AR32" s="31">
        <v>5.41327184217269E-2</v>
      </c>
      <c r="AS32" s="30">
        <v>7676</v>
      </c>
      <c r="AT32" s="31">
        <v>8.2880742860227799E-2</v>
      </c>
      <c r="AU32" s="30">
        <v>7891</v>
      </c>
      <c r="AV32" s="31">
        <v>8.6195219993882993E-2</v>
      </c>
    </row>
    <row r="33" spans="1:48" x14ac:dyDescent="0.25">
      <c r="A33" s="11" t="s">
        <v>1257</v>
      </c>
      <c r="B33" s="11"/>
      <c r="C33" s="30" t="s">
        <v>1033</v>
      </c>
      <c r="D33" s="31"/>
      <c r="E33" s="30" t="s">
        <v>1033</v>
      </c>
      <c r="F33" s="31"/>
      <c r="G33" s="30">
        <v>2612</v>
      </c>
      <c r="H33" s="31">
        <v>7.8262172284644202E-2</v>
      </c>
      <c r="I33" s="30">
        <v>3031</v>
      </c>
      <c r="J33" s="31">
        <v>9.8887475123160706E-2</v>
      </c>
      <c r="K33" s="30">
        <v>3401</v>
      </c>
      <c r="L33" s="31">
        <v>9.2589567679407597E-2</v>
      </c>
      <c r="M33" s="30">
        <v>3082</v>
      </c>
      <c r="N33" s="31">
        <v>8.65778976346986E-2</v>
      </c>
      <c r="O33" s="30">
        <v>3557</v>
      </c>
      <c r="P33" s="31">
        <v>0.14356056019695701</v>
      </c>
      <c r="Q33" s="30">
        <v>4004</v>
      </c>
      <c r="R33" s="31">
        <v>0.106444066354743</v>
      </c>
      <c r="S33" s="30">
        <v>5475</v>
      </c>
      <c r="T33" s="31">
        <v>8.7817788114523995E-2</v>
      </c>
      <c r="U33" s="30">
        <v>5617</v>
      </c>
      <c r="V33" s="31">
        <v>8.4066690613026795E-2</v>
      </c>
      <c r="W33" s="30">
        <v>6241</v>
      </c>
      <c r="X33" s="31">
        <v>7.9676748075425394E-2</v>
      </c>
      <c r="Y33" s="30">
        <v>5648</v>
      </c>
      <c r="Z33" s="31">
        <v>9.2379659464498901E-2</v>
      </c>
      <c r="AA33" s="30">
        <v>6381</v>
      </c>
      <c r="AB33" s="31">
        <v>7.3157309425266298E-2</v>
      </c>
      <c r="AC33" s="30">
        <v>6987</v>
      </c>
      <c r="AD33" s="31">
        <v>7.6326454812597602E-2</v>
      </c>
      <c r="AE33" s="30">
        <v>7288</v>
      </c>
      <c r="AF33" s="31">
        <v>7.4977881113557299E-2</v>
      </c>
      <c r="AG33" s="30">
        <v>7745</v>
      </c>
      <c r="AH33" s="31">
        <v>8.1491145926494896E-2</v>
      </c>
      <c r="AI33" s="30">
        <v>7797</v>
      </c>
      <c r="AJ33" s="31">
        <v>7.5029590354025705E-2</v>
      </c>
      <c r="AK33" s="30">
        <v>7219</v>
      </c>
      <c r="AL33" s="31">
        <v>6.50413096557379E-2</v>
      </c>
      <c r="AM33" s="30">
        <v>7196</v>
      </c>
      <c r="AN33" s="31">
        <v>6.5968720778863593E-2</v>
      </c>
      <c r="AO33" s="30">
        <v>7206</v>
      </c>
      <c r="AP33" s="31">
        <v>6.8087760077101905E-2</v>
      </c>
      <c r="AQ33" s="30">
        <v>5832</v>
      </c>
      <c r="AR33" s="31">
        <v>5.9769408147578799E-2</v>
      </c>
      <c r="AS33" s="30">
        <v>5031</v>
      </c>
      <c r="AT33" s="31">
        <v>5.4321654159693297E-2</v>
      </c>
      <c r="AU33" s="30">
        <v>4143</v>
      </c>
      <c r="AV33" s="31">
        <v>4.5254948223882603E-2</v>
      </c>
    </row>
    <row r="34" spans="1:48" x14ac:dyDescent="0.25">
      <c r="A34" s="11" t="s">
        <v>1262</v>
      </c>
      <c r="B34" s="11"/>
      <c r="C34" s="30">
        <v>1881</v>
      </c>
      <c r="D34" s="31">
        <v>5.0813117942622499E-2</v>
      </c>
      <c r="E34" s="30">
        <v>-5391</v>
      </c>
      <c r="F34" s="31">
        <v>-0.21097327124016699</v>
      </c>
      <c r="G34" s="30">
        <v>-1375</v>
      </c>
      <c r="H34" s="31">
        <v>-4.11985018726592E-2</v>
      </c>
      <c r="I34" s="30">
        <v>-1968</v>
      </c>
      <c r="J34" s="31">
        <v>-6.4206714299696599E-2</v>
      </c>
      <c r="K34" s="30">
        <v>2080</v>
      </c>
      <c r="L34" s="31">
        <v>5.66263748230426E-2</v>
      </c>
      <c r="M34" s="30">
        <v>2149</v>
      </c>
      <c r="N34" s="31">
        <v>6.0368560031462397E-2</v>
      </c>
      <c r="O34" s="30">
        <v>-11103</v>
      </c>
      <c r="P34" s="31">
        <v>-0.44811720547281803</v>
      </c>
      <c r="Q34" s="30">
        <v>-3152</v>
      </c>
      <c r="R34" s="31">
        <v>-8.3794130157379895E-2</v>
      </c>
      <c r="S34" s="30">
        <v>3556</v>
      </c>
      <c r="T34" s="31">
        <v>5.7037452883150201E-2</v>
      </c>
      <c r="U34" s="30">
        <v>3294</v>
      </c>
      <c r="V34" s="31">
        <v>4.9299568965517203E-2</v>
      </c>
      <c r="W34" s="30">
        <v>2950</v>
      </c>
      <c r="X34" s="31">
        <v>3.76616578789465E-2</v>
      </c>
      <c r="Y34" s="30">
        <v>-21815</v>
      </c>
      <c r="Z34" s="31">
        <v>-0.356809892212826</v>
      </c>
      <c r="AA34" s="30">
        <v>-2749</v>
      </c>
      <c r="AB34" s="31">
        <v>-3.1516916409662601E-2</v>
      </c>
      <c r="AC34" s="30">
        <v>-2856</v>
      </c>
      <c r="AD34" s="31">
        <v>-3.11991348139085E-2</v>
      </c>
      <c r="AE34" s="30">
        <v>-1880</v>
      </c>
      <c r="AF34" s="31">
        <v>-1.9341165819633299E-2</v>
      </c>
      <c r="AG34" s="30">
        <v>-2712</v>
      </c>
      <c r="AH34" s="31">
        <v>-2.8535053292789402E-2</v>
      </c>
      <c r="AI34" s="30">
        <v>-2272</v>
      </c>
      <c r="AJ34" s="31">
        <v>-2.1863181901288501E-2</v>
      </c>
      <c r="AK34" s="30">
        <v>-1890</v>
      </c>
      <c r="AL34" s="31">
        <v>-1.7028407708733099E-2</v>
      </c>
      <c r="AM34" s="30">
        <v>-2391</v>
      </c>
      <c r="AN34" s="31">
        <v>-2.1919290075356201E-2</v>
      </c>
      <c r="AO34" s="30">
        <v>-3227</v>
      </c>
      <c r="AP34" s="31">
        <v>-3.0491146512462899E-2</v>
      </c>
      <c r="AQ34" s="30">
        <v>-1733</v>
      </c>
      <c r="AR34" s="31">
        <v>-1.77606968998207E-2</v>
      </c>
      <c r="AS34" s="30">
        <v>-1693</v>
      </c>
      <c r="AT34" s="31">
        <v>-1.8279976245748501E-2</v>
      </c>
      <c r="AU34" s="30">
        <v>1487</v>
      </c>
      <c r="AV34" s="31">
        <v>1.62428452833486E-2</v>
      </c>
    </row>
    <row r="35" spans="1:48" x14ac:dyDescent="0.25">
      <c r="A35" s="11" t="s">
        <v>1258</v>
      </c>
      <c r="B35" s="11"/>
      <c r="C35" s="30">
        <v>651</v>
      </c>
      <c r="D35" s="31">
        <v>1.7586039224161201E-2</v>
      </c>
      <c r="E35" s="30">
        <v>655</v>
      </c>
      <c r="F35" s="31">
        <v>2.56329980824169E-2</v>
      </c>
      <c r="G35" s="30">
        <v>722</v>
      </c>
      <c r="H35" s="31">
        <v>2.1632958801498101E-2</v>
      </c>
      <c r="I35" s="30">
        <v>632</v>
      </c>
      <c r="J35" s="31">
        <v>2.0619229388927001E-2</v>
      </c>
      <c r="K35" s="30">
        <v>614</v>
      </c>
      <c r="L35" s="31">
        <v>1.67156702602635E-2</v>
      </c>
      <c r="M35" s="30">
        <v>576</v>
      </c>
      <c r="N35" s="31">
        <v>1.61806843081072E-2</v>
      </c>
      <c r="O35" s="30">
        <v>580</v>
      </c>
      <c r="P35" s="31">
        <v>2.34088065544658E-2</v>
      </c>
      <c r="Q35" s="30">
        <v>644</v>
      </c>
      <c r="R35" s="31">
        <v>1.7120374308804798E-2</v>
      </c>
      <c r="S35" s="30">
        <v>617</v>
      </c>
      <c r="T35" s="31">
        <v>9.8965434277007002E-3</v>
      </c>
      <c r="U35" s="30">
        <v>664</v>
      </c>
      <c r="V35" s="31">
        <v>9.9377394636015297E-3</v>
      </c>
      <c r="W35" s="30">
        <v>729</v>
      </c>
      <c r="X35" s="31">
        <v>9.3068978283905104E-3</v>
      </c>
      <c r="Y35" s="30">
        <v>839</v>
      </c>
      <c r="Z35" s="31">
        <v>1.37228283092625E-2</v>
      </c>
      <c r="AA35" s="30">
        <v>840</v>
      </c>
      <c r="AB35" s="31">
        <v>9.6304873714501901E-3</v>
      </c>
      <c r="AC35" s="30">
        <v>961</v>
      </c>
      <c r="AD35" s="31">
        <v>1.04980282059405E-2</v>
      </c>
      <c r="AE35" s="30">
        <v>1123</v>
      </c>
      <c r="AF35" s="31">
        <v>1.1553260220983101E-2</v>
      </c>
      <c r="AG35" s="30">
        <v>1204</v>
      </c>
      <c r="AH35" s="31">
        <v>1.26682168748224E-2</v>
      </c>
      <c r="AI35" s="30">
        <v>1329</v>
      </c>
      <c r="AJ35" s="31">
        <v>1.2788806666730801E-2</v>
      </c>
      <c r="AK35" s="30">
        <v>1331</v>
      </c>
      <c r="AL35" s="31">
        <v>1.1991963312340599E-2</v>
      </c>
      <c r="AM35" s="30">
        <v>1269</v>
      </c>
      <c r="AN35" s="31">
        <v>1.1633450065088599E-2</v>
      </c>
      <c r="AO35" s="30">
        <v>1249</v>
      </c>
      <c r="AP35" s="31">
        <v>1.18015004629892E-2</v>
      </c>
      <c r="AQ35" s="30">
        <v>1215</v>
      </c>
      <c r="AR35" s="31">
        <v>1.24519600307456E-2</v>
      </c>
      <c r="AS35" s="30">
        <v>1258</v>
      </c>
      <c r="AT35" s="31">
        <v>1.35831128866814E-2</v>
      </c>
      <c r="AU35" s="30">
        <v>1075</v>
      </c>
      <c r="AV35" s="31">
        <v>1.17424738934766E-2</v>
      </c>
    </row>
    <row r="36" spans="1:48" x14ac:dyDescent="0.25">
      <c r="A36" s="11" t="s">
        <v>1260</v>
      </c>
      <c r="B36" s="11"/>
      <c r="C36" s="30">
        <v>260</v>
      </c>
      <c r="D36" s="31">
        <v>7.0236101356097001E-3</v>
      </c>
      <c r="E36" s="30">
        <v>202</v>
      </c>
      <c r="F36" s="31">
        <v>7.9051383399209498E-3</v>
      </c>
      <c r="G36" s="30">
        <v>167</v>
      </c>
      <c r="H36" s="31">
        <v>5.0037453183520604E-3</v>
      </c>
      <c r="I36" s="30">
        <v>151</v>
      </c>
      <c r="J36" s="31">
        <v>4.9264298065315997E-3</v>
      </c>
      <c r="K36" s="30">
        <v>143</v>
      </c>
      <c r="L36" s="31">
        <v>3.8930632690841798E-3</v>
      </c>
      <c r="M36" s="30">
        <v>73</v>
      </c>
      <c r="N36" s="31">
        <v>2.0506770043260901E-3</v>
      </c>
      <c r="O36" s="30">
        <v>191</v>
      </c>
      <c r="P36" s="31">
        <v>7.7087621584533998E-3</v>
      </c>
      <c r="Q36" s="30">
        <v>270</v>
      </c>
      <c r="R36" s="31">
        <v>7.1777966822628696E-3</v>
      </c>
      <c r="S36" s="30">
        <v>236</v>
      </c>
      <c r="T36" s="31">
        <v>3.7853877616488901E-3</v>
      </c>
      <c r="U36" s="30">
        <v>275</v>
      </c>
      <c r="V36" s="31">
        <v>4.1157806513409997E-3</v>
      </c>
      <c r="W36" s="30">
        <v>557</v>
      </c>
      <c r="X36" s="31">
        <v>7.1110316740926102E-3</v>
      </c>
      <c r="Y36" s="30">
        <v>645</v>
      </c>
      <c r="Z36" s="31">
        <v>1.05497309409706E-2</v>
      </c>
      <c r="AA36" s="30">
        <v>429</v>
      </c>
      <c r="AB36" s="31">
        <v>4.9184274789906297E-3</v>
      </c>
      <c r="AC36" s="30">
        <v>565</v>
      </c>
      <c r="AD36" s="31">
        <v>6.1720977485498303E-3</v>
      </c>
      <c r="AE36" s="30">
        <v>414</v>
      </c>
      <c r="AF36" s="31">
        <v>4.25917162198309E-3</v>
      </c>
      <c r="AG36" s="30">
        <v>574</v>
      </c>
      <c r="AH36" s="31">
        <v>6.0394987426479101E-3</v>
      </c>
      <c r="AI36" s="30">
        <v>369</v>
      </c>
      <c r="AJ36" s="31">
        <v>3.5508424830877901E-3</v>
      </c>
      <c r="AK36" s="30">
        <v>348</v>
      </c>
      <c r="AL36" s="31">
        <v>3.13538935589372E-3</v>
      </c>
      <c r="AM36" s="30">
        <v>360</v>
      </c>
      <c r="AN36" s="31">
        <v>3.3002695220109598E-3</v>
      </c>
      <c r="AO36" s="30">
        <v>242</v>
      </c>
      <c r="AP36" s="31">
        <v>2.2865997694502698E-3</v>
      </c>
      <c r="AQ36" s="30">
        <v>125</v>
      </c>
      <c r="AR36" s="31">
        <v>1.28106584678452E-3</v>
      </c>
      <c r="AS36" s="30">
        <v>154</v>
      </c>
      <c r="AT36" s="31">
        <v>1.6627976029800801E-3</v>
      </c>
      <c r="AU36" s="30">
        <v>176</v>
      </c>
      <c r="AV36" s="31">
        <v>1.92248874907153E-3</v>
      </c>
    </row>
    <row r="37" spans="1:48" x14ac:dyDescent="0.25">
      <c r="A37" s="11" t="s">
        <v>1261</v>
      </c>
      <c r="B37" s="11"/>
      <c r="C37" s="30">
        <v>21</v>
      </c>
      <c r="D37" s="31">
        <v>5.6729158787616803E-4</v>
      </c>
      <c r="E37" s="30">
        <v>19</v>
      </c>
      <c r="F37" s="31">
        <v>7.4355261613117795E-4</v>
      </c>
      <c r="G37" s="30">
        <v>17</v>
      </c>
      <c r="H37" s="31">
        <v>5.0936329588015001E-4</v>
      </c>
      <c r="I37" s="30">
        <v>19</v>
      </c>
      <c r="J37" s="31">
        <v>6.1988189618609503E-4</v>
      </c>
      <c r="K37" s="30">
        <v>17</v>
      </c>
      <c r="L37" s="31">
        <v>4.6281171730371299E-4</v>
      </c>
      <c r="M37" s="30">
        <v>13</v>
      </c>
      <c r="N37" s="31">
        <v>3.6518905556491902E-4</v>
      </c>
      <c r="O37" s="30">
        <v>15</v>
      </c>
      <c r="P37" s="31">
        <v>6.0540016951204695E-4</v>
      </c>
      <c r="Q37" s="30">
        <v>15</v>
      </c>
      <c r="R37" s="31">
        <v>3.9876648234793698E-4</v>
      </c>
      <c r="S37" s="30">
        <v>18</v>
      </c>
      <c r="T37" s="31">
        <v>2.8871601571898298E-4</v>
      </c>
      <c r="U37" s="30">
        <v>16</v>
      </c>
      <c r="V37" s="31">
        <v>2.3946360153256701E-4</v>
      </c>
      <c r="W37" s="30">
        <v>18</v>
      </c>
      <c r="X37" s="31">
        <v>2.29799946380013E-4</v>
      </c>
      <c r="Y37" s="30">
        <v>18</v>
      </c>
      <c r="Z37" s="31">
        <v>2.9441109602708598E-4</v>
      </c>
      <c r="AA37" s="30">
        <v>25</v>
      </c>
      <c r="AB37" s="31">
        <v>2.8662164795982699E-4</v>
      </c>
      <c r="AC37" s="30">
        <v>23</v>
      </c>
      <c r="AD37" s="31">
        <v>2.5125353666662997E-4</v>
      </c>
      <c r="AE37" s="30">
        <v>26</v>
      </c>
      <c r="AF37" s="31">
        <v>2.6748420814386501E-4</v>
      </c>
      <c r="AG37" s="30">
        <v>23</v>
      </c>
      <c r="AH37" s="31">
        <v>2.4200082069843499E-4</v>
      </c>
      <c r="AI37" s="30">
        <v>24</v>
      </c>
      <c r="AJ37" s="31">
        <v>2.3094910459107599E-4</v>
      </c>
      <c r="AK37" s="30">
        <v>21</v>
      </c>
      <c r="AL37" s="31">
        <v>1.8920453009703501E-4</v>
      </c>
      <c r="AM37" s="30">
        <v>28</v>
      </c>
      <c r="AN37" s="31">
        <v>2.5668762948974198E-4</v>
      </c>
      <c r="AO37" s="30">
        <v>27</v>
      </c>
      <c r="AP37" s="31">
        <v>2.5511650320312902E-4</v>
      </c>
      <c r="AQ37" s="30">
        <v>27</v>
      </c>
      <c r="AR37" s="31">
        <v>2.76710222905457E-4</v>
      </c>
      <c r="AS37" s="30">
        <v>26</v>
      </c>
      <c r="AT37" s="31">
        <v>2.8073206284079302E-4</v>
      </c>
      <c r="AU37" s="30">
        <v>30</v>
      </c>
      <c r="AV37" s="31">
        <v>3.2769694586446497E-4</v>
      </c>
    </row>
    <row r="38" spans="1:48" x14ac:dyDescent="0.25">
      <c r="A38" s="11" t="s">
        <v>1259</v>
      </c>
      <c r="B38" s="11"/>
      <c r="C38" s="30">
        <v>15</v>
      </c>
      <c r="D38" s="31">
        <v>4.05208277054406E-4</v>
      </c>
      <c r="E38" s="30">
        <v>15</v>
      </c>
      <c r="F38" s="31">
        <v>5.8701522326145704E-4</v>
      </c>
      <c r="G38" s="30">
        <v>13</v>
      </c>
      <c r="H38" s="31">
        <v>3.89513108614232E-4</v>
      </c>
      <c r="I38" s="30">
        <v>13</v>
      </c>
      <c r="J38" s="31">
        <v>4.2412971844311802E-4</v>
      </c>
      <c r="K38" s="30">
        <v>13</v>
      </c>
      <c r="L38" s="31">
        <v>3.5391484264401602E-4</v>
      </c>
      <c r="M38" s="30">
        <v>14</v>
      </c>
      <c r="N38" s="31">
        <v>3.9328052137760599E-4</v>
      </c>
      <c r="O38" s="30">
        <v>16</v>
      </c>
      <c r="P38" s="31">
        <v>6.4576018081285102E-4</v>
      </c>
      <c r="Q38" s="30">
        <v>17</v>
      </c>
      <c r="R38" s="31">
        <v>4.5193534666099498E-4</v>
      </c>
      <c r="S38" s="30">
        <v>20</v>
      </c>
      <c r="T38" s="31">
        <v>3.2079557302109202E-4</v>
      </c>
      <c r="U38" s="30">
        <v>12</v>
      </c>
      <c r="V38" s="31">
        <v>1.7959770114942499E-4</v>
      </c>
      <c r="W38" s="30">
        <v>1</v>
      </c>
      <c r="X38" s="31">
        <v>1.27666636877785E-5</v>
      </c>
      <c r="Y38" s="30">
        <v>2</v>
      </c>
      <c r="Z38" s="31">
        <v>3.2712344003009497E-5</v>
      </c>
      <c r="AA38" s="30">
        <v>3</v>
      </c>
      <c r="AB38" s="31">
        <v>3.4394597755179301E-5</v>
      </c>
      <c r="AC38" s="30">
        <v>3</v>
      </c>
      <c r="AD38" s="31">
        <v>3.2772200434777903E-5</v>
      </c>
      <c r="AE38" s="30">
        <v>3</v>
      </c>
      <c r="AF38" s="31">
        <v>3.0863562478138298E-5</v>
      </c>
      <c r="AG38" s="30">
        <v>3</v>
      </c>
      <c r="AH38" s="31">
        <v>3.1565324438926402E-5</v>
      </c>
      <c r="AI38" s="30">
        <v>3</v>
      </c>
      <c r="AJ38" s="31">
        <v>2.8868638073884499E-5</v>
      </c>
      <c r="AK38" s="30">
        <v>5</v>
      </c>
      <c r="AL38" s="31">
        <v>4.5048697642151201E-5</v>
      </c>
      <c r="AM38" s="30">
        <v>3</v>
      </c>
      <c r="AN38" s="31">
        <v>2.7502246016758E-5</v>
      </c>
      <c r="AO38" s="30">
        <v>3</v>
      </c>
      <c r="AP38" s="31">
        <v>2.8346278133680999E-5</v>
      </c>
      <c r="AQ38" s="30">
        <v>3</v>
      </c>
      <c r="AR38" s="31">
        <v>3.0745580322828601E-5</v>
      </c>
      <c r="AS38" s="30">
        <v>4</v>
      </c>
      <c r="AT38" s="31">
        <v>4.31895481293527E-5</v>
      </c>
      <c r="AU38" s="30">
        <v>4</v>
      </c>
      <c r="AV38" s="31">
        <v>4.36929261152619E-5</v>
      </c>
    </row>
    <row r="39" spans="1:48" x14ac:dyDescent="0.25">
      <c r="A39" s="11" t="s">
        <v>1263</v>
      </c>
      <c r="B39" s="11"/>
      <c r="C39" s="30">
        <v>-88.65</v>
      </c>
      <c r="D39" s="31"/>
      <c r="E39" s="30">
        <v>90.94</v>
      </c>
      <c r="F39" s="31"/>
      <c r="G39" s="30">
        <v>-126.1</v>
      </c>
      <c r="H39" s="31"/>
      <c r="I39" s="30">
        <v>0.8</v>
      </c>
      <c r="J39" s="31"/>
      <c r="K39" s="30">
        <v>-4512</v>
      </c>
      <c r="L39" s="31"/>
      <c r="M39" s="30">
        <v>-3945</v>
      </c>
      <c r="N39" s="31"/>
      <c r="O39" s="30">
        <v>8457.3787929999999</v>
      </c>
      <c r="P39" s="31"/>
      <c r="Q39" s="30">
        <v>-0.37879299999999999</v>
      </c>
      <c r="R39" s="31"/>
      <c r="S39" s="30" t="s">
        <v>1033</v>
      </c>
      <c r="T39" s="31"/>
      <c r="U39" s="30" t="s">
        <v>1033</v>
      </c>
      <c r="V39" s="31"/>
      <c r="W39" s="30" t="s">
        <v>1033</v>
      </c>
      <c r="X39" s="31"/>
      <c r="Y39" s="30">
        <v>-1</v>
      </c>
      <c r="Z39" s="31"/>
      <c r="AA39" s="30" t="s">
        <v>1033</v>
      </c>
      <c r="AB39" s="31"/>
      <c r="AC39" s="30">
        <v>1</v>
      </c>
      <c r="AD39" s="31"/>
      <c r="AE39" s="30" t="s">
        <v>1033</v>
      </c>
      <c r="AF39" s="31"/>
      <c r="AG39" s="30" t="s">
        <v>1033</v>
      </c>
      <c r="AH39" s="31"/>
      <c r="AI39" s="30">
        <v>2</v>
      </c>
      <c r="AJ39" s="31"/>
      <c r="AK39" s="30">
        <v>-3</v>
      </c>
      <c r="AL39" s="31"/>
      <c r="AM39" s="30" t="s">
        <v>1033</v>
      </c>
      <c r="AN39" s="31"/>
      <c r="AO39" s="30">
        <v>-2</v>
      </c>
      <c r="AP39" s="31"/>
      <c r="AQ39" s="30">
        <v>3</v>
      </c>
      <c r="AR39" s="31"/>
      <c r="AS39" s="30">
        <v>-1</v>
      </c>
      <c r="AT39" s="31"/>
      <c r="AU39" s="30" t="s">
        <v>1033</v>
      </c>
      <c r="AV39" s="31"/>
    </row>
    <row r="40" spans="1:48" x14ac:dyDescent="0.25">
      <c r="A40" s="11" t="s">
        <v>1255</v>
      </c>
      <c r="B40" s="11"/>
      <c r="C40" s="30">
        <v>208</v>
      </c>
      <c r="D40" s="31">
        <v>5.6188881084877603E-3</v>
      </c>
      <c r="E40" s="30">
        <v>207</v>
      </c>
      <c r="F40" s="31">
        <v>8.1008100810080995E-3</v>
      </c>
      <c r="G40" s="30">
        <v>209</v>
      </c>
      <c r="H40" s="31">
        <v>6.26217228464419E-3</v>
      </c>
      <c r="I40" s="30">
        <v>207</v>
      </c>
      <c r="J40" s="31">
        <v>6.7534501321327199E-3</v>
      </c>
      <c r="K40" s="30">
        <v>208</v>
      </c>
      <c r="L40" s="31">
        <v>5.6626374823042598E-3</v>
      </c>
      <c r="M40" s="30">
        <v>207</v>
      </c>
      <c r="N40" s="31">
        <v>5.8149334232260198E-3</v>
      </c>
      <c r="O40" s="30">
        <v>208</v>
      </c>
      <c r="P40" s="31">
        <v>8.3948823505670608E-3</v>
      </c>
      <c r="Q40" s="30">
        <v>208</v>
      </c>
      <c r="R40" s="31">
        <v>5.5295618885580601E-3</v>
      </c>
      <c r="S40" s="30">
        <v>208</v>
      </c>
      <c r="T40" s="31">
        <v>3.3362739594193602E-3</v>
      </c>
      <c r="U40" s="30">
        <v>0</v>
      </c>
      <c r="V40" s="31"/>
      <c r="W40" s="30">
        <v>0</v>
      </c>
      <c r="X40" s="31"/>
      <c r="Y40" s="30">
        <v>0</v>
      </c>
      <c r="Z40" s="31"/>
      <c r="AA40" s="30">
        <v>0</v>
      </c>
      <c r="AB40" s="31"/>
      <c r="AC40" s="30">
        <v>0</v>
      </c>
      <c r="AD40" s="31"/>
      <c r="AE40" s="30">
        <v>0</v>
      </c>
      <c r="AF40" s="31"/>
      <c r="AG40" s="30">
        <v>0</v>
      </c>
      <c r="AH40" s="31"/>
      <c r="AI40" s="30" t="s">
        <v>1033</v>
      </c>
      <c r="AJ40" s="31"/>
      <c r="AK40" s="30">
        <v>0</v>
      </c>
      <c r="AL40" s="31"/>
      <c r="AM40" s="30" t="s">
        <v>1033</v>
      </c>
      <c r="AN40" s="31"/>
      <c r="AO40" s="30" t="s">
        <v>1033</v>
      </c>
      <c r="AP40" s="31"/>
      <c r="AQ40" s="30" t="s">
        <v>1033</v>
      </c>
      <c r="AR40" s="31"/>
      <c r="AS40" s="30" t="s">
        <v>1033</v>
      </c>
      <c r="AT40" s="31"/>
      <c r="AU40" s="30" t="s">
        <v>1033</v>
      </c>
      <c r="AV40" s="31"/>
    </row>
    <row r="41" spans="1:48" x14ac:dyDescent="0.25">
      <c r="A41" s="11" t="s">
        <v>1264</v>
      </c>
      <c r="B41" s="11"/>
      <c r="C41" s="30">
        <v>1</v>
      </c>
      <c r="D41" s="31">
        <v>2.7013885136960401E-5</v>
      </c>
      <c r="E41" s="30">
        <v>0</v>
      </c>
      <c r="F41" s="31"/>
      <c r="G41" s="30">
        <v>1</v>
      </c>
      <c r="H41" s="31">
        <v>2.9962546816479401E-5</v>
      </c>
      <c r="I41" s="30">
        <v>0</v>
      </c>
      <c r="J41" s="31"/>
      <c r="K41" s="30" t="s">
        <v>1033</v>
      </c>
      <c r="L41" s="31"/>
      <c r="M41" s="30" t="s">
        <v>1033</v>
      </c>
      <c r="N41" s="31"/>
      <c r="O41" s="30" t="s">
        <v>1033</v>
      </c>
      <c r="P41" s="31"/>
      <c r="Q41" s="30">
        <v>10</v>
      </c>
      <c r="R41" s="31">
        <v>2.6584432156529099E-4</v>
      </c>
      <c r="S41" s="30">
        <v>18</v>
      </c>
      <c r="T41" s="31">
        <v>2.8871601571898298E-4</v>
      </c>
      <c r="U41" s="30">
        <v>21</v>
      </c>
      <c r="V41" s="31">
        <v>3.1429597701149398E-4</v>
      </c>
      <c r="W41" s="30">
        <v>20</v>
      </c>
      <c r="X41" s="31">
        <v>2.55333273755569E-4</v>
      </c>
      <c r="Y41" s="30">
        <v>19</v>
      </c>
      <c r="Z41" s="31">
        <v>3.1076726802859101E-4</v>
      </c>
      <c r="AA41" s="30">
        <v>19</v>
      </c>
      <c r="AB41" s="31">
        <v>2.17832452449469E-4</v>
      </c>
      <c r="AC41" s="30">
        <v>17</v>
      </c>
      <c r="AD41" s="31">
        <v>1.8570913579707499E-4</v>
      </c>
      <c r="AE41" s="30">
        <v>25</v>
      </c>
      <c r="AF41" s="31">
        <v>2.5719635398448599E-4</v>
      </c>
      <c r="AG41" s="30">
        <v>36</v>
      </c>
      <c r="AH41" s="31">
        <v>3.7878389326711598E-4</v>
      </c>
      <c r="AI41" s="30">
        <v>44</v>
      </c>
      <c r="AJ41" s="31">
        <v>4.2340669175030599E-4</v>
      </c>
      <c r="AK41" s="30">
        <v>48</v>
      </c>
      <c r="AL41" s="31">
        <v>4.32467497364651E-4</v>
      </c>
      <c r="AM41" s="30">
        <v>37</v>
      </c>
      <c r="AN41" s="31">
        <v>3.3919436754001602E-4</v>
      </c>
      <c r="AO41" s="30">
        <v>31</v>
      </c>
      <c r="AP41" s="31">
        <v>2.92911540714704E-4</v>
      </c>
      <c r="AQ41" s="30" t="s">
        <v>1033</v>
      </c>
      <c r="AR41" s="31"/>
      <c r="AS41" s="30" t="s">
        <v>1033</v>
      </c>
      <c r="AT41" s="31"/>
      <c r="AU41" s="30" t="s">
        <v>1033</v>
      </c>
      <c r="AV41" s="31"/>
    </row>
    <row r="42" spans="1:48" x14ac:dyDescent="0.25">
      <c r="A42" s="7" t="s">
        <v>446</v>
      </c>
      <c r="B42" s="7"/>
      <c r="C42" s="34">
        <v>9118</v>
      </c>
      <c r="D42" s="35">
        <v>1</v>
      </c>
      <c r="E42" s="34">
        <v>6528.95</v>
      </c>
      <c r="F42" s="35">
        <v>1</v>
      </c>
      <c r="G42" s="34">
        <v>8748.7999999999993</v>
      </c>
      <c r="H42" s="35">
        <v>1</v>
      </c>
      <c r="I42" s="34">
        <v>5966</v>
      </c>
      <c r="J42" s="35">
        <v>1</v>
      </c>
      <c r="K42" s="34">
        <v>8544</v>
      </c>
      <c r="L42" s="35">
        <v>1</v>
      </c>
      <c r="M42" s="34">
        <v>8568</v>
      </c>
      <c r="N42" s="35">
        <v>1</v>
      </c>
      <c r="O42" s="34">
        <v>8874.6742149999991</v>
      </c>
      <c r="P42" s="35">
        <v>1</v>
      </c>
      <c r="Q42" s="34">
        <v>9061</v>
      </c>
      <c r="R42" s="35">
        <v>1</v>
      </c>
      <c r="S42" s="34">
        <v>10748</v>
      </c>
      <c r="T42" s="35">
        <v>1</v>
      </c>
      <c r="U42" s="34">
        <v>11523</v>
      </c>
      <c r="V42" s="35">
        <v>1</v>
      </c>
      <c r="W42" s="34">
        <v>11545</v>
      </c>
      <c r="X42" s="35">
        <v>1</v>
      </c>
      <c r="Y42" s="34">
        <v>11592</v>
      </c>
      <c r="Z42" s="35">
        <v>1</v>
      </c>
      <c r="AA42" s="34">
        <v>13018</v>
      </c>
      <c r="AB42" s="35">
        <v>1</v>
      </c>
      <c r="AC42" s="34">
        <v>13088</v>
      </c>
      <c r="AD42" s="35">
        <v>1</v>
      </c>
      <c r="AE42" s="34">
        <v>13043.2</v>
      </c>
      <c r="AF42" s="35">
        <v>1</v>
      </c>
      <c r="AG42" s="34">
        <v>14014</v>
      </c>
      <c r="AH42" s="35">
        <v>1</v>
      </c>
      <c r="AI42" s="34">
        <v>14242</v>
      </c>
      <c r="AJ42" s="35">
        <v>1</v>
      </c>
      <c r="AK42" s="34">
        <v>13724</v>
      </c>
      <c r="AL42" s="35">
        <v>1</v>
      </c>
      <c r="AM42" s="34">
        <v>15288</v>
      </c>
      <c r="AN42" s="35">
        <v>1</v>
      </c>
      <c r="AO42" s="34">
        <v>14618</v>
      </c>
      <c r="AP42" s="35">
        <v>1</v>
      </c>
      <c r="AQ42" s="34">
        <v>12495</v>
      </c>
      <c r="AR42" s="35">
        <v>1</v>
      </c>
      <c r="AS42" s="34">
        <v>15874</v>
      </c>
      <c r="AT42" s="35">
        <v>1</v>
      </c>
      <c r="AU42" s="34">
        <v>15874</v>
      </c>
      <c r="AV42" s="35">
        <v>1</v>
      </c>
    </row>
    <row r="43" spans="1:48" x14ac:dyDescent="0.25">
      <c r="A43" s="11" t="s">
        <v>1260</v>
      </c>
      <c r="B43" s="11"/>
      <c r="C43" s="30">
        <v>9113</v>
      </c>
      <c r="D43" s="31">
        <v>1.0006588338640601</v>
      </c>
      <c r="E43" s="30">
        <v>6487</v>
      </c>
      <c r="F43" s="31">
        <v>1.0392502403075901</v>
      </c>
      <c r="G43" s="30">
        <v>8903</v>
      </c>
      <c r="H43" s="31">
        <v>1.03583478766725</v>
      </c>
      <c r="I43" s="30">
        <v>5981</v>
      </c>
      <c r="J43" s="31">
        <v>1.0296092270614601</v>
      </c>
      <c r="K43" s="30">
        <v>8527</v>
      </c>
      <c r="L43" s="31">
        <v>1.01657129232237</v>
      </c>
      <c r="M43" s="30">
        <v>8570</v>
      </c>
      <c r="N43" s="31">
        <v>1.0219413307894101</v>
      </c>
      <c r="O43" s="30">
        <v>8874</v>
      </c>
      <c r="P43" s="31">
        <v>1.01812758145939</v>
      </c>
      <c r="Q43" s="30">
        <v>9062</v>
      </c>
      <c r="R43" s="31">
        <v>1.01763054463784</v>
      </c>
      <c r="S43" s="30">
        <v>10764</v>
      </c>
      <c r="T43" s="31">
        <v>1.0263157894736801</v>
      </c>
      <c r="U43" s="30">
        <v>11487</v>
      </c>
      <c r="V43" s="31">
        <v>0.92816742081448</v>
      </c>
      <c r="W43" s="30">
        <v>11561</v>
      </c>
      <c r="X43" s="31">
        <v>0.97544718191022595</v>
      </c>
      <c r="Y43" s="30">
        <v>11603</v>
      </c>
      <c r="Z43" s="31">
        <v>0.97553388262989704</v>
      </c>
      <c r="AA43" s="30">
        <v>13030</v>
      </c>
      <c r="AB43" s="31">
        <v>0.97413277511961704</v>
      </c>
      <c r="AC43" s="30">
        <v>13077</v>
      </c>
      <c r="AD43" s="31">
        <v>0.97241225461035097</v>
      </c>
      <c r="AE43" s="30">
        <v>13043</v>
      </c>
      <c r="AF43" s="31">
        <v>0.93854788803338896</v>
      </c>
      <c r="AG43" s="30">
        <v>14018</v>
      </c>
      <c r="AH43" s="31">
        <v>0.97178509532062396</v>
      </c>
      <c r="AI43" s="30">
        <v>14238</v>
      </c>
      <c r="AJ43" s="31">
        <v>0.97200983069361002</v>
      </c>
      <c r="AK43" s="30">
        <v>13724</v>
      </c>
      <c r="AL43" s="31">
        <v>1.0071182211785401</v>
      </c>
      <c r="AM43" s="30">
        <v>15288</v>
      </c>
      <c r="AN43" s="31">
        <v>0.97506218508833498</v>
      </c>
      <c r="AO43" s="30">
        <v>14618</v>
      </c>
      <c r="AP43" s="31">
        <v>0.97232938672342695</v>
      </c>
      <c r="AQ43" s="30">
        <v>13008</v>
      </c>
      <c r="AR43" s="31">
        <v>1.0089978281104599</v>
      </c>
      <c r="AS43" s="30">
        <v>15874</v>
      </c>
      <c r="AT43" s="31">
        <v>0.93563597783802899</v>
      </c>
      <c r="AU43" s="30">
        <v>15458</v>
      </c>
      <c r="AV43" s="31">
        <v>0.97379362479526299</v>
      </c>
    </row>
    <row r="44" spans="1:48" x14ac:dyDescent="0.25">
      <c r="A44" s="11" t="s">
        <v>1254</v>
      </c>
      <c r="B44" s="11"/>
      <c r="C44" s="30">
        <v>6180</v>
      </c>
      <c r="D44" s="31">
        <v>0.67859887998243096</v>
      </c>
      <c r="E44" s="30">
        <v>3669</v>
      </c>
      <c r="F44" s="31">
        <v>0.58779237423902597</v>
      </c>
      <c r="G44" s="30">
        <v>6634</v>
      </c>
      <c r="H44" s="31">
        <v>0.77184409540430499</v>
      </c>
      <c r="I44" s="30">
        <v>3901</v>
      </c>
      <c r="J44" s="31">
        <v>0.671544155620589</v>
      </c>
      <c r="K44" s="30">
        <v>5974</v>
      </c>
      <c r="L44" s="31">
        <v>0.71220791607057699</v>
      </c>
      <c r="M44" s="30">
        <v>6521</v>
      </c>
      <c r="N44" s="31">
        <v>0.77760553303124302</v>
      </c>
      <c r="O44" s="30">
        <v>6825</v>
      </c>
      <c r="P44" s="31">
        <v>0.78304268012849898</v>
      </c>
      <c r="Q44" s="30">
        <v>6766</v>
      </c>
      <c r="R44" s="31">
        <v>0.75979786636720903</v>
      </c>
      <c r="S44" s="30">
        <v>7632</v>
      </c>
      <c r="T44" s="31">
        <v>0.72768878718535501</v>
      </c>
      <c r="U44" s="30">
        <v>9374</v>
      </c>
      <c r="V44" s="31">
        <v>0.75743374272786002</v>
      </c>
      <c r="W44" s="30">
        <v>8913</v>
      </c>
      <c r="X44" s="31">
        <v>0.75202497468781604</v>
      </c>
      <c r="Y44" s="30">
        <v>8630</v>
      </c>
      <c r="Z44" s="31">
        <v>0.72557592063225196</v>
      </c>
      <c r="AA44" s="30">
        <v>10309</v>
      </c>
      <c r="AB44" s="31">
        <v>0.77070873205741597</v>
      </c>
      <c r="AC44" s="30">
        <v>10364</v>
      </c>
      <c r="AD44" s="31">
        <v>0.77067221891731097</v>
      </c>
      <c r="AE44" s="30">
        <v>10253</v>
      </c>
      <c r="AF44" s="31">
        <v>0.737785133482046</v>
      </c>
      <c r="AG44" s="30">
        <v>11715</v>
      </c>
      <c r="AH44" s="31">
        <v>0.81213171577123</v>
      </c>
      <c r="AI44" s="30">
        <v>11771</v>
      </c>
      <c r="AJ44" s="31">
        <v>0.80359093391589298</v>
      </c>
      <c r="AK44" s="30">
        <v>9913</v>
      </c>
      <c r="AL44" s="31">
        <v>0.72745285095765799</v>
      </c>
      <c r="AM44" s="30">
        <v>11227</v>
      </c>
      <c r="AN44" s="31">
        <v>0.71605331972702302</v>
      </c>
      <c r="AO44" s="30">
        <v>11969</v>
      </c>
      <c r="AP44" s="31">
        <v>0.79612877477717203</v>
      </c>
      <c r="AQ44" s="30">
        <v>11447</v>
      </c>
      <c r="AR44" s="31">
        <v>0.88791498603785302</v>
      </c>
      <c r="AS44" s="30">
        <v>12677</v>
      </c>
      <c r="AT44" s="31">
        <v>0.74720028291877905</v>
      </c>
      <c r="AU44" s="30">
        <v>11912</v>
      </c>
      <c r="AV44" s="31">
        <v>0.75040947461257401</v>
      </c>
    </row>
    <row r="45" spans="1:48" x14ac:dyDescent="0.25">
      <c r="A45" s="11" t="s">
        <v>1255</v>
      </c>
      <c r="B45" s="11"/>
      <c r="C45" s="30">
        <v>2863</v>
      </c>
      <c r="D45" s="31">
        <v>0.31437355880092199</v>
      </c>
      <c r="E45" s="30">
        <v>2456</v>
      </c>
      <c r="F45" s="31">
        <v>0.39346363345081697</v>
      </c>
      <c r="G45" s="30">
        <v>2288</v>
      </c>
      <c r="H45" s="31">
        <v>0.266201279813845</v>
      </c>
      <c r="I45" s="30">
        <v>2717</v>
      </c>
      <c r="J45" s="31">
        <v>0.46772249956963302</v>
      </c>
      <c r="K45" s="30">
        <v>2990</v>
      </c>
      <c r="L45" s="31">
        <v>0.356461611826419</v>
      </c>
      <c r="M45" s="30">
        <v>3069</v>
      </c>
      <c r="N45" s="31">
        <v>0.365967088003816</v>
      </c>
      <c r="O45" s="30">
        <v>3469</v>
      </c>
      <c r="P45" s="31">
        <v>0.39800367140890303</v>
      </c>
      <c r="Q45" s="30">
        <v>3928</v>
      </c>
      <c r="R45" s="31">
        <v>0.44110050533408202</v>
      </c>
      <c r="S45" s="30">
        <v>3973</v>
      </c>
      <c r="T45" s="31">
        <v>0.37881388253241799</v>
      </c>
      <c r="U45" s="30">
        <v>5087</v>
      </c>
      <c r="V45" s="31">
        <v>0.41103749191984501</v>
      </c>
      <c r="W45" s="30">
        <v>4041</v>
      </c>
      <c r="X45" s="31">
        <v>0.340955113061087</v>
      </c>
      <c r="Y45" s="30">
        <v>3332</v>
      </c>
      <c r="Z45" s="31">
        <v>0.28014124768790999</v>
      </c>
      <c r="AA45" s="30">
        <v>4253</v>
      </c>
      <c r="AB45" s="31">
        <v>0.31795753588516701</v>
      </c>
      <c r="AC45" s="30">
        <v>4408</v>
      </c>
      <c r="AD45" s="31">
        <v>0.32778108268887601</v>
      </c>
      <c r="AE45" s="30">
        <v>3666</v>
      </c>
      <c r="AF45" s="31">
        <v>0.26379794200187101</v>
      </c>
      <c r="AG45" s="30">
        <v>4579</v>
      </c>
      <c r="AH45" s="31">
        <v>0.317435008665511</v>
      </c>
      <c r="AI45" s="30">
        <v>4219</v>
      </c>
      <c r="AJ45" s="31">
        <v>0.288025669033315</v>
      </c>
      <c r="AK45" s="30">
        <v>4467</v>
      </c>
      <c r="AL45" s="31">
        <v>0.32780509283040998</v>
      </c>
      <c r="AM45" s="30">
        <v>4704</v>
      </c>
      <c r="AN45" s="31">
        <v>0.30001913387333401</v>
      </c>
      <c r="AO45" s="30">
        <v>5577</v>
      </c>
      <c r="AP45" s="31">
        <v>0.37095915923905798</v>
      </c>
      <c r="AQ45" s="30">
        <v>4099</v>
      </c>
      <c r="AR45" s="31">
        <v>0.31794911573068602</v>
      </c>
      <c r="AS45" s="30">
        <v>4401</v>
      </c>
      <c r="AT45" s="31">
        <v>0.25940115525168</v>
      </c>
      <c r="AU45" s="30">
        <v>4321</v>
      </c>
      <c r="AV45" s="31">
        <v>0.27220612322035997</v>
      </c>
    </row>
    <row r="46" spans="1:48" x14ac:dyDescent="0.25">
      <c r="A46" s="11" t="s">
        <v>1256</v>
      </c>
      <c r="B46" s="11"/>
      <c r="C46" s="30">
        <v>2279</v>
      </c>
      <c r="D46" s="31">
        <v>0.25024706269902303</v>
      </c>
      <c r="E46" s="30">
        <v>1954</v>
      </c>
      <c r="F46" s="31">
        <v>0.31304069208586999</v>
      </c>
      <c r="G46" s="30">
        <v>1548</v>
      </c>
      <c r="H46" s="31">
        <v>0.180104712041885</v>
      </c>
      <c r="I46" s="30">
        <v>1458</v>
      </c>
      <c r="J46" s="31">
        <v>0.25098984334653102</v>
      </c>
      <c r="K46" s="30">
        <v>1758</v>
      </c>
      <c r="L46" s="31">
        <v>0.20958512160228901</v>
      </c>
      <c r="M46" s="30">
        <v>1421</v>
      </c>
      <c r="N46" s="31">
        <v>0.169449081803005</v>
      </c>
      <c r="O46" s="30">
        <v>1266</v>
      </c>
      <c r="P46" s="31">
        <v>0.14525011473152799</v>
      </c>
      <c r="Q46" s="30">
        <v>1611</v>
      </c>
      <c r="R46" s="31">
        <v>0.18090960134755801</v>
      </c>
      <c r="S46" s="30">
        <v>1897</v>
      </c>
      <c r="T46" s="31">
        <v>0.18087337909992399</v>
      </c>
      <c r="U46" s="30">
        <v>1470</v>
      </c>
      <c r="V46" s="31">
        <v>0.118778280542986</v>
      </c>
      <c r="W46" s="30">
        <v>1943</v>
      </c>
      <c r="X46" s="31">
        <v>0.16393857576780299</v>
      </c>
      <c r="Y46" s="30">
        <v>2199</v>
      </c>
      <c r="Z46" s="31">
        <v>0.18488313435345599</v>
      </c>
      <c r="AA46" s="30">
        <v>2295</v>
      </c>
      <c r="AB46" s="31">
        <v>0.17157595693779901</v>
      </c>
      <c r="AC46" s="30">
        <v>2025</v>
      </c>
      <c r="AD46" s="31">
        <v>0.15058001189768</v>
      </c>
      <c r="AE46" s="30">
        <v>2151</v>
      </c>
      <c r="AF46" s="31">
        <v>0.15478160754119599</v>
      </c>
      <c r="AG46" s="30">
        <v>2036</v>
      </c>
      <c r="AH46" s="31">
        <v>0.14114384748700201</v>
      </c>
      <c r="AI46" s="30">
        <v>2116</v>
      </c>
      <c r="AJ46" s="31">
        <v>0.14445658110322199</v>
      </c>
      <c r="AK46" s="30">
        <v>2289</v>
      </c>
      <c r="AL46" s="31">
        <v>0.16797534306890699</v>
      </c>
      <c r="AM46" s="30">
        <v>3645</v>
      </c>
      <c r="AN46" s="31">
        <v>0.232476561005166</v>
      </c>
      <c r="AO46" s="30">
        <v>2179</v>
      </c>
      <c r="AP46" s="31">
        <v>0.14493814021551199</v>
      </c>
      <c r="AQ46" s="30">
        <v>2593</v>
      </c>
      <c r="AR46" s="31">
        <v>0.201132485262178</v>
      </c>
      <c r="AS46" s="30">
        <v>2712</v>
      </c>
      <c r="AT46" s="31">
        <v>0.159849109984675</v>
      </c>
      <c r="AU46" s="30">
        <v>3129</v>
      </c>
      <c r="AV46" s="31">
        <v>0.19711477888370901</v>
      </c>
    </row>
    <row r="47" spans="1:48" x14ac:dyDescent="0.25">
      <c r="A47" s="11" t="s">
        <v>1257</v>
      </c>
      <c r="B47" s="11"/>
      <c r="C47" s="30">
        <v>213</v>
      </c>
      <c r="D47" s="31">
        <v>2.3388602174151701E-2</v>
      </c>
      <c r="E47" s="30">
        <v>359</v>
      </c>
      <c r="F47" s="31">
        <v>5.7513617430310797E-2</v>
      </c>
      <c r="G47" s="30">
        <v>254</v>
      </c>
      <c r="H47" s="31">
        <v>2.9552065154159399E-2</v>
      </c>
      <c r="I47" s="30">
        <v>250</v>
      </c>
      <c r="J47" s="31">
        <v>4.30366672404889E-2</v>
      </c>
      <c r="K47" s="30">
        <v>314</v>
      </c>
      <c r="L47" s="31">
        <v>3.7434430138292799E-2</v>
      </c>
      <c r="M47" s="30">
        <v>376</v>
      </c>
      <c r="N47" s="31">
        <v>4.4836632482709297E-2</v>
      </c>
      <c r="O47" s="30">
        <v>312</v>
      </c>
      <c r="P47" s="31">
        <v>3.57962368058743E-2</v>
      </c>
      <c r="Q47" s="30">
        <v>227</v>
      </c>
      <c r="R47" s="31">
        <v>2.54912970241437E-2</v>
      </c>
      <c r="S47" s="30">
        <v>811</v>
      </c>
      <c r="T47" s="31">
        <v>7.7326468344774996E-2</v>
      </c>
      <c r="U47" s="30">
        <v>220</v>
      </c>
      <c r="V47" s="31">
        <v>1.7776341305753101E-2</v>
      </c>
      <c r="W47" s="30">
        <v>179</v>
      </c>
      <c r="X47" s="31">
        <v>1.5102936213297301E-2</v>
      </c>
      <c r="Y47" s="30">
        <v>77</v>
      </c>
      <c r="Z47" s="31">
        <v>6.4738523625357302E-3</v>
      </c>
      <c r="AA47" s="30">
        <v>7</v>
      </c>
      <c r="AB47" s="31">
        <v>5.2332535885167499E-4</v>
      </c>
      <c r="AC47" s="30">
        <v>142</v>
      </c>
      <c r="AD47" s="31">
        <v>1.05591909577632E-2</v>
      </c>
      <c r="AE47" s="30">
        <v>541</v>
      </c>
      <c r="AF47" s="31">
        <v>3.8929265309059498E-2</v>
      </c>
      <c r="AG47" s="30">
        <v>-12</v>
      </c>
      <c r="AH47" s="31">
        <v>-8.3188908145580601E-4</v>
      </c>
      <c r="AI47" s="30">
        <v>196</v>
      </c>
      <c r="AJ47" s="31">
        <v>1.33806663025669E-2</v>
      </c>
      <c r="AK47" s="30">
        <v>673</v>
      </c>
      <c r="AL47" s="31">
        <v>4.9387245908857402E-2</v>
      </c>
      <c r="AM47" s="30">
        <v>337</v>
      </c>
      <c r="AN47" s="31">
        <v>2.14937177115887E-2</v>
      </c>
      <c r="AO47" s="30">
        <v>375</v>
      </c>
      <c r="AP47" s="31">
        <v>2.4943461487295499E-2</v>
      </c>
      <c r="AQ47" s="30">
        <v>118</v>
      </c>
      <c r="AR47" s="31">
        <v>9.1529630778777495E-3</v>
      </c>
      <c r="AS47" s="30">
        <v>642</v>
      </c>
      <c r="AT47" s="31">
        <v>3.7840386655664297E-2</v>
      </c>
      <c r="AU47" s="30">
        <v>212</v>
      </c>
      <c r="AV47" s="31">
        <v>1.33551719793373E-2</v>
      </c>
    </row>
    <row r="48" spans="1:48" x14ac:dyDescent="0.25">
      <c r="A48" s="11" t="s">
        <v>1258</v>
      </c>
      <c r="B48" s="11"/>
      <c r="C48" s="30">
        <v>203</v>
      </c>
      <c r="D48" s="31">
        <v>2.2290545734050701E-2</v>
      </c>
      <c r="E48" s="30">
        <v>244</v>
      </c>
      <c r="F48" s="31">
        <v>3.9090035245113702E-2</v>
      </c>
      <c r="G48" s="30">
        <v>80</v>
      </c>
      <c r="H48" s="31">
        <v>9.3077370564281607E-3</v>
      </c>
      <c r="I48" s="30">
        <v>78</v>
      </c>
      <c r="J48" s="31">
        <v>1.3427440179032499E-2</v>
      </c>
      <c r="K48" s="30">
        <v>259</v>
      </c>
      <c r="L48" s="31">
        <v>3.08774439675727E-2</v>
      </c>
      <c r="M48" s="30">
        <v>88</v>
      </c>
      <c r="N48" s="31">
        <v>1.0493679942761701E-2</v>
      </c>
      <c r="O48" s="30">
        <v>208</v>
      </c>
      <c r="P48" s="31">
        <v>2.3864157870582801E-2</v>
      </c>
      <c r="Q48" s="30">
        <v>114</v>
      </c>
      <c r="R48" s="31">
        <v>1.2801796743402601E-2</v>
      </c>
      <c r="S48" s="30">
        <v>106</v>
      </c>
      <c r="T48" s="31">
        <v>1.0106788710907699E-2</v>
      </c>
      <c r="U48" s="30">
        <v>226</v>
      </c>
      <c r="V48" s="31">
        <v>1.8261150614091799E-2</v>
      </c>
      <c r="W48" s="30">
        <v>38</v>
      </c>
      <c r="X48" s="31">
        <v>3.2062099223759701E-3</v>
      </c>
      <c r="Y48" s="30">
        <v>228</v>
      </c>
      <c r="Z48" s="31">
        <v>1.91693290734824E-2</v>
      </c>
      <c r="AA48" s="30">
        <v>81</v>
      </c>
      <c r="AB48" s="31">
        <v>6.0556220095693801E-3</v>
      </c>
      <c r="AC48" s="30">
        <v>131</v>
      </c>
      <c r="AD48" s="31">
        <v>9.7412254610350999E-3</v>
      </c>
      <c r="AE48" s="30">
        <v>266</v>
      </c>
      <c r="AF48" s="31">
        <v>1.9140821760092099E-2</v>
      </c>
      <c r="AG48" s="30">
        <v>197</v>
      </c>
      <c r="AH48" s="31">
        <v>1.3656845753899499E-2</v>
      </c>
      <c r="AI48" s="30">
        <v>162</v>
      </c>
      <c r="AJ48" s="31">
        <v>1.1059530311305301E-2</v>
      </c>
      <c r="AK48" s="30">
        <v>440</v>
      </c>
      <c r="AL48" s="31">
        <v>3.22888383356571E-2</v>
      </c>
      <c r="AM48" s="30">
        <v>130</v>
      </c>
      <c r="AN48" s="31">
        <v>8.2913451112953604E-3</v>
      </c>
      <c r="AO48" s="30">
        <v>187</v>
      </c>
      <c r="AP48" s="31">
        <v>1.2438472794998E-2</v>
      </c>
      <c r="AQ48" s="30">
        <v>329</v>
      </c>
      <c r="AR48" s="31">
        <v>2.55197021408625E-2</v>
      </c>
      <c r="AS48" s="30">
        <v>620</v>
      </c>
      <c r="AT48" s="31">
        <v>3.6543675586467102E-2</v>
      </c>
      <c r="AU48" s="30">
        <v>167</v>
      </c>
      <c r="AV48" s="31">
        <v>1.0520347738440201E-2</v>
      </c>
    </row>
    <row r="49" spans="1:48" x14ac:dyDescent="0.25">
      <c r="A49" s="11" t="s">
        <v>1259</v>
      </c>
      <c r="B49" s="11"/>
      <c r="C49" s="30">
        <v>100</v>
      </c>
      <c r="D49" s="31">
        <v>1.0980564401010201E-2</v>
      </c>
      <c r="E49" s="30">
        <v>107</v>
      </c>
      <c r="F49" s="31">
        <v>1.71419416853573E-2</v>
      </c>
      <c r="G49" s="30">
        <v>103</v>
      </c>
      <c r="H49" s="31">
        <v>1.19837114601513E-2</v>
      </c>
      <c r="I49" s="30">
        <v>106</v>
      </c>
      <c r="J49" s="31">
        <v>1.8247546909967299E-2</v>
      </c>
      <c r="K49" s="30">
        <v>107</v>
      </c>
      <c r="L49" s="31">
        <v>1.275631855031E-2</v>
      </c>
      <c r="M49" s="30">
        <v>107</v>
      </c>
      <c r="N49" s="31">
        <v>1.27593608394944E-2</v>
      </c>
      <c r="O49" s="30">
        <v>90</v>
      </c>
      <c r="P49" s="31">
        <v>1.0325837540156001E-2</v>
      </c>
      <c r="Q49" s="30">
        <v>88</v>
      </c>
      <c r="R49" s="31">
        <v>9.8820887142054992E-3</v>
      </c>
      <c r="S49" s="30">
        <v>96</v>
      </c>
      <c r="T49" s="31">
        <v>9.1533180778032002E-3</v>
      </c>
      <c r="U49" s="30">
        <v>87</v>
      </c>
      <c r="V49" s="31">
        <v>7.0297349709114399E-3</v>
      </c>
      <c r="W49" s="30">
        <v>83</v>
      </c>
      <c r="X49" s="31">
        <v>7.0030374620317203E-3</v>
      </c>
      <c r="Y49" s="30">
        <v>95</v>
      </c>
      <c r="Z49" s="31">
        <v>7.9872204472843395E-3</v>
      </c>
      <c r="AA49" s="30">
        <v>81</v>
      </c>
      <c r="AB49" s="31">
        <v>6.0556220095693801E-3</v>
      </c>
      <c r="AC49" s="30">
        <v>98</v>
      </c>
      <c r="AD49" s="31">
        <v>7.2873289708506803E-3</v>
      </c>
      <c r="AE49" s="30">
        <v>109</v>
      </c>
      <c r="AF49" s="31">
        <v>7.8434194430452592E-3</v>
      </c>
      <c r="AG49" s="30">
        <v>110</v>
      </c>
      <c r="AH49" s="31">
        <v>7.6256499133448901E-3</v>
      </c>
      <c r="AI49" s="30">
        <v>129</v>
      </c>
      <c r="AJ49" s="31">
        <v>8.8066630256690304E-3</v>
      </c>
      <c r="AK49" s="30">
        <v>142</v>
      </c>
      <c r="AL49" s="31">
        <v>1.04204887355984E-2</v>
      </c>
      <c r="AM49" s="30">
        <v>134</v>
      </c>
      <c r="AN49" s="31">
        <v>8.5464634224121407E-3</v>
      </c>
      <c r="AO49" s="30">
        <v>154</v>
      </c>
      <c r="AP49" s="31">
        <v>1.0243448184116001E-2</v>
      </c>
      <c r="AQ49" s="30">
        <v>154</v>
      </c>
      <c r="AR49" s="31">
        <v>1.19453924914676E-2</v>
      </c>
      <c r="AS49" s="30">
        <v>155</v>
      </c>
      <c r="AT49" s="31">
        <v>9.1359188966167598E-3</v>
      </c>
      <c r="AU49" s="30">
        <v>154</v>
      </c>
      <c r="AV49" s="31">
        <v>9.7013985132921796E-3</v>
      </c>
    </row>
    <row r="50" spans="1:48" x14ac:dyDescent="0.25">
      <c r="A50" s="11" t="s">
        <v>1261</v>
      </c>
      <c r="B50" s="11"/>
      <c r="C50" s="30">
        <v>10</v>
      </c>
      <c r="D50" s="31">
        <v>1.0980564401010199E-3</v>
      </c>
      <c r="E50" s="30">
        <v>9</v>
      </c>
      <c r="F50" s="31">
        <v>1.4418455623197699E-3</v>
      </c>
      <c r="G50" s="30">
        <v>8</v>
      </c>
      <c r="H50" s="31">
        <v>9.3077370564281596E-4</v>
      </c>
      <c r="I50" s="30">
        <v>10</v>
      </c>
      <c r="J50" s="31">
        <v>1.7214666896195601E-3</v>
      </c>
      <c r="K50" s="30">
        <v>9</v>
      </c>
      <c r="L50" s="31">
        <v>1.0729613733905601E-3</v>
      </c>
      <c r="M50" s="30">
        <v>4</v>
      </c>
      <c r="N50" s="31">
        <v>4.7698545194371599E-4</v>
      </c>
      <c r="O50" s="30">
        <v>5</v>
      </c>
      <c r="P50" s="31">
        <v>5.7365764111977997E-4</v>
      </c>
      <c r="Q50" s="30">
        <v>5</v>
      </c>
      <c r="R50" s="31">
        <v>5.6148231330713097E-4</v>
      </c>
      <c r="S50" s="30">
        <v>9</v>
      </c>
      <c r="T50" s="31">
        <v>8.5812356979404997E-4</v>
      </c>
      <c r="U50" s="30">
        <v>4</v>
      </c>
      <c r="V50" s="31">
        <v>3.23206205559147E-4</v>
      </c>
      <c r="W50" s="30">
        <v>10</v>
      </c>
      <c r="X50" s="31">
        <v>8.4373945325683401E-4</v>
      </c>
      <c r="Y50" s="30">
        <v>13</v>
      </c>
      <c r="Z50" s="31">
        <v>1.09298806120733E-3</v>
      </c>
      <c r="AA50" s="30">
        <v>12</v>
      </c>
      <c r="AB50" s="31">
        <v>8.9712918660287105E-4</v>
      </c>
      <c r="AC50" s="30">
        <v>14</v>
      </c>
      <c r="AD50" s="31">
        <v>1.04104699583581E-3</v>
      </c>
      <c r="AE50" s="30">
        <v>10</v>
      </c>
      <c r="AF50" s="31">
        <v>7.1957976541699696E-4</v>
      </c>
      <c r="AG50" s="30">
        <v>8</v>
      </c>
      <c r="AH50" s="31">
        <v>5.5459272097053698E-4</v>
      </c>
      <c r="AI50" s="30">
        <v>9</v>
      </c>
      <c r="AJ50" s="31">
        <v>6.1441835062807197E-4</v>
      </c>
      <c r="AK50" s="30">
        <v>-4</v>
      </c>
      <c r="AL50" s="31">
        <v>-2.9353489396052E-4</v>
      </c>
      <c r="AM50" s="30">
        <v>26</v>
      </c>
      <c r="AN50" s="31">
        <v>1.65826902225907E-3</v>
      </c>
      <c r="AO50" s="30">
        <v>13</v>
      </c>
      <c r="AP50" s="31">
        <v>8.6470666489290898E-4</v>
      </c>
      <c r="AQ50" s="30">
        <v>17</v>
      </c>
      <c r="AR50" s="31">
        <v>1.3186472230840799E-3</v>
      </c>
      <c r="AS50" s="30">
        <v>-4</v>
      </c>
      <c r="AT50" s="31">
        <v>-2.35765648944949E-4</v>
      </c>
      <c r="AU50" s="30">
        <v>9</v>
      </c>
      <c r="AV50" s="31">
        <v>5.6696484817941298E-4</v>
      </c>
    </row>
    <row r="51" spans="1:48" x14ac:dyDescent="0.25">
      <c r="A51" s="11" t="s">
        <v>1262</v>
      </c>
      <c r="B51" s="11"/>
      <c r="C51" s="30">
        <v>-11854</v>
      </c>
      <c r="D51" s="31">
        <v>-1.30163610409575</v>
      </c>
      <c r="E51" s="30">
        <v>-9042</v>
      </c>
      <c r="F51" s="31">
        <v>-1.44857417494393</v>
      </c>
      <c r="G51" s="30">
        <v>-11223</v>
      </c>
      <c r="H51" s="31">
        <v>-1.30575916230366</v>
      </c>
      <c r="I51" s="30">
        <v>-8691</v>
      </c>
      <c r="J51" s="31">
        <v>-1.49612669994836</v>
      </c>
      <c r="K51" s="30">
        <v>-11531</v>
      </c>
      <c r="L51" s="31">
        <v>-1.37470195517406</v>
      </c>
      <c r="M51" s="30">
        <v>-11767</v>
      </c>
      <c r="N51" s="31">
        <v>-1.4031719532554301</v>
      </c>
      <c r="O51" s="30">
        <v>-12333</v>
      </c>
      <c r="P51" s="31">
        <v>-1.41498393758605</v>
      </c>
      <c r="Q51" s="30">
        <v>-12896</v>
      </c>
      <c r="R51" s="31">
        <v>-1.4481751824817499</v>
      </c>
      <c r="S51" s="30">
        <v>-14812</v>
      </c>
      <c r="T51" s="31">
        <v>-1.4122807017543899</v>
      </c>
      <c r="U51" s="30">
        <v>-15595</v>
      </c>
      <c r="V51" s="31">
        <v>-1.26010019392372</v>
      </c>
      <c r="W51" s="30">
        <v>-14932</v>
      </c>
      <c r="X51" s="31">
        <v>-1.2598717516031099</v>
      </c>
      <c r="Y51" s="30">
        <v>-14269</v>
      </c>
      <c r="Z51" s="31">
        <v>-1.1996805111821101</v>
      </c>
      <c r="AA51" s="30">
        <v>-16709</v>
      </c>
      <c r="AB51" s="31">
        <v>-1.24917763157895</v>
      </c>
      <c r="AC51" s="30">
        <v>-16822</v>
      </c>
      <c r="AD51" s="31">
        <v>-1.25089232599643</v>
      </c>
      <c r="AE51" s="30">
        <v>-16162</v>
      </c>
      <c r="AF51" s="31">
        <v>-1.1629848168669501</v>
      </c>
      <c r="AG51" s="30">
        <v>-18004</v>
      </c>
      <c r="AH51" s="31">
        <v>-1.2481109185441901</v>
      </c>
      <c r="AI51" s="30">
        <v>-17945</v>
      </c>
      <c r="AJ51" s="31">
        <v>-1.22508192244675</v>
      </c>
      <c r="AK51" s="30">
        <v>-17693</v>
      </c>
      <c r="AL51" s="31">
        <v>-1.29837821971087</v>
      </c>
      <c r="AM51" s="30">
        <v>-19523</v>
      </c>
      <c r="AN51" s="31">
        <v>-1.2451686969832301</v>
      </c>
      <c r="AO51" s="30">
        <v>-19814</v>
      </c>
      <c r="AP51" s="31">
        <v>-1.31794598909139</v>
      </c>
      <c r="AQ51" s="30">
        <v>-18873</v>
      </c>
      <c r="AR51" s="31">
        <v>-1.46393112007446</v>
      </c>
      <c r="AS51" s="30">
        <v>-20111</v>
      </c>
      <c r="AT51" s="31">
        <v>-1.1853707414829699</v>
      </c>
      <c r="AU51" s="30">
        <v>-19488</v>
      </c>
      <c r="AV51" s="31">
        <v>-1.2276678845911599</v>
      </c>
    </row>
    <row r="52" spans="1:48" x14ac:dyDescent="0.25">
      <c r="A52" s="11" t="s">
        <v>1263</v>
      </c>
      <c r="B52" s="11"/>
      <c r="C52" s="30">
        <v>11</v>
      </c>
      <c r="D52" s="31"/>
      <c r="E52" s="30">
        <v>286.95</v>
      </c>
      <c r="F52" s="31"/>
      <c r="G52" s="30">
        <v>153.80000000000001</v>
      </c>
      <c r="H52" s="31"/>
      <c r="I52" s="30">
        <v>157</v>
      </c>
      <c r="J52" s="31"/>
      <c r="K52" s="30">
        <v>156</v>
      </c>
      <c r="L52" s="31"/>
      <c r="M52" s="30">
        <v>182</v>
      </c>
      <c r="N52" s="31"/>
      <c r="O52" s="30">
        <v>158.674215</v>
      </c>
      <c r="P52" s="31"/>
      <c r="Q52" s="30">
        <v>156</v>
      </c>
      <c r="R52" s="31"/>
      <c r="S52" s="30">
        <v>260</v>
      </c>
      <c r="T52" s="31"/>
      <c r="U52" s="30">
        <v>-853</v>
      </c>
      <c r="V52" s="31"/>
      <c r="W52" s="30">
        <v>-307</v>
      </c>
      <c r="X52" s="31"/>
      <c r="Y52" s="30">
        <v>-302</v>
      </c>
      <c r="Z52" s="31"/>
      <c r="AA52" s="30">
        <v>-358</v>
      </c>
      <c r="AB52" s="31"/>
      <c r="AC52" s="30">
        <v>-360</v>
      </c>
      <c r="AD52" s="31"/>
      <c r="AE52" s="30">
        <v>-853.8</v>
      </c>
      <c r="AF52" s="31"/>
      <c r="AG52" s="30">
        <v>-411</v>
      </c>
      <c r="AH52" s="31"/>
      <c r="AI52" s="30">
        <v>-406</v>
      </c>
      <c r="AJ52" s="31"/>
      <c r="AK52" s="30">
        <v>97</v>
      </c>
      <c r="AL52" s="31"/>
      <c r="AM52" s="30">
        <v>-391</v>
      </c>
      <c r="AN52" s="31"/>
      <c r="AO52" s="30">
        <v>-416</v>
      </c>
      <c r="AP52" s="31"/>
      <c r="AQ52" s="30">
        <v>-397</v>
      </c>
      <c r="AR52" s="31"/>
      <c r="AS52" s="30">
        <v>-1092</v>
      </c>
      <c r="AT52" s="31"/>
      <c r="AU52" s="30" t="s">
        <v>1033</v>
      </c>
      <c r="AV52" s="31"/>
    </row>
    <row r="53" spans="1:48" x14ac:dyDescent="0.25">
      <c r="A53" s="11" t="s">
        <v>1264</v>
      </c>
      <c r="B53" s="11"/>
      <c r="C53" s="30">
        <v>0</v>
      </c>
      <c r="D53" s="31"/>
      <c r="E53" s="30">
        <v>-1</v>
      </c>
      <c r="F53" s="31">
        <v>-1.6020506247997401E-4</v>
      </c>
      <c r="G53" s="30">
        <v>0</v>
      </c>
      <c r="H53" s="31"/>
      <c r="I53" s="30">
        <v>-1</v>
      </c>
      <c r="J53" s="31">
        <v>-1.7214666896195601E-4</v>
      </c>
      <c r="K53" s="30">
        <v>-19</v>
      </c>
      <c r="L53" s="31">
        <v>-2.2651406771578399E-3</v>
      </c>
      <c r="M53" s="30">
        <v>-3</v>
      </c>
      <c r="N53" s="31">
        <v>-3.5773908895778698E-4</v>
      </c>
      <c r="O53" s="30">
        <v>0</v>
      </c>
      <c r="P53" s="31"/>
      <c r="Q53" s="30">
        <v>0</v>
      </c>
      <c r="R53" s="31"/>
      <c r="S53" s="30">
        <v>12</v>
      </c>
      <c r="T53" s="31">
        <v>1.1441647597254E-3</v>
      </c>
      <c r="U53" s="30">
        <v>16</v>
      </c>
      <c r="V53" s="31">
        <v>1.2928248222365899E-3</v>
      </c>
      <c r="W53" s="30">
        <v>16</v>
      </c>
      <c r="X53" s="31">
        <v>1.3499831252109301E-3</v>
      </c>
      <c r="Y53" s="30">
        <v>-14</v>
      </c>
      <c r="Z53" s="31">
        <v>-1.1770640659155901E-3</v>
      </c>
      <c r="AA53" s="30">
        <v>17</v>
      </c>
      <c r="AB53" s="31">
        <v>1.2709330143540699E-3</v>
      </c>
      <c r="AC53" s="30">
        <v>11</v>
      </c>
      <c r="AD53" s="31">
        <v>8.1796549672813804E-4</v>
      </c>
      <c r="AE53" s="30">
        <v>20</v>
      </c>
      <c r="AF53" s="31">
        <v>1.43915953083399E-3</v>
      </c>
      <c r="AG53" s="30">
        <v>-222</v>
      </c>
      <c r="AH53" s="31">
        <v>-1.53899480069324E-2</v>
      </c>
      <c r="AI53" s="30">
        <v>-247</v>
      </c>
      <c r="AJ53" s="31">
        <v>-1.6862370289459298E-2</v>
      </c>
      <c r="AK53" s="30">
        <v>-324</v>
      </c>
      <c r="AL53" s="31">
        <v>-2.3776326410802101E-2</v>
      </c>
      <c r="AM53" s="30">
        <v>-289</v>
      </c>
      <c r="AN53" s="31">
        <v>-1.8432297978187399E-2</v>
      </c>
      <c r="AO53" s="30">
        <v>-224</v>
      </c>
      <c r="AP53" s="31">
        <v>-1.4899560995077801E-2</v>
      </c>
      <c r="AQ53" s="30" t="s">
        <v>1033</v>
      </c>
      <c r="AR53" s="31"/>
      <c r="AS53" s="30" t="s">
        <v>1033</v>
      </c>
      <c r="AT53" s="31"/>
      <c r="AU53" s="30" t="s">
        <v>1033</v>
      </c>
      <c r="AV53" s="31"/>
    </row>
    <row r="54" spans="1:48" x14ac:dyDescent="0.25">
      <c r="A54" s="7" t="s">
        <v>1266</v>
      </c>
      <c r="B54" s="7"/>
      <c r="C54" s="34">
        <v>1720477.39</v>
      </c>
      <c r="D54" s="35">
        <v>1</v>
      </c>
      <c r="E54" s="34">
        <v>1776416.18</v>
      </c>
      <c r="F54" s="35">
        <v>1</v>
      </c>
      <c r="G54" s="34">
        <v>1795305.5882979999</v>
      </c>
      <c r="H54" s="35">
        <v>1</v>
      </c>
      <c r="I54" s="34">
        <v>1787904</v>
      </c>
      <c r="J54" s="35">
        <v>1</v>
      </c>
      <c r="K54" s="34">
        <v>1810208</v>
      </c>
      <c r="L54" s="35">
        <v>1</v>
      </c>
      <c r="M54" s="34">
        <v>1802363.0894790001</v>
      </c>
      <c r="N54" s="35">
        <v>1</v>
      </c>
      <c r="O54" s="34">
        <v>1803695.213613</v>
      </c>
      <c r="P54" s="35">
        <v>1</v>
      </c>
      <c r="Q54" s="34">
        <v>1850879</v>
      </c>
      <c r="R54" s="35">
        <v>1</v>
      </c>
      <c r="S54" s="34">
        <v>2035427</v>
      </c>
      <c r="T54" s="35">
        <v>1</v>
      </c>
      <c r="U54" s="34">
        <v>2033315</v>
      </c>
      <c r="V54" s="35">
        <v>1</v>
      </c>
      <c r="W54" s="34">
        <v>2033008</v>
      </c>
      <c r="X54" s="35">
        <v>1</v>
      </c>
      <c r="Y54" s="34">
        <v>2070071</v>
      </c>
      <c r="Z54" s="35">
        <v>1</v>
      </c>
      <c r="AA54" s="34">
        <v>2130031</v>
      </c>
      <c r="AB54" s="35">
        <v>1</v>
      </c>
      <c r="AC54" s="34">
        <v>2191378</v>
      </c>
      <c r="AD54" s="35">
        <v>1</v>
      </c>
      <c r="AE54" s="34">
        <v>2274859</v>
      </c>
      <c r="AF54" s="35">
        <v>1</v>
      </c>
      <c r="AG54" s="34">
        <v>2435012</v>
      </c>
      <c r="AH54" s="35">
        <v>1</v>
      </c>
      <c r="AI54" s="34">
        <v>2420031</v>
      </c>
      <c r="AJ54" s="35">
        <v>1</v>
      </c>
      <c r="AK54" s="34">
        <v>2471209</v>
      </c>
      <c r="AL54" s="35">
        <v>1</v>
      </c>
      <c r="AM54" s="34">
        <v>2552759</v>
      </c>
      <c r="AN54" s="35">
        <v>1</v>
      </c>
      <c r="AO54" s="34">
        <v>2524481</v>
      </c>
      <c r="AP54" s="35">
        <v>1</v>
      </c>
      <c r="AQ54" s="34">
        <v>2509263</v>
      </c>
      <c r="AR54" s="35">
        <v>1</v>
      </c>
      <c r="AS54" s="34">
        <v>2598663</v>
      </c>
      <c r="AT54" s="35">
        <v>1</v>
      </c>
      <c r="AU54" s="34">
        <v>2635909</v>
      </c>
      <c r="AV54" s="35">
        <v>1</v>
      </c>
    </row>
    <row r="55" spans="1:48" x14ac:dyDescent="0.25">
      <c r="A55" s="11" t="s">
        <v>1254</v>
      </c>
      <c r="B55" s="11"/>
      <c r="C55" s="30">
        <v>1293647</v>
      </c>
      <c r="D55" s="31">
        <v>0.75191138741675301</v>
      </c>
      <c r="E55" s="30">
        <v>1348628</v>
      </c>
      <c r="F55" s="31">
        <v>0.75918521291477503</v>
      </c>
      <c r="G55" s="30">
        <v>1277593</v>
      </c>
      <c r="H55" s="31">
        <v>0.711629660904603</v>
      </c>
      <c r="I55" s="30">
        <v>1262185</v>
      </c>
      <c r="J55" s="31">
        <v>0.70595792615263497</v>
      </c>
      <c r="K55" s="30">
        <v>1234021</v>
      </c>
      <c r="L55" s="31">
        <v>0.68170084227843297</v>
      </c>
      <c r="M55" s="30">
        <v>1234286</v>
      </c>
      <c r="N55" s="31">
        <v>0.68481543396086098</v>
      </c>
      <c r="O55" s="30">
        <v>1199275</v>
      </c>
      <c r="P55" s="31">
        <v>0.66489936763109503</v>
      </c>
      <c r="Q55" s="30">
        <v>1236490</v>
      </c>
      <c r="R55" s="31">
        <v>0.66805555630595004</v>
      </c>
      <c r="S55" s="30">
        <v>1606136</v>
      </c>
      <c r="T55" s="31">
        <v>0.78909083405636005</v>
      </c>
      <c r="U55" s="30">
        <v>1523461</v>
      </c>
      <c r="V55" s="31">
        <v>0.54937149714867595</v>
      </c>
      <c r="W55" s="30">
        <v>1515735</v>
      </c>
      <c r="X55" s="31">
        <v>0.74556273266017603</v>
      </c>
      <c r="Y55" s="30">
        <v>1552253</v>
      </c>
      <c r="Z55" s="31">
        <v>0.74985495666573798</v>
      </c>
      <c r="AA55" s="30">
        <v>1601058</v>
      </c>
      <c r="AB55" s="31">
        <v>0.75165913000368101</v>
      </c>
      <c r="AC55" s="30">
        <v>1623047</v>
      </c>
      <c r="AD55" s="31">
        <v>0.74065097821965098</v>
      </c>
      <c r="AE55" s="30">
        <v>1682493</v>
      </c>
      <c r="AF55" s="31">
        <v>0.73789086450030705</v>
      </c>
      <c r="AG55" s="30">
        <v>1801868</v>
      </c>
      <c r="AH55" s="31">
        <v>0.73998290768878805</v>
      </c>
      <c r="AI55" s="30">
        <v>1775125</v>
      </c>
      <c r="AJ55" s="31">
        <v>0.73351363412850301</v>
      </c>
      <c r="AK55" s="30">
        <v>1834184</v>
      </c>
      <c r="AL55" s="31">
        <v>0.74026880281806695</v>
      </c>
      <c r="AM55" s="30">
        <v>1909740</v>
      </c>
      <c r="AN55" s="31">
        <v>0.74810822329879201</v>
      </c>
      <c r="AO55" s="30">
        <v>1879465</v>
      </c>
      <c r="AP55" s="31">
        <v>0.74449560127408398</v>
      </c>
      <c r="AQ55" s="30">
        <v>1861668</v>
      </c>
      <c r="AR55" s="31">
        <v>0.741918244520403</v>
      </c>
      <c r="AS55" s="30">
        <v>1959747</v>
      </c>
      <c r="AT55" s="31">
        <v>0.75315906467089599</v>
      </c>
      <c r="AU55" s="30">
        <v>1982762</v>
      </c>
      <c r="AV55" s="31">
        <v>0.75221185556861003</v>
      </c>
    </row>
    <row r="56" spans="1:48" x14ac:dyDescent="0.25">
      <c r="A56" s="11" t="s">
        <v>1256</v>
      </c>
      <c r="B56" s="11"/>
      <c r="C56" s="30">
        <v>202051</v>
      </c>
      <c r="D56" s="31">
        <v>0.11743887454533</v>
      </c>
      <c r="E56" s="30">
        <v>222285</v>
      </c>
      <c r="F56" s="31">
        <v>0.12513123341111199</v>
      </c>
      <c r="G56" s="30">
        <v>227895</v>
      </c>
      <c r="H56" s="31">
        <v>0.12693936298324601</v>
      </c>
      <c r="I56" s="30">
        <v>233007</v>
      </c>
      <c r="J56" s="31">
        <v>0.13032411136168401</v>
      </c>
      <c r="K56" s="30">
        <v>247243</v>
      </c>
      <c r="L56" s="31">
        <v>0.13658257140473801</v>
      </c>
      <c r="M56" s="30">
        <v>252448</v>
      </c>
      <c r="N56" s="31">
        <v>0.14006501465021201</v>
      </c>
      <c r="O56" s="30">
        <v>258097</v>
      </c>
      <c r="P56" s="31">
        <v>0.14309356243353899</v>
      </c>
      <c r="Q56" s="30">
        <v>271137</v>
      </c>
      <c r="R56" s="31">
        <v>0.14649093754913201</v>
      </c>
      <c r="S56" s="30">
        <v>286741</v>
      </c>
      <c r="T56" s="31">
        <v>0.14087517797257201</v>
      </c>
      <c r="U56" s="30">
        <v>294601</v>
      </c>
      <c r="V56" s="31">
        <v>0.106235336796608</v>
      </c>
      <c r="W56" s="30">
        <v>299478</v>
      </c>
      <c r="X56" s="31">
        <v>0.14730783154813001</v>
      </c>
      <c r="Y56" s="30">
        <v>303746</v>
      </c>
      <c r="Z56" s="31">
        <v>0.14673216522525101</v>
      </c>
      <c r="AA56" s="30">
        <v>315918</v>
      </c>
      <c r="AB56" s="31">
        <v>0.148316081636332</v>
      </c>
      <c r="AC56" s="30">
        <v>322467</v>
      </c>
      <c r="AD56" s="31">
        <v>0.147152546410274</v>
      </c>
      <c r="AE56" s="30">
        <v>336777</v>
      </c>
      <c r="AF56" s="31">
        <v>0.14770027077308501</v>
      </c>
      <c r="AG56" s="30">
        <v>358005</v>
      </c>
      <c r="AH56" s="31">
        <v>0.14702385572479501</v>
      </c>
      <c r="AI56" s="30">
        <v>366370</v>
      </c>
      <c r="AJ56" s="31">
        <v>0.15139068523943899</v>
      </c>
      <c r="AK56" s="30">
        <v>373465</v>
      </c>
      <c r="AL56" s="31">
        <v>0.150728873681402</v>
      </c>
      <c r="AM56" s="30">
        <v>397719</v>
      </c>
      <c r="AN56" s="31">
        <v>0.15579966616511801</v>
      </c>
      <c r="AO56" s="30">
        <v>400844</v>
      </c>
      <c r="AP56" s="31">
        <v>0.15878273593661399</v>
      </c>
      <c r="AQ56" s="30">
        <v>410056</v>
      </c>
      <c r="AR56" s="31">
        <v>0.163416907673687</v>
      </c>
      <c r="AS56" s="30">
        <v>423677</v>
      </c>
      <c r="AT56" s="31">
        <v>0.16282518766074</v>
      </c>
      <c r="AU56" s="30">
        <v>441933</v>
      </c>
      <c r="AV56" s="31">
        <v>0.16765867106944901</v>
      </c>
    </row>
    <row r="57" spans="1:48" x14ac:dyDescent="0.25">
      <c r="A57" s="11" t="s">
        <v>1260</v>
      </c>
      <c r="B57" s="11"/>
      <c r="C57" s="30">
        <v>195251</v>
      </c>
      <c r="D57" s="31">
        <v>0.113486484569986</v>
      </c>
      <c r="E57" s="30">
        <v>205908</v>
      </c>
      <c r="F57" s="31">
        <v>0.115912103872124</v>
      </c>
      <c r="G57" s="30">
        <v>214662</v>
      </c>
      <c r="H57" s="31">
        <v>0.119568474677854</v>
      </c>
      <c r="I57" s="30">
        <v>222267</v>
      </c>
      <c r="J57" s="31">
        <v>0.12431707742697599</v>
      </c>
      <c r="K57" s="30">
        <v>227280</v>
      </c>
      <c r="L57" s="31">
        <v>0.125554563036644</v>
      </c>
      <c r="M57" s="30">
        <v>226358</v>
      </c>
      <c r="N57" s="31">
        <v>0.12558957324357001</v>
      </c>
      <c r="O57" s="30">
        <v>234061</v>
      </c>
      <c r="P57" s="31">
        <v>0.12976757698367899</v>
      </c>
      <c r="Q57" s="30">
        <v>234261</v>
      </c>
      <c r="R57" s="31">
        <v>0.126567430934167</v>
      </c>
      <c r="S57" s="30">
        <v>241105</v>
      </c>
      <c r="T57" s="31">
        <v>0.118454318653687</v>
      </c>
      <c r="U57" s="30">
        <v>230686</v>
      </c>
      <c r="V57" s="31">
        <v>8.3187106982876194E-2</v>
      </c>
      <c r="W57" s="30">
        <v>241138</v>
      </c>
      <c r="X57" s="31">
        <v>0.118611436846289</v>
      </c>
      <c r="Y57" s="30">
        <v>236103</v>
      </c>
      <c r="Z57" s="31">
        <v>0.11405550824102199</v>
      </c>
      <c r="AA57" s="30">
        <v>249455</v>
      </c>
      <c r="AB57" s="31">
        <v>0.11711326402607999</v>
      </c>
      <c r="AC57" s="30">
        <v>239544</v>
      </c>
      <c r="AD57" s="31">
        <v>0.10931199030382199</v>
      </c>
      <c r="AE57" s="30">
        <v>249338</v>
      </c>
      <c r="AF57" s="31">
        <v>0.10935215324686499</v>
      </c>
      <c r="AG57" s="30">
        <v>242850</v>
      </c>
      <c r="AH57" s="31">
        <v>9.9732527095337906E-2</v>
      </c>
      <c r="AI57" s="30">
        <v>253814</v>
      </c>
      <c r="AJ57" s="31">
        <v>0.104880518010107</v>
      </c>
      <c r="AK57" s="30">
        <v>249357</v>
      </c>
      <c r="AL57" s="31">
        <v>0.10063941669118499</v>
      </c>
      <c r="AM57" s="30">
        <v>266966</v>
      </c>
      <c r="AN57" s="31">
        <v>0.10457939821189501</v>
      </c>
      <c r="AO57" s="30">
        <v>252781</v>
      </c>
      <c r="AP57" s="31">
        <v>0.100131868689049</v>
      </c>
      <c r="AQ57" s="30">
        <v>262713</v>
      </c>
      <c r="AR57" s="31">
        <v>0.104697275654246</v>
      </c>
      <c r="AS57" s="30">
        <v>248994</v>
      </c>
      <c r="AT57" s="31">
        <v>9.5691988888700993E-2</v>
      </c>
      <c r="AU57" s="30">
        <v>261031</v>
      </c>
      <c r="AV57" s="31">
        <v>9.9028835972713794E-2</v>
      </c>
    </row>
    <row r="58" spans="1:48" x14ac:dyDescent="0.25">
      <c r="A58" s="11" t="s">
        <v>1257</v>
      </c>
      <c r="B58" s="11"/>
      <c r="C58" s="30">
        <v>185062</v>
      </c>
      <c r="D58" s="31">
        <v>0.107564293178989</v>
      </c>
      <c r="E58" s="30">
        <v>169694</v>
      </c>
      <c r="F58" s="31">
        <v>9.55261017273554E-2</v>
      </c>
      <c r="G58" s="30">
        <v>248144</v>
      </c>
      <c r="H58" s="31">
        <v>0.13821822018084901</v>
      </c>
      <c r="I58" s="30">
        <v>244353</v>
      </c>
      <c r="J58" s="31">
        <v>0.13667008966924399</v>
      </c>
      <c r="K58" s="30">
        <v>284273</v>
      </c>
      <c r="L58" s="31">
        <v>0.15703877287097801</v>
      </c>
      <c r="M58" s="30">
        <v>283112</v>
      </c>
      <c r="N58" s="31">
        <v>0.15707823562734</v>
      </c>
      <c r="O58" s="30">
        <v>308796</v>
      </c>
      <c r="P58" s="31">
        <v>0.171201988807414</v>
      </c>
      <c r="Q58" s="30">
        <v>296169</v>
      </c>
      <c r="R58" s="31">
        <v>0.16001532244949601</v>
      </c>
      <c r="S58" s="30">
        <v>304430</v>
      </c>
      <c r="T58" s="31">
        <v>0.14956574201174599</v>
      </c>
      <c r="U58" s="30">
        <v>300564</v>
      </c>
      <c r="V58" s="31">
        <v>0.108385639454502</v>
      </c>
      <c r="W58" s="30">
        <v>218107</v>
      </c>
      <c r="X58" s="31">
        <v>0.107282902969393</v>
      </c>
      <c r="Y58" s="30">
        <v>216815</v>
      </c>
      <c r="Z58" s="31">
        <v>0.104737953432515</v>
      </c>
      <c r="AA58" s="30">
        <v>246309</v>
      </c>
      <c r="AB58" s="31">
        <v>0.115636290910184</v>
      </c>
      <c r="AC58" s="30">
        <v>242035</v>
      </c>
      <c r="AD58" s="31">
        <v>0.11044871745143101</v>
      </c>
      <c r="AE58" s="30">
        <v>250929</v>
      </c>
      <c r="AF58" s="31">
        <v>0.11004991803127701</v>
      </c>
      <c r="AG58" s="30">
        <v>264127</v>
      </c>
      <c r="AH58" s="31">
        <v>0.108470468124811</v>
      </c>
      <c r="AI58" s="30">
        <v>262831</v>
      </c>
      <c r="AJ58" s="31">
        <v>0.108606504878039</v>
      </c>
      <c r="AK58" s="30">
        <v>260857</v>
      </c>
      <c r="AL58" s="31">
        <v>0.10528076741303601</v>
      </c>
      <c r="AM58" s="30">
        <v>265194</v>
      </c>
      <c r="AN58" s="31">
        <v>0.103885247295181</v>
      </c>
      <c r="AO58" s="30">
        <v>240052</v>
      </c>
      <c r="AP58" s="31">
        <v>9.5089644168444898E-2</v>
      </c>
      <c r="AQ58" s="30">
        <v>231909</v>
      </c>
      <c r="AR58" s="31">
        <v>9.2421161113840994E-2</v>
      </c>
      <c r="AS58" s="30">
        <v>217245</v>
      </c>
      <c r="AT58" s="31">
        <v>8.3490389833192194E-2</v>
      </c>
      <c r="AU58" s="30">
        <v>207057</v>
      </c>
      <c r="AV58" s="31">
        <v>7.8552408296340998E-2</v>
      </c>
    </row>
    <row r="59" spans="1:48" x14ac:dyDescent="0.25">
      <c r="A59" s="11" t="s">
        <v>1258</v>
      </c>
      <c r="B59" s="11"/>
      <c r="C59" s="30">
        <v>36373</v>
      </c>
      <c r="D59" s="31">
        <v>2.11412177313514E-2</v>
      </c>
      <c r="E59" s="30">
        <v>33814</v>
      </c>
      <c r="F59" s="31">
        <v>1.9034966491501101E-2</v>
      </c>
      <c r="G59" s="30">
        <v>39964</v>
      </c>
      <c r="H59" s="31">
        <v>2.22602720650407E-2</v>
      </c>
      <c r="I59" s="30">
        <v>45725</v>
      </c>
      <c r="J59" s="31">
        <v>2.5574639354238302E-2</v>
      </c>
      <c r="K59" s="30">
        <v>44410</v>
      </c>
      <c r="L59" s="31">
        <v>2.4533078777091499E-2</v>
      </c>
      <c r="M59" s="30">
        <v>42174</v>
      </c>
      <c r="N59" s="31">
        <v>2.3399281942649699E-2</v>
      </c>
      <c r="O59" s="30">
        <v>43204</v>
      </c>
      <c r="P59" s="31">
        <v>2.3953065209508899E-2</v>
      </c>
      <c r="Q59" s="30">
        <v>47254</v>
      </c>
      <c r="R59" s="31">
        <v>2.5530572230815701E-2</v>
      </c>
      <c r="S59" s="30">
        <v>44585</v>
      </c>
      <c r="T59" s="31">
        <v>2.19045054941816E-2</v>
      </c>
      <c r="U59" s="30">
        <v>42558</v>
      </c>
      <c r="V59" s="31">
        <v>1.53467349513072E-2</v>
      </c>
      <c r="W59" s="30">
        <v>44844</v>
      </c>
      <c r="X59" s="31">
        <v>2.20579555023886E-2</v>
      </c>
      <c r="Y59" s="30">
        <v>46219</v>
      </c>
      <c r="Z59" s="31">
        <v>2.23272535096622E-2</v>
      </c>
      <c r="AA59" s="30">
        <v>47180</v>
      </c>
      <c r="AB59" s="31">
        <v>2.2149901973303701E-2</v>
      </c>
      <c r="AC59" s="30">
        <v>48362</v>
      </c>
      <c r="AD59" s="31">
        <v>2.20692084755763E-2</v>
      </c>
      <c r="AE59" s="30">
        <v>59086</v>
      </c>
      <c r="AF59" s="31">
        <v>2.5913343841469198E-2</v>
      </c>
      <c r="AG59" s="30">
        <v>60350</v>
      </c>
      <c r="AH59" s="31">
        <v>2.47842619320718E-2</v>
      </c>
      <c r="AI59" s="30">
        <v>61430</v>
      </c>
      <c r="AJ59" s="31">
        <v>2.5383982843187901E-2</v>
      </c>
      <c r="AK59" s="30">
        <v>60684</v>
      </c>
      <c r="AL59" s="31">
        <v>2.44918023656359E-2</v>
      </c>
      <c r="AM59" s="30">
        <v>59449</v>
      </c>
      <c r="AN59" s="31">
        <v>2.3288136482919101E-2</v>
      </c>
      <c r="AO59" s="30">
        <v>59183</v>
      </c>
      <c r="AP59" s="31">
        <v>2.3443630591792899E-2</v>
      </c>
      <c r="AQ59" s="30">
        <v>59417</v>
      </c>
      <c r="AR59" s="31">
        <v>2.3679064330841399E-2</v>
      </c>
      <c r="AS59" s="30">
        <v>69327</v>
      </c>
      <c r="AT59" s="31">
        <v>2.6643366963408702E-2</v>
      </c>
      <c r="AU59" s="30">
        <v>61732</v>
      </c>
      <c r="AV59" s="31">
        <v>2.3419624880828601E-2</v>
      </c>
    </row>
    <row r="60" spans="1:48" x14ac:dyDescent="0.25">
      <c r="A60" s="11" t="s">
        <v>1261</v>
      </c>
      <c r="B60" s="11"/>
      <c r="C60" s="30">
        <v>937</v>
      </c>
      <c r="D60" s="31">
        <v>5.4461608924961599E-4</v>
      </c>
      <c r="E60" s="30">
        <v>1526</v>
      </c>
      <c r="F60" s="31">
        <v>8.5903350286954401E-4</v>
      </c>
      <c r="G60" s="30">
        <v>1255</v>
      </c>
      <c r="H60" s="31">
        <v>6.9904517669968204E-4</v>
      </c>
      <c r="I60" s="30">
        <v>1154</v>
      </c>
      <c r="J60" s="31">
        <v>6.4544852520045796E-4</v>
      </c>
      <c r="K60" s="30">
        <v>1033</v>
      </c>
      <c r="L60" s="31">
        <v>5.7065233903930395E-4</v>
      </c>
      <c r="M60" s="30">
        <v>764</v>
      </c>
      <c r="N60" s="31">
        <v>4.2388797373226199E-4</v>
      </c>
      <c r="O60" s="30">
        <v>1167</v>
      </c>
      <c r="P60" s="31">
        <v>6.4700553419815097E-4</v>
      </c>
      <c r="Q60" s="30">
        <v>1224</v>
      </c>
      <c r="R60" s="31">
        <v>6.6130741123541798E-4</v>
      </c>
      <c r="S60" s="30">
        <v>1254</v>
      </c>
      <c r="T60" s="31">
        <v>6.1608724660095697E-4</v>
      </c>
      <c r="U60" s="30">
        <v>1688</v>
      </c>
      <c r="V60" s="31">
        <v>6.08705498327142E-4</v>
      </c>
      <c r="W60" s="30">
        <v>2026</v>
      </c>
      <c r="X60" s="31">
        <v>9.9655289108552497E-4</v>
      </c>
      <c r="Y60" s="30">
        <v>1488</v>
      </c>
      <c r="Z60" s="31">
        <v>7.1881592467118297E-4</v>
      </c>
      <c r="AA60" s="30">
        <v>2000</v>
      </c>
      <c r="AB60" s="31">
        <v>9.3895302981363699E-4</v>
      </c>
      <c r="AC60" s="30">
        <v>1916</v>
      </c>
      <c r="AD60" s="31">
        <v>8.7433529298218198E-4</v>
      </c>
      <c r="AE60" s="30">
        <v>1793</v>
      </c>
      <c r="AF60" s="31">
        <v>7.8635591354558399E-4</v>
      </c>
      <c r="AG60" s="30">
        <v>1482</v>
      </c>
      <c r="AH60" s="31">
        <v>6.0862098066827601E-4</v>
      </c>
      <c r="AI60" s="30">
        <v>1505</v>
      </c>
      <c r="AJ60" s="31">
        <v>6.2189311702747505E-4</v>
      </c>
      <c r="AK60" s="30">
        <v>1827</v>
      </c>
      <c r="AL60" s="31">
        <v>7.3736937120191196E-4</v>
      </c>
      <c r="AM60" s="30">
        <v>2164</v>
      </c>
      <c r="AN60" s="31">
        <v>8.4771026172075E-4</v>
      </c>
      <c r="AO60" s="30">
        <v>2256</v>
      </c>
      <c r="AP60" s="31">
        <v>8.9364903122661704E-4</v>
      </c>
      <c r="AQ60" s="30">
        <v>2123</v>
      </c>
      <c r="AR60" s="31">
        <v>8.4606515937149702E-4</v>
      </c>
      <c r="AS60" s="30">
        <v>2063</v>
      </c>
      <c r="AT60" s="31">
        <v>7.9284068321883302E-4</v>
      </c>
      <c r="AU60" s="30">
        <v>2014</v>
      </c>
      <c r="AV60" s="31">
        <v>7.6406279579454401E-4</v>
      </c>
    </row>
    <row r="61" spans="1:48" x14ac:dyDescent="0.25">
      <c r="A61" s="11" t="s">
        <v>1259</v>
      </c>
      <c r="B61" s="11"/>
      <c r="C61" s="30">
        <v>1191</v>
      </c>
      <c r="D61" s="31">
        <v>6.9224947950511403E-4</v>
      </c>
      <c r="E61" s="30">
        <v>1303</v>
      </c>
      <c r="F61" s="31">
        <v>7.3349977342006202E-4</v>
      </c>
      <c r="G61" s="30">
        <v>1410</v>
      </c>
      <c r="H61" s="31">
        <v>7.8538143358290995E-4</v>
      </c>
      <c r="I61" s="30">
        <v>1507</v>
      </c>
      <c r="J61" s="31">
        <v>8.4288641895761702E-4</v>
      </c>
      <c r="K61" s="30">
        <v>1618</v>
      </c>
      <c r="L61" s="31">
        <v>8.9381944294830002E-4</v>
      </c>
      <c r="M61" s="30">
        <v>1727</v>
      </c>
      <c r="N61" s="31">
        <v>9.5818655842358101E-4</v>
      </c>
      <c r="O61" s="30">
        <v>1634</v>
      </c>
      <c r="P61" s="31">
        <v>9.0591863143082995E-4</v>
      </c>
      <c r="Q61" s="30">
        <v>1748</v>
      </c>
      <c r="R61" s="31">
        <v>9.4441613957476397E-4</v>
      </c>
      <c r="S61" s="30">
        <v>1845</v>
      </c>
      <c r="T61" s="31">
        <v>9.0644415468801095E-4</v>
      </c>
      <c r="U61" s="30">
        <v>976</v>
      </c>
      <c r="V61" s="31">
        <v>3.51952942160717E-4</v>
      </c>
      <c r="W61" s="30">
        <v>1078</v>
      </c>
      <c r="X61" s="31">
        <v>5.3024877423010601E-4</v>
      </c>
      <c r="Y61" s="30">
        <v>787</v>
      </c>
      <c r="Z61" s="31">
        <v>3.8018019671789001E-4</v>
      </c>
      <c r="AA61" s="30">
        <v>886</v>
      </c>
      <c r="AB61" s="31">
        <v>4.1595619220744098E-4</v>
      </c>
      <c r="AC61" s="30">
        <v>656</v>
      </c>
      <c r="AD61" s="31">
        <v>2.9935488110454701E-4</v>
      </c>
      <c r="AE61" s="30">
        <v>883</v>
      </c>
      <c r="AF61" s="31">
        <v>3.8725726249902399E-4</v>
      </c>
      <c r="AG61" s="30">
        <v>744</v>
      </c>
      <c r="AH61" s="31">
        <v>3.0554251661079398E-4</v>
      </c>
      <c r="AI61" s="30">
        <v>931</v>
      </c>
      <c r="AJ61" s="31">
        <v>3.8470597471932202E-4</v>
      </c>
      <c r="AK61" s="30">
        <v>1102</v>
      </c>
      <c r="AL61" s="31">
        <v>4.4476247786781999E-4</v>
      </c>
      <c r="AM61" s="30">
        <v>1204</v>
      </c>
      <c r="AN61" s="31">
        <v>4.7164655966348601E-4</v>
      </c>
      <c r="AO61" s="30">
        <v>899</v>
      </c>
      <c r="AP61" s="31">
        <v>3.5611280100741497E-4</v>
      </c>
      <c r="AQ61" s="30">
        <v>1085</v>
      </c>
      <c r="AR61" s="31">
        <v>4.3239787937733099E-4</v>
      </c>
      <c r="AS61" s="30">
        <v>1309</v>
      </c>
      <c r="AT61" s="31">
        <v>5.0306759783492604E-4</v>
      </c>
      <c r="AU61" s="30">
        <v>1467</v>
      </c>
      <c r="AV61" s="31">
        <v>5.5654425095858797E-4</v>
      </c>
    </row>
    <row r="62" spans="1:48" x14ac:dyDescent="0.25">
      <c r="A62" s="11" t="s">
        <v>1262</v>
      </c>
      <c r="B62" s="11"/>
      <c r="C62" s="30">
        <v>5325</v>
      </c>
      <c r="D62" s="31">
        <v>3.0950700909863401E-3</v>
      </c>
      <c r="E62" s="30">
        <v>5619</v>
      </c>
      <c r="F62" s="31">
        <v>3.16311222321361E-3</v>
      </c>
      <c r="G62" s="30">
        <v>5730</v>
      </c>
      <c r="H62" s="31">
        <v>3.1916564641347998E-3</v>
      </c>
      <c r="I62" s="30">
        <v>6020</v>
      </c>
      <c r="J62" s="31">
        <v>3.3670711626575E-3</v>
      </c>
      <c r="K62" s="30">
        <v>6171</v>
      </c>
      <c r="L62" s="31">
        <v>3.4089986294400299E-3</v>
      </c>
      <c r="M62" s="30">
        <v>6367</v>
      </c>
      <c r="N62" s="31">
        <v>3.5325847234991001E-3</v>
      </c>
      <c r="O62" s="30">
        <v>6579</v>
      </c>
      <c r="P62" s="31">
        <v>3.64751448970834E-3</v>
      </c>
      <c r="Q62" s="30">
        <v>6735</v>
      </c>
      <c r="R62" s="31">
        <v>3.6388116132929299E-3</v>
      </c>
      <c r="S62" s="30">
        <v>6928</v>
      </c>
      <c r="T62" s="31">
        <v>3.4037100832945998E-3</v>
      </c>
      <c r="U62" s="30">
        <v>6952</v>
      </c>
      <c r="V62" s="31">
        <v>2.5069434978497E-3</v>
      </c>
      <c r="W62" s="30">
        <v>676</v>
      </c>
      <c r="X62" s="31">
        <v>3.3251221834837798E-4</v>
      </c>
      <c r="Y62" s="30">
        <v>706</v>
      </c>
      <c r="Z62" s="31">
        <v>3.4105110404425703E-4</v>
      </c>
      <c r="AA62" s="30">
        <v>660</v>
      </c>
      <c r="AB62" s="31">
        <v>3.0985449983849999E-4</v>
      </c>
      <c r="AC62" s="30">
        <v>672</v>
      </c>
      <c r="AD62" s="31">
        <v>3.0665621966807202E-4</v>
      </c>
      <c r="AE62" s="30">
        <v>657</v>
      </c>
      <c r="AF62" s="31">
        <v>2.88140454656692E-4</v>
      </c>
      <c r="AG62" s="30">
        <v>639</v>
      </c>
      <c r="AH62" s="31">
        <v>2.6242159692781901E-4</v>
      </c>
      <c r="AI62" s="30">
        <v>616</v>
      </c>
      <c r="AJ62" s="31">
        <v>2.5454229906240799E-4</v>
      </c>
      <c r="AK62" s="30">
        <v>602</v>
      </c>
      <c r="AL62" s="31">
        <v>2.4296462039603199E-4</v>
      </c>
      <c r="AM62" s="30">
        <v>601</v>
      </c>
      <c r="AN62" s="31">
        <v>2.35431546808767E-4</v>
      </c>
      <c r="AO62" s="30">
        <v>612</v>
      </c>
      <c r="AP62" s="31">
        <v>2.4242606698168901E-4</v>
      </c>
      <c r="AQ62" s="30">
        <v>594</v>
      </c>
      <c r="AR62" s="31">
        <v>2.3672289433192099E-4</v>
      </c>
      <c r="AS62" s="30">
        <v>620</v>
      </c>
      <c r="AT62" s="31">
        <v>2.38274950846184E-4</v>
      </c>
      <c r="AU62" s="30">
        <v>685</v>
      </c>
      <c r="AV62" s="31">
        <v>2.59872400754351E-4</v>
      </c>
    </row>
    <row r="63" spans="1:48" x14ac:dyDescent="0.25">
      <c r="A63" s="11" t="s">
        <v>1255</v>
      </c>
      <c r="B63" s="11"/>
      <c r="C63" s="30">
        <v>-199496</v>
      </c>
      <c r="D63" s="31">
        <v>-0.115953822135476</v>
      </c>
      <c r="E63" s="30">
        <v>-212498</v>
      </c>
      <c r="F63" s="31">
        <v>-0.11962182260338899</v>
      </c>
      <c r="G63" s="30">
        <v>-221483</v>
      </c>
      <c r="H63" s="31">
        <v>-0.12336782698882499</v>
      </c>
      <c r="I63" s="30">
        <v>-228449</v>
      </c>
      <c r="J63" s="31">
        <v>-0.127774757481386</v>
      </c>
      <c r="K63" s="30">
        <v>-235968</v>
      </c>
      <c r="L63" s="31">
        <v>-0.13035400884649201</v>
      </c>
      <c r="M63" s="30">
        <v>-245205</v>
      </c>
      <c r="N63" s="31">
        <v>-0.136046401307617</v>
      </c>
      <c r="O63" s="30">
        <v>-250008</v>
      </c>
      <c r="P63" s="31">
        <v>-0.13860887711552</v>
      </c>
      <c r="Q63" s="30">
        <v>-245918</v>
      </c>
      <c r="R63" s="31">
        <v>-0.132865519572052</v>
      </c>
      <c r="S63" s="30">
        <v>-459379</v>
      </c>
      <c r="T63" s="31">
        <v>-0.22569182077854999</v>
      </c>
      <c r="U63" s="30">
        <v>369891</v>
      </c>
      <c r="V63" s="31">
        <v>0.13338547718111701</v>
      </c>
      <c r="W63" s="30">
        <v>-291795</v>
      </c>
      <c r="X63" s="31">
        <v>-0.14352870229728601</v>
      </c>
      <c r="Y63" s="30">
        <v>-289874</v>
      </c>
      <c r="Z63" s="31">
        <v>-0.140030945798477</v>
      </c>
      <c r="AA63" s="30">
        <v>-335246</v>
      </c>
      <c r="AB63" s="31">
        <v>-0.157390123716451</v>
      </c>
      <c r="AC63" s="30">
        <v>-289144</v>
      </c>
      <c r="AD63" s="31">
        <v>-0.13194613985075199</v>
      </c>
      <c r="AE63" s="30">
        <v>-304420</v>
      </c>
      <c r="AF63" s="31">
        <v>-0.13350946302372901</v>
      </c>
      <c r="AG63" s="30">
        <v>-298543</v>
      </c>
      <c r="AH63" s="31">
        <v>-0.122604273570613</v>
      </c>
      <c r="AI63" s="30">
        <v>-306469</v>
      </c>
      <c r="AJ63" s="31">
        <v>-0.12663851274571</v>
      </c>
      <c r="AK63" s="30">
        <v>-307939</v>
      </c>
      <c r="AL63" s="31">
        <v>-0.12428286086401</v>
      </c>
      <c r="AM63" s="30">
        <v>-353976</v>
      </c>
      <c r="AN63" s="31">
        <v>-0.13866408854106499</v>
      </c>
      <c r="AO63" s="30">
        <v>-314874</v>
      </c>
      <c r="AP63" s="31">
        <v>-0.12472821146207901</v>
      </c>
      <c r="AQ63" s="30">
        <v>-320302</v>
      </c>
      <c r="AR63" s="31">
        <v>-0.12764783922609901</v>
      </c>
      <c r="AS63" s="30">
        <v>-320946</v>
      </c>
      <c r="AT63" s="31">
        <v>-0.123344181248837</v>
      </c>
      <c r="AU63" s="30">
        <v>-322772</v>
      </c>
      <c r="AV63" s="31">
        <v>-0.12245187523544999</v>
      </c>
    </row>
    <row r="64" spans="1:48" x14ac:dyDescent="0.25">
      <c r="A64" s="11" t="s">
        <v>1263</v>
      </c>
      <c r="B64" s="11"/>
      <c r="C64" s="30">
        <v>-0.61</v>
      </c>
      <c r="D64" s="31"/>
      <c r="E64" s="30">
        <v>1.18</v>
      </c>
      <c r="F64" s="31"/>
      <c r="G64" s="30">
        <v>-0.41170200000000001</v>
      </c>
      <c r="H64" s="31"/>
      <c r="I64" s="30" t="s">
        <v>1033</v>
      </c>
      <c r="J64" s="31"/>
      <c r="K64" s="30">
        <v>-1</v>
      </c>
      <c r="L64" s="31"/>
      <c r="M64" s="30">
        <v>8.9479000000000003E-2</v>
      </c>
      <c r="N64" s="31"/>
      <c r="O64" s="30">
        <v>1.2136130000000001</v>
      </c>
      <c r="P64" s="31"/>
      <c r="Q64" s="30" t="s">
        <v>1033</v>
      </c>
      <c r="R64" s="31"/>
      <c r="S64" s="30">
        <v>1</v>
      </c>
      <c r="T64" s="31"/>
      <c r="U64" s="30">
        <v>-739783</v>
      </c>
      <c r="V64" s="31"/>
      <c r="W64" s="30" t="s">
        <v>1033</v>
      </c>
      <c r="X64" s="31"/>
      <c r="Y64" s="30" t="s">
        <v>1033</v>
      </c>
      <c r="Z64" s="31"/>
      <c r="AA64" s="30">
        <v>-1</v>
      </c>
      <c r="AB64" s="31"/>
      <c r="AC64" s="30">
        <v>-1</v>
      </c>
      <c r="AD64" s="31"/>
      <c r="AE64" s="30">
        <v>-5279</v>
      </c>
      <c r="AF64" s="31"/>
      <c r="AG64" s="30">
        <v>-1</v>
      </c>
      <c r="AH64" s="31"/>
      <c r="AI64" s="30">
        <v>1</v>
      </c>
      <c r="AJ64" s="31"/>
      <c r="AK64" s="30">
        <v>-6518</v>
      </c>
      <c r="AL64" s="31"/>
      <c r="AM64" s="30" t="s">
        <v>1033</v>
      </c>
      <c r="AN64" s="31"/>
      <c r="AO64" s="30" t="s">
        <v>1033</v>
      </c>
      <c r="AP64" s="31"/>
      <c r="AQ64" s="30" t="s">
        <v>1033</v>
      </c>
      <c r="AR64" s="31"/>
      <c r="AS64" s="30">
        <v>-3373</v>
      </c>
      <c r="AT64" s="31"/>
      <c r="AU64" s="30" t="s">
        <v>1033</v>
      </c>
      <c r="AV64" s="31"/>
    </row>
    <row r="65" spans="1:48" x14ac:dyDescent="0.25">
      <c r="A65" s="11" t="s">
        <v>1264</v>
      </c>
      <c r="B65" s="11"/>
      <c r="C65" s="30">
        <v>137</v>
      </c>
      <c r="D65" s="31">
        <v>7.9629033326784806E-5</v>
      </c>
      <c r="E65" s="30">
        <v>136</v>
      </c>
      <c r="F65" s="31">
        <v>7.6558687018517604E-5</v>
      </c>
      <c r="G65" s="30">
        <v>136</v>
      </c>
      <c r="H65" s="31">
        <v>7.5753102813670803E-5</v>
      </c>
      <c r="I65" s="30">
        <v>135</v>
      </c>
      <c r="J65" s="31">
        <v>7.5507409793814395E-5</v>
      </c>
      <c r="K65" s="30">
        <v>128</v>
      </c>
      <c r="L65" s="31">
        <v>7.0710067180087996E-5</v>
      </c>
      <c r="M65" s="30">
        <v>332</v>
      </c>
      <c r="N65" s="31">
        <v>1.84202627328679E-4</v>
      </c>
      <c r="O65" s="30">
        <v>889</v>
      </c>
      <c r="P65" s="31">
        <v>4.9287739494614899E-4</v>
      </c>
      <c r="Q65" s="30">
        <v>1779</v>
      </c>
      <c r="R65" s="31">
        <v>9.6116493838873296E-4</v>
      </c>
      <c r="S65" s="30">
        <v>1781</v>
      </c>
      <c r="T65" s="31">
        <v>8.75001105419701E-4</v>
      </c>
      <c r="U65" s="30">
        <v>1721</v>
      </c>
      <c r="V65" s="31">
        <v>6.2060554657642798E-4</v>
      </c>
      <c r="W65" s="30">
        <v>1721</v>
      </c>
      <c r="X65" s="31">
        <v>8.4652888724490996E-4</v>
      </c>
      <c r="Y65" s="30">
        <v>1828</v>
      </c>
      <c r="Z65" s="31">
        <v>8.8306149885680296E-4</v>
      </c>
      <c r="AA65" s="30">
        <v>1812</v>
      </c>
      <c r="AB65" s="31">
        <v>8.5069144501115498E-4</v>
      </c>
      <c r="AC65" s="30">
        <v>1824</v>
      </c>
      <c r="AD65" s="31">
        <v>8.3235259624190997E-4</v>
      </c>
      <c r="AE65" s="30">
        <v>2602</v>
      </c>
      <c r="AF65" s="31">
        <v>1.14115900002544E-3</v>
      </c>
      <c r="AG65" s="30">
        <v>3491</v>
      </c>
      <c r="AH65" s="31">
        <v>1.43366791060253E-3</v>
      </c>
      <c r="AI65" s="30">
        <v>3877</v>
      </c>
      <c r="AJ65" s="31">
        <v>1.6020462556249301E-3</v>
      </c>
      <c r="AK65" s="30">
        <v>3588</v>
      </c>
      <c r="AL65" s="31">
        <v>1.44810142521755E-3</v>
      </c>
      <c r="AM65" s="30">
        <v>3698</v>
      </c>
      <c r="AN65" s="31">
        <v>1.44862871896642E-3</v>
      </c>
      <c r="AO65" s="30">
        <v>3263</v>
      </c>
      <c r="AP65" s="31">
        <v>1.29254290287786E-3</v>
      </c>
      <c r="AQ65" s="30" t="s">
        <v>1033</v>
      </c>
      <c r="AR65" s="31"/>
      <c r="AS65" s="30" t="s">
        <v>1033</v>
      </c>
      <c r="AT65" s="31"/>
      <c r="AU65" s="30" t="s">
        <v>1033</v>
      </c>
      <c r="AV65" s="31"/>
    </row>
    <row r="66" spans="1:48" x14ac:dyDescent="0.25">
      <c r="A66" s="8" t="s">
        <v>84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X42"/>
  <sheetViews>
    <sheetView tabSelected="1" workbookViewId="0">
      <selection activeCell="L11" sqref="L11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  <col min="33" max="33" width="11.85546875" customWidth="1"/>
    <col min="34" max="34" width="7" customWidth="1"/>
    <col min="35" max="35" width="11.85546875" customWidth="1"/>
    <col min="36" max="36" width="7" customWidth="1"/>
    <col min="37" max="37" width="11.85546875" customWidth="1"/>
    <col min="38" max="38" width="7" customWidth="1"/>
    <col min="39" max="39" width="11.85546875" customWidth="1"/>
    <col min="40" max="40" width="7" customWidth="1"/>
    <col min="41" max="41" width="11.85546875" customWidth="1"/>
    <col min="42" max="42" width="7" customWidth="1"/>
    <col min="43" max="43" width="11.85546875" customWidth="1"/>
    <col min="44" max="44" width="7" customWidth="1"/>
    <col min="45" max="45" width="11.85546875" customWidth="1"/>
    <col min="46" max="46" width="7" customWidth="1"/>
    <col min="47" max="47" width="11.85546875" customWidth="1"/>
    <col min="48" max="48" width="7" customWidth="1"/>
    <col min="49" max="49" width="11.85546875" customWidth="1"/>
    <col min="50" max="50" width="7" customWidth="1"/>
  </cols>
  <sheetData>
    <row r="1" spans="1:5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20.25" x14ac:dyDescent="0.25">
      <c r="A2" s="9" t="s">
        <v>1267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1:5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25">
      <c r="A4" s="4" t="s">
        <v>86</v>
      </c>
      <c r="B4" s="4"/>
      <c r="C4" s="28" t="s">
        <v>6</v>
      </c>
      <c r="D4" s="28"/>
      <c r="E4" s="28" t="s">
        <v>7</v>
      </c>
      <c r="F4" s="28"/>
      <c r="G4" s="28" t="s">
        <v>8</v>
      </c>
      <c r="H4" s="28"/>
      <c r="I4" s="28" t="s">
        <v>9</v>
      </c>
      <c r="J4" s="28"/>
      <c r="K4" s="28" t="s">
        <v>10</v>
      </c>
      <c r="L4" s="28"/>
      <c r="M4" s="28" t="s">
        <v>11</v>
      </c>
      <c r="N4" s="28"/>
      <c r="O4" s="28" t="s">
        <v>12</v>
      </c>
      <c r="P4" s="28"/>
      <c r="Q4" s="28" t="s">
        <v>13</v>
      </c>
      <c r="R4" s="28"/>
      <c r="S4" s="28" t="s">
        <v>14</v>
      </c>
      <c r="T4" s="28"/>
      <c r="U4" s="28" t="s">
        <v>15</v>
      </c>
      <c r="V4" s="28"/>
      <c r="W4" s="28" t="s">
        <v>16</v>
      </c>
      <c r="X4" s="28"/>
      <c r="Y4" s="28" t="s">
        <v>17</v>
      </c>
      <c r="Z4" s="28"/>
      <c r="AA4" s="28" t="s">
        <v>18</v>
      </c>
      <c r="AB4" s="28"/>
      <c r="AC4" s="28" t="s">
        <v>19</v>
      </c>
      <c r="AD4" s="28"/>
      <c r="AE4" s="28" t="s">
        <v>20</v>
      </c>
      <c r="AF4" s="28"/>
      <c r="AG4" s="28" t="s">
        <v>21</v>
      </c>
      <c r="AH4" s="28"/>
      <c r="AI4" s="28" t="s">
        <v>22</v>
      </c>
      <c r="AJ4" s="28"/>
      <c r="AK4" s="28" t="s">
        <v>23</v>
      </c>
      <c r="AL4" s="28"/>
      <c r="AM4" s="28" t="s">
        <v>24</v>
      </c>
      <c r="AN4" s="28"/>
      <c r="AO4" s="28" t="s">
        <v>25</v>
      </c>
      <c r="AP4" s="28"/>
      <c r="AQ4" s="28" t="s">
        <v>26</v>
      </c>
      <c r="AR4" s="28"/>
      <c r="AS4" s="28" t="s">
        <v>27</v>
      </c>
      <c r="AT4" s="28"/>
      <c r="AU4" s="28" t="s">
        <v>28</v>
      </c>
      <c r="AV4" s="28"/>
      <c r="AW4" s="28" t="s">
        <v>29</v>
      </c>
      <c r="AX4" s="28"/>
    </row>
    <row r="5" spans="1:50" x14ac:dyDescent="0.25">
      <c r="A5" s="10" t="s">
        <v>31</v>
      </c>
      <c r="B5" s="10"/>
      <c r="C5" s="29" t="s">
        <v>32</v>
      </c>
      <c r="D5" s="29"/>
      <c r="E5" s="29" t="s">
        <v>33</v>
      </c>
      <c r="F5" s="29"/>
      <c r="G5" s="29" t="s">
        <v>34</v>
      </c>
      <c r="H5" s="29"/>
      <c r="I5" s="29" t="s">
        <v>35</v>
      </c>
      <c r="J5" s="29"/>
      <c r="K5" s="29" t="s">
        <v>36</v>
      </c>
      <c r="L5" s="29"/>
      <c r="M5" s="29" t="s">
        <v>37</v>
      </c>
      <c r="N5" s="29"/>
      <c r="O5" s="29" t="s">
        <v>38</v>
      </c>
      <c r="P5" s="29"/>
      <c r="Q5" s="29" t="s">
        <v>39</v>
      </c>
      <c r="R5" s="29"/>
      <c r="S5" s="29" t="s">
        <v>40</v>
      </c>
      <c r="T5" s="29"/>
      <c r="U5" s="29" t="s">
        <v>41</v>
      </c>
      <c r="V5" s="29"/>
      <c r="W5" s="29" t="s">
        <v>42</v>
      </c>
      <c r="X5" s="29"/>
      <c r="Y5" s="29" t="s">
        <v>43</v>
      </c>
      <c r="Z5" s="29"/>
      <c r="AA5" s="29" t="s">
        <v>44</v>
      </c>
      <c r="AB5" s="29"/>
      <c r="AC5" s="29" t="s">
        <v>45</v>
      </c>
      <c r="AD5" s="29"/>
      <c r="AE5" s="29" t="s">
        <v>46</v>
      </c>
      <c r="AF5" s="29"/>
      <c r="AG5" s="29" t="s">
        <v>47</v>
      </c>
      <c r="AH5" s="29"/>
      <c r="AI5" s="29" t="s">
        <v>48</v>
      </c>
      <c r="AJ5" s="29"/>
      <c r="AK5" s="29" t="s">
        <v>49</v>
      </c>
      <c r="AL5" s="29"/>
      <c r="AM5" s="29" t="s">
        <v>50</v>
      </c>
      <c r="AN5" s="29"/>
      <c r="AO5" s="29" t="s">
        <v>51</v>
      </c>
      <c r="AP5" s="29"/>
      <c r="AQ5" s="29" t="s">
        <v>52</v>
      </c>
      <c r="AR5" s="29"/>
      <c r="AS5" s="29" t="s">
        <v>53</v>
      </c>
      <c r="AT5" s="29"/>
      <c r="AU5" s="29" t="s">
        <v>54</v>
      </c>
      <c r="AV5" s="29"/>
      <c r="AW5" s="29" t="s">
        <v>55</v>
      </c>
      <c r="AX5" s="29"/>
    </row>
    <row r="6" spans="1:50" x14ac:dyDescent="0.25">
      <c r="A6" s="7" t="s">
        <v>0</v>
      </c>
      <c r="B6" s="7"/>
      <c r="C6" s="34">
        <v>44127</v>
      </c>
      <c r="D6" s="35">
        <v>1</v>
      </c>
      <c r="E6" s="34">
        <v>48717</v>
      </c>
      <c r="F6" s="35">
        <v>1</v>
      </c>
      <c r="G6" s="34">
        <v>48125.476198999997</v>
      </c>
      <c r="H6" s="35">
        <v>1</v>
      </c>
      <c r="I6" s="34">
        <v>48333.576831999999</v>
      </c>
      <c r="J6" s="35">
        <v>1</v>
      </c>
      <c r="K6" s="34">
        <v>69966</v>
      </c>
      <c r="L6" s="35">
        <v>1</v>
      </c>
      <c r="M6" s="34">
        <v>39150</v>
      </c>
      <c r="N6" s="35">
        <v>1</v>
      </c>
      <c r="O6" s="34">
        <v>38749</v>
      </c>
      <c r="P6" s="35">
        <v>1</v>
      </c>
      <c r="Q6" s="34">
        <v>58934.726197000004</v>
      </c>
      <c r="R6" s="35">
        <v>1</v>
      </c>
      <c r="S6" s="34">
        <v>79033</v>
      </c>
      <c r="T6" s="35">
        <v>1</v>
      </c>
      <c r="U6" s="34">
        <v>78059</v>
      </c>
      <c r="V6" s="35">
        <v>1</v>
      </c>
      <c r="W6" s="34">
        <v>89091000000</v>
      </c>
      <c r="X6" s="35">
        <v>1</v>
      </c>
      <c r="Y6" s="34">
        <v>98936.920524000001</v>
      </c>
      <c r="Z6" s="35">
        <v>1</v>
      </c>
      <c r="AA6" s="34">
        <v>109106</v>
      </c>
      <c r="AB6" s="35">
        <v>1</v>
      </c>
      <c r="AC6" s="34">
        <v>112755</v>
      </c>
      <c r="AD6" s="35">
        <v>1</v>
      </c>
      <c r="AE6" s="34">
        <v>119037</v>
      </c>
      <c r="AF6" s="35">
        <v>1</v>
      </c>
      <c r="AG6" s="34">
        <v>121888</v>
      </c>
      <c r="AH6" s="35">
        <v>1</v>
      </c>
      <c r="AI6" s="34">
        <v>123315</v>
      </c>
      <c r="AJ6" s="35">
        <v>1</v>
      </c>
      <c r="AK6" s="34">
        <v>119641</v>
      </c>
      <c r="AL6" s="35">
        <v>1</v>
      </c>
      <c r="AM6" s="34">
        <v>126480</v>
      </c>
      <c r="AN6" s="35">
        <v>1</v>
      </c>
      <c r="AO6" s="34">
        <v>136136</v>
      </c>
      <c r="AP6" s="35">
        <v>1</v>
      </c>
      <c r="AQ6" s="34">
        <v>141444</v>
      </c>
      <c r="AR6" s="35">
        <v>1</v>
      </c>
      <c r="AS6" s="34">
        <v>132622</v>
      </c>
      <c r="AT6" s="35">
        <v>1</v>
      </c>
      <c r="AU6" s="34">
        <v>123282</v>
      </c>
      <c r="AV6" s="35">
        <v>1</v>
      </c>
      <c r="AW6" s="34">
        <v>125979</v>
      </c>
      <c r="AX6" s="35">
        <v>1</v>
      </c>
    </row>
    <row r="7" spans="1:50" x14ac:dyDescent="0.25">
      <c r="A7" s="11" t="s">
        <v>1268</v>
      </c>
      <c r="B7" s="11"/>
      <c r="C7" s="30">
        <v>44127</v>
      </c>
      <c r="D7" s="31">
        <v>1</v>
      </c>
      <c r="E7" s="30">
        <v>48717</v>
      </c>
      <c r="F7" s="31">
        <v>1</v>
      </c>
      <c r="G7" s="30">
        <v>48125.476198999997</v>
      </c>
      <c r="H7" s="31">
        <v>1</v>
      </c>
      <c r="I7" s="30">
        <v>48333.576831999999</v>
      </c>
      <c r="J7" s="31">
        <v>1</v>
      </c>
      <c r="K7" s="30">
        <v>69966</v>
      </c>
      <c r="L7" s="31">
        <v>1</v>
      </c>
      <c r="M7" s="30">
        <v>39150</v>
      </c>
      <c r="N7" s="31">
        <v>1</v>
      </c>
      <c r="O7" s="30">
        <v>38749</v>
      </c>
      <c r="P7" s="31">
        <v>1</v>
      </c>
      <c r="Q7" s="30">
        <v>58934.726197000004</v>
      </c>
      <c r="R7" s="31">
        <v>1</v>
      </c>
      <c r="S7" s="30">
        <v>79033</v>
      </c>
      <c r="T7" s="31">
        <v>1</v>
      </c>
      <c r="U7" s="30">
        <v>78059</v>
      </c>
      <c r="V7" s="31">
        <v>1</v>
      </c>
      <c r="W7" s="30">
        <v>89091000000</v>
      </c>
      <c r="X7" s="31">
        <v>1</v>
      </c>
      <c r="Y7" s="30">
        <v>98936.920524000001</v>
      </c>
      <c r="Z7" s="31">
        <v>1</v>
      </c>
      <c r="AA7" s="30">
        <v>109106</v>
      </c>
      <c r="AB7" s="31">
        <v>1</v>
      </c>
      <c r="AC7" s="30">
        <v>112755</v>
      </c>
      <c r="AD7" s="31">
        <v>1</v>
      </c>
      <c r="AE7" s="30">
        <v>119037</v>
      </c>
      <c r="AF7" s="31">
        <v>1</v>
      </c>
      <c r="AG7" s="30">
        <v>121888</v>
      </c>
      <c r="AH7" s="31">
        <v>1</v>
      </c>
      <c r="AI7" s="30">
        <v>123315</v>
      </c>
      <c r="AJ7" s="31">
        <v>1</v>
      </c>
      <c r="AK7" s="30">
        <v>119641</v>
      </c>
      <c r="AL7" s="31">
        <v>1</v>
      </c>
      <c r="AM7" s="30">
        <v>126480</v>
      </c>
      <c r="AN7" s="31">
        <v>1</v>
      </c>
      <c r="AO7" s="30">
        <v>136136</v>
      </c>
      <c r="AP7" s="31">
        <v>1</v>
      </c>
      <c r="AQ7" s="30">
        <v>141444</v>
      </c>
      <c r="AR7" s="31">
        <v>1</v>
      </c>
      <c r="AS7" s="30">
        <v>132622</v>
      </c>
      <c r="AT7" s="31">
        <v>1</v>
      </c>
      <c r="AU7" s="30">
        <v>123282</v>
      </c>
      <c r="AV7" s="31">
        <v>1</v>
      </c>
      <c r="AW7" s="30">
        <v>125979</v>
      </c>
      <c r="AX7" s="31">
        <v>1</v>
      </c>
    </row>
    <row r="8" spans="1:50" x14ac:dyDescent="0.25">
      <c r="A8" s="7" t="s">
        <v>1253</v>
      </c>
      <c r="B8" s="7"/>
      <c r="C8" s="34">
        <v>29576</v>
      </c>
      <c r="D8" s="35">
        <v>1</v>
      </c>
      <c r="E8" s="34">
        <v>30228</v>
      </c>
      <c r="F8" s="35">
        <v>1</v>
      </c>
      <c r="G8" s="34">
        <v>37787.950642000003</v>
      </c>
      <c r="H8" s="35">
        <v>1</v>
      </c>
      <c r="I8" s="34">
        <v>154383</v>
      </c>
      <c r="J8" s="35">
        <v>1</v>
      </c>
      <c r="K8" s="34">
        <v>45352</v>
      </c>
      <c r="L8" s="35">
        <v>1</v>
      </c>
      <c r="M8" s="34">
        <v>27783</v>
      </c>
      <c r="N8" s="35">
        <v>1</v>
      </c>
      <c r="O8" s="34">
        <v>28728</v>
      </c>
      <c r="P8" s="35">
        <v>1</v>
      </c>
      <c r="Q8" s="34">
        <v>47775.823351999999</v>
      </c>
      <c r="R8" s="35">
        <v>1</v>
      </c>
      <c r="S8" s="34">
        <v>50722</v>
      </c>
      <c r="T8" s="35">
        <v>1</v>
      </c>
      <c r="U8" s="34">
        <v>44821</v>
      </c>
      <c r="V8" s="35">
        <v>1</v>
      </c>
      <c r="W8" s="34">
        <v>47623000000</v>
      </c>
      <c r="X8" s="35">
        <v>1</v>
      </c>
      <c r="Y8" s="34">
        <v>49422.258236000001</v>
      </c>
      <c r="Z8" s="35">
        <v>1</v>
      </c>
      <c r="AA8" s="34">
        <v>53613</v>
      </c>
      <c r="AB8" s="35">
        <v>1</v>
      </c>
      <c r="AC8" s="34">
        <v>49736</v>
      </c>
      <c r="AD8" s="35">
        <v>1</v>
      </c>
      <c r="AE8" s="34">
        <v>52653</v>
      </c>
      <c r="AF8" s="35">
        <v>1</v>
      </c>
      <c r="AG8" s="34">
        <v>58724</v>
      </c>
      <c r="AH8" s="35">
        <v>1</v>
      </c>
      <c r="AI8" s="34">
        <v>62609</v>
      </c>
      <c r="AJ8" s="35">
        <v>1</v>
      </c>
      <c r="AK8" s="34">
        <v>56427</v>
      </c>
      <c r="AL8" s="35">
        <v>1</v>
      </c>
      <c r="AM8" s="34">
        <v>58529</v>
      </c>
      <c r="AN8" s="35">
        <v>1</v>
      </c>
      <c r="AO8" s="34">
        <v>61665</v>
      </c>
      <c r="AP8" s="35">
        <v>1</v>
      </c>
      <c r="AQ8" s="34">
        <v>68864</v>
      </c>
      <c r="AR8" s="35">
        <v>1</v>
      </c>
      <c r="AS8" s="34">
        <v>62625</v>
      </c>
      <c r="AT8" s="35">
        <v>1</v>
      </c>
      <c r="AU8" s="34">
        <v>62382</v>
      </c>
      <c r="AV8" s="35">
        <v>1</v>
      </c>
      <c r="AW8" s="34">
        <v>71482</v>
      </c>
      <c r="AX8" s="35">
        <v>1</v>
      </c>
    </row>
    <row r="9" spans="1:50" x14ac:dyDescent="0.25">
      <c r="A9" s="11" t="s">
        <v>1268</v>
      </c>
      <c r="B9" s="11"/>
      <c r="C9" s="30">
        <v>29576</v>
      </c>
      <c r="D9" s="31">
        <v>1</v>
      </c>
      <c r="E9" s="30">
        <v>30228</v>
      </c>
      <c r="F9" s="31">
        <v>1</v>
      </c>
      <c r="G9" s="30">
        <v>37787.950642000003</v>
      </c>
      <c r="H9" s="31">
        <v>1</v>
      </c>
      <c r="I9" s="30">
        <v>154383</v>
      </c>
      <c r="J9" s="31">
        <v>1</v>
      </c>
      <c r="K9" s="30">
        <v>45352</v>
      </c>
      <c r="L9" s="31">
        <v>1</v>
      </c>
      <c r="M9" s="30">
        <v>27783</v>
      </c>
      <c r="N9" s="31">
        <v>1</v>
      </c>
      <c r="O9" s="30">
        <v>28728</v>
      </c>
      <c r="P9" s="31">
        <v>1</v>
      </c>
      <c r="Q9" s="30">
        <v>47775.823351999999</v>
      </c>
      <c r="R9" s="31">
        <v>1</v>
      </c>
      <c r="S9" s="30">
        <v>50722</v>
      </c>
      <c r="T9" s="31">
        <v>1</v>
      </c>
      <c r="U9" s="30">
        <v>44821</v>
      </c>
      <c r="V9" s="31">
        <v>1</v>
      </c>
      <c r="W9" s="30">
        <v>47623000000</v>
      </c>
      <c r="X9" s="31">
        <v>1</v>
      </c>
      <c r="Y9" s="30">
        <v>49422.258236000001</v>
      </c>
      <c r="Z9" s="31">
        <v>1</v>
      </c>
      <c r="AA9" s="30">
        <v>53613</v>
      </c>
      <c r="AB9" s="31">
        <v>1</v>
      </c>
      <c r="AC9" s="30">
        <v>49736</v>
      </c>
      <c r="AD9" s="31">
        <v>1</v>
      </c>
      <c r="AE9" s="30">
        <v>52653</v>
      </c>
      <c r="AF9" s="31">
        <v>1</v>
      </c>
      <c r="AG9" s="30">
        <v>58724</v>
      </c>
      <c r="AH9" s="31">
        <v>1</v>
      </c>
      <c r="AI9" s="30">
        <v>62609</v>
      </c>
      <c r="AJ9" s="31">
        <v>1</v>
      </c>
      <c r="AK9" s="30">
        <v>56427</v>
      </c>
      <c r="AL9" s="31">
        <v>1</v>
      </c>
      <c r="AM9" s="30">
        <v>58529</v>
      </c>
      <c r="AN9" s="31">
        <v>1</v>
      </c>
      <c r="AO9" s="30">
        <v>61665</v>
      </c>
      <c r="AP9" s="31">
        <v>1</v>
      </c>
      <c r="AQ9" s="30">
        <v>68864</v>
      </c>
      <c r="AR9" s="31">
        <v>1</v>
      </c>
      <c r="AS9" s="30">
        <v>62625</v>
      </c>
      <c r="AT9" s="31">
        <v>1</v>
      </c>
      <c r="AU9" s="30">
        <v>62382</v>
      </c>
      <c r="AV9" s="31">
        <v>1</v>
      </c>
      <c r="AW9" s="30">
        <v>71482</v>
      </c>
      <c r="AX9" s="31">
        <v>1</v>
      </c>
    </row>
    <row r="10" spans="1:50" x14ac:dyDescent="0.25">
      <c r="A10" s="7" t="s">
        <v>405</v>
      </c>
      <c r="B10" s="7"/>
      <c r="C10" s="34">
        <v>12106</v>
      </c>
      <c r="D10" s="35">
        <v>1</v>
      </c>
      <c r="E10" s="34">
        <v>9128</v>
      </c>
      <c r="F10" s="35">
        <v>1</v>
      </c>
      <c r="G10" s="34">
        <v>11716.643959999999</v>
      </c>
      <c r="H10" s="35">
        <v>1</v>
      </c>
      <c r="I10" s="34">
        <v>7288.8305760000003</v>
      </c>
      <c r="J10" s="35">
        <v>1</v>
      </c>
      <c r="K10" s="34">
        <v>10905</v>
      </c>
      <c r="L10" s="35">
        <v>1</v>
      </c>
      <c r="M10" s="34">
        <v>10771</v>
      </c>
      <c r="N10" s="35">
        <v>1</v>
      </c>
      <c r="O10" s="34">
        <v>11445</v>
      </c>
      <c r="P10" s="35">
        <v>1</v>
      </c>
      <c r="Q10" s="34">
        <v>10700.982596</v>
      </c>
      <c r="R10" s="35">
        <v>1</v>
      </c>
      <c r="S10" s="34">
        <v>15018</v>
      </c>
      <c r="T10" s="35">
        <v>1</v>
      </c>
      <c r="U10" s="34">
        <v>15264</v>
      </c>
      <c r="V10" s="35">
        <v>1</v>
      </c>
      <c r="W10" s="34">
        <v>-15657000000</v>
      </c>
      <c r="X10" s="35"/>
      <c r="Y10" s="34">
        <v>15083.126203</v>
      </c>
      <c r="Z10" s="35">
        <v>1</v>
      </c>
      <c r="AA10" s="34">
        <v>17412</v>
      </c>
      <c r="AB10" s="35">
        <v>1</v>
      </c>
      <c r="AC10" s="34">
        <v>17744</v>
      </c>
      <c r="AD10" s="35">
        <v>1</v>
      </c>
      <c r="AE10" s="34">
        <v>17723</v>
      </c>
      <c r="AF10" s="35">
        <v>1</v>
      </c>
      <c r="AG10" s="34">
        <v>16682</v>
      </c>
      <c r="AH10" s="35">
        <v>1</v>
      </c>
      <c r="AI10" s="34">
        <v>19579</v>
      </c>
      <c r="AJ10" s="35">
        <v>1</v>
      </c>
      <c r="AK10" s="34">
        <v>18289</v>
      </c>
      <c r="AL10" s="35">
        <v>1</v>
      </c>
      <c r="AM10" s="34">
        <v>19383</v>
      </c>
      <c r="AN10" s="35">
        <v>1</v>
      </c>
      <c r="AO10" s="34">
        <v>18006</v>
      </c>
      <c r="AP10" s="35">
        <v>1</v>
      </c>
      <c r="AQ10" s="34" t="s">
        <v>1033</v>
      </c>
      <c r="AR10" s="35"/>
      <c r="AS10" s="34">
        <v>19284</v>
      </c>
      <c r="AT10" s="35">
        <v>1</v>
      </c>
      <c r="AU10" s="34">
        <v>18244</v>
      </c>
      <c r="AV10" s="35">
        <v>1</v>
      </c>
      <c r="AW10" s="34">
        <v>22752</v>
      </c>
      <c r="AX10" s="35">
        <v>1</v>
      </c>
    </row>
    <row r="11" spans="1:50" x14ac:dyDescent="0.25">
      <c r="A11" s="11" t="s">
        <v>1268</v>
      </c>
      <c r="B11" s="11"/>
      <c r="C11" s="30">
        <v>12106</v>
      </c>
      <c r="D11" s="31">
        <v>1</v>
      </c>
      <c r="E11" s="30">
        <v>9128</v>
      </c>
      <c r="F11" s="31">
        <v>1</v>
      </c>
      <c r="G11" s="30">
        <v>11716.643959999999</v>
      </c>
      <c r="H11" s="31">
        <v>1</v>
      </c>
      <c r="I11" s="30">
        <v>7288.8305760000003</v>
      </c>
      <c r="J11" s="31">
        <v>1</v>
      </c>
      <c r="K11" s="30">
        <v>10905</v>
      </c>
      <c r="L11" s="31">
        <v>1</v>
      </c>
      <c r="M11" s="30">
        <v>10771</v>
      </c>
      <c r="N11" s="31">
        <v>1</v>
      </c>
      <c r="O11" s="30">
        <v>11445</v>
      </c>
      <c r="P11" s="31">
        <v>1</v>
      </c>
      <c r="Q11" s="30">
        <v>10700.982596</v>
      </c>
      <c r="R11" s="31">
        <v>1</v>
      </c>
      <c r="S11" s="30">
        <v>15018</v>
      </c>
      <c r="T11" s="31">
        <v>1</v>
      </c>
      <c r="U11" s="30">
        <v>15264</v>
      </c>
      <c r="V11" s="31">
        <v>1</v>
      </c>
      <c r="W11" s="30">
        <v>-15657000000</v>
      </c>
      <c r="X11" s="31">
        <v>1</v>
      </c>
      <c r="Y11" s="30">
        <v>15083.126203</v>
      </c>
      <c r="Z11" s="31">
        <v>1</v>
      </c>
      <c r="AA11" s="30">
        <v>17412</v>
      </c>
      <c r="AB11" s="31">
        <v>1</v>
      </c>
      <c r="AC11" s="30">
        <v>17744</v>
      </c>
      <c r="AD11" s="31">
        <v>1</v>
      </c>
      <c r="AE11" s="30">
        <v>17723</v>
      </c>
      <c r="AF11" s="31">
        <v>1</v>
      </c>
      <c r="AG11" s="30">
        <v>16682</v>
      </c>
      <c r="AH11" s="31">
        <v>1</v>
      </c>
      <c r="AI11" s="30">
        <v>19579</v>
      </c>
      <c r="AJ11" s="31">
        <v>1</v>
      </c>
      <c r="AK11" s="30">
        <v>18289</v>
      </c>
      <c r="AL11" s="31">
        <v>1</v>
      </c>
      <c r="AM11" s="30">
        <v>19383</v>
      </c>
      <c r="AN11" s="31">
        <v>1</v>
      </c>
      <c r="AO11" s="30">
        <v>18006</v>
      </c>
      <c r="AP11" s="31">
        <v>1</v>
      </c>
      <c r="AQ11" s="30" t="s">
        <v>1033</v>
      </c>
      <c r="AR11" s="31"/>
      <c r="AS11" s="30">
        <v>19284</v>
      </c>
      <c r="AT11" s="31">
        <v>1</v>
      </c>
      <c r="AU11" s="30">
        <v>18244</v>
      </c>
      <c r="AV11" s="31">
        <v>1</v>
      </c>
      <c r="AW11" s="30">
        <v>22752</v>
      </c>
      <c r="AX11" s="31">
        <v>1</v>
      </c>
    </row>
    <row r="12" spans="1:50" x14ac:dyDescent="0.25">
      <c r="A12" s="7" t="s">
        <v>1162</v>
      </c>
      <c r="B12" s="7"/>
      <c r="C12" s="34">
        <v>14551</v>
      </c>
      <c r="D12" s="35">
        <v>1</v>
      </c>
      <c r="E12" s="34">
        <v>18489</v>
      </c>
      <c r="F12" s="35">
        <v>1</v>
      </c>
      <c r="G12" s="34">
        <v>10337.525557000001</v>
      </c>
      <c r="H12" s="35">
        <v>1</v>
      </c>
      <c r="I12" s="34">
        <v>9613.8951140000008</v>
      </c>
      <c r="J12" s="35">
        <v>1</v>
      </c>
      <c r="K12" s="34">
        <v>24614</v>
      </c>
      <c r="L12" s="35">
        <v>1</v>
      </c>
      <c r="M12" s="34">
        <v>11367</v>
      </c>
      <c r="N12" s="35">
        <v>1</v>
      </c>
      <c r="O12" s="34">
        <v>10021</v>
      </c>
      <c r="P12" s="35">
        <v>1</v>
      </c>
      <c r="Q12" s="34">
        <v>11158.902845000001</v>
      </c>
      <c r="R12" s="35">
        <v>1</v>
      </c>
      <c r="S12" s="34">
        <v>28311</v>
      </c>
      <c r="T12" s="35">
        <v>1</v>
      </c>
      <c r="U12" s="34">
        <v>33238</v>
      </c>
      <c r="V12" s="35">
        <v>1</v>
      </c>
      <c r="W12" s="34">
        <v>41468000000</v>
      </c>
      <c r="X12" s="35">
        <v>1</v>
      </c>
      <c r="Y12" s="34">
        <v>49514.662288</v>
      </c>
      <c r="Z12" s="35">
        <v>1</v>
      </c>
      <c r="AA12" s="34">
        <v>55493</v>
      </c>
      <c r="AB12" s="35">
        <v>1</v>
      </c>
      <c r="AC12" s="34">
        <v>63019</v>
      </c>
      <c r="AD12" s="35">
        <v>1</v>
      </c>
      <c r="AE12" s="34">
        <v>66384</v>
      </c>
      <c r="AF12" s="35">
        <v>1</v>
      </c>
      <c r="AG12" s="34">
        <v>63164</v>
      </c>
      <c r="AH12" s="35">
        <v>1</v>
      </c>
      <c r="AI12" s="34">
        <v>60706</v>
      </c>
      <c r="AJ12" s="35">
        <v>1</v>
      </c>
      <c r="AK12" s="34">
        <v>63214</v>
      </c>
      <c r="AL12" s="35">
        <v>1</v>
      </c>
      <c r="AM12" s="34">
        <v>67951</v>
      </c>
      <c r="AN12" s="35">
        <v>1</v>
      </c>
      <c r="AO12" s="34">
        <v>74471</v>
      </c>
      <c r="AP12" s="35">
        <v>1</v>
      </c>
      <c r="AQ12" s="34" t="s">
        <v>1033</v>
      </c>
      <c r="AR12" s="35"/>
      <c r="AS12" s="34">
        <v>69997</v>
      </c>
      <c r="AT12" s="35">
        <v>1</v>
      </c>
      <c r="AU12" s="34">
        <v>60900</v>
      </c>
      <c r="AV12" s="35">
        <v>1</v>
      </c>
      <c r="AW12" s="34">
        <v>54497</v>
      </c>
      <c r="AX12" s="35">
        <v>1</v>
      </c>
    </row>
    <row r="13" spans="1:50" x14ac:dyDescent="0.25">
      <c r="A13" s="11" t="s">
        <v>1268</v>
      </c>
      <c r="B13" s="11"/>
      <c r="C13" s="30">
        <v>14551</v>
      </c>
      <c r="D13" s="31">
        <v>1</v>
      </c>
      <c r="E13" s="30">
        <v>18489</v>
      </c>
      <c r="F13" s="31">
        <v>1</v>
      </c>
      <c r="G13" s="30">
        <v>10337.525557000001</v>
      </c>
      <c r="H13" s="31">
        <v>1</v>
      </c>
      <c r="I13" s="30">
        <v>9613.8951140000008</v>
      </c>
      <c r="J13" s="31">
        <v>1</v>
      </c>
      <c r="K13" s="30">
        <v>24614</v>
      </c>
      <c r="L13" s="31">
        <v>1</v>
      </c>
      <c r="M13" s="30">
        <v>11367</v>
      </c>
      <c r="N13" s="31">
        <v>1</v>
      </c>
      <c r="O13" s="30">
        <v>10021</v>
      </c>
      <c r="P13" s="31">
        <v>1</v>
      </c>
      <c r="Q13" s="30">
        <v>11158.902845000001</v>
      </c>
      <c r="R13" s="31">
        <v>1</v>
      </c>
      <c r="S13" s="30">
        <v>28311</v>
      </c>
      <c r="T13" s="31">
        <v>1</v>
      </c>
      <c r="U13" s="30">
        <v>33238</v>
      </c>
      <c r="V13" s="31">
        <v>1</v>
      </c>
      <c r="W13" s="30">
        <v>41468000000</v>
      </c>
      <c r="X13" s="31">
        <v>1</v>
      </c>
      <c r="Y13" s="30">
        <v>49514.662288</v>
      </c>
      <c r="Z13" s="31">
        <v>1</v>
      </c>
      <c r="AA13" s="30">
        <v>55493</v>
      </c>
      <c r="AB13" s="31">
        <v>1</v>
      </c>
      <c r="AC13" s="30">
        <v>63019</v>
      </c>
      <c r="AD13" s="31">
        <v>1</v>
      </c>
      <c r="AE13" s="30">
        <v>66384</v>
      </c>
      <c r="AF13" s="31">
        <v>1</v>
      </c>
      <c r="AG13" s="30">
        <v>63164</v>
      </c>
      <c r="AH13" s="31">
        <v>1</v>
      </c>
      <c r="AI13" s="30">
        <v>60706</v>
      </c>
      <c r="AJ13" s="31">
        <v>1</v>
      </c>
      <c r="AK13" s="30">
        <v>63214</v>
      </c>
      <c r="AL13" s="31">
        <v>1</v>
      </c>
      <c r="AM13" s="30">
        <v>67951</v>
      </c>
      <c r="AN13" s="31">
        <v>1</v>
      </c>
      <c r="AO13" s="30">
        <v>74471</v>
      </c>
      <c r="AP13" s="31">
        <v>1</v>
      </c>
      <c r="AQ13" s="30" t="s">
        <v>1033</v>
      </c>
      <c r="AR13" s="31"/>
      <c r="AS13" s="30">
        <v>69997</v>
      </c>
      <c r="AT13" s="31">
        <v>1</v>
      </c>
      <c r="AU13" s="30">
        <v>60900</v>
      </c>
      <c r="AV13" s="31">
        <v>1</v>
      </c>
      <c r="AW13" s="30">
        <v>54497</v>
      </c>
      <c r="AX13" s="31">
        <v>1</v>
      </c>
    </row>
    <row r="14" spans="1:50" x14ac:dyDescent="0.25">
      <c r="A14" s="7" t="s">
        <v>1269</v>
      </c>
      <c r="B14" s="7"/>
      <c r="C14" s="34">
        <v>12459</v>
      </c>
      <c r="D14" s="35">
        <v>1</v>
      </c>
      <c r="E14" s="34">
        <v>8480</v>
      </c>
      <c r="F14" s="35">
        <v>1</v>
      </c>
      <c r="G14" s="34">
        <v>12208.444998999999</v>
      </c>
      <c r="H14" s="35">
        <v>1</v>
      </c>
      <c r="I14" s="34">
        <v>7798.7988869999999</v>
      </c>
      <c r="J14" s="35">
        <v>1</v>
      </c>
      <c r="K14" s="34">
        <v>11334</v>
      </c>
      <c r="L14" s="35">
        <v>1</v>
      </c>
      <c r="M14" s="34">
        <v>11446</v>
      </c>
      <c r="N14" s="35">
        <v>1</v>
      </c>
      <c r="O14" s="34">
        <v>11977</v>
      </c>
      <c r="P14" s="35">
        <v>1</v>
      </c>
      <c r="Q14" s="34">
        <v>11337.974973</v>
      </c>
      <c r="R14" s="35">
        <v>1</v>
      </c>
      <c r="S14" s="34">
        <v>15215</v>
      </c>
      <c r="T14" s="35">
        <v>1</v>
      </c>
      <c r="U14" s="34">
        <v>15392</v>
      </c>
      <c r="V14" s="35">
        <v>1</v>
      </c>
      <c r="W14" s="34">
        <v>15890000000</v>
      </c>
      <c r="X14" s="35">
        <v>1</v>
      </c>
      <c r="Y14" s="34">
        <v>15490.997917000001</v>
      </c>
      <c r="Z14" s="35">
        <v>1</v>
      </c>
      <c r="AA14" s="34">
        <v>17745</v>
      </c>
      <c r="AB14" s="35">
        <v>1</v>
      </c>
      <c r="AC14" s="34">
        <v>18102</v>
      </c>
      <c r="AD14" s="35">
        <v>1</v>
      </c>
      <c r="AE14" s="34">
        <v>17982</v>
      </c>
      <c r="AF14" s="35">
        <v>1</v>
      </c>
      <c r="AG14" s="34">
        <v>17144</v>
      </c>
      <c r="AH14" s="35">
        <v>1</v>
      </c>
      <c r="AI14" s="34">
        <v>20126</v>
      </c>
      <c r="AJ14" s="35">
        <v>1</v>
      </c>
      <c r="AK14" s="34">
        <v>18646</v>
      </c>
      <c r="AL14" s="35">
        <v>1</v>
      </c>
      <c r="AM14" s="34">
        <v>19834</v>
      </c>
      <c r="AN14" s="35">
        <v>1</v>
      </c>
      <c r="AO14" s="34">
        <v>18364</v>
      </c>
      <c r="AP14" s="35">
        <v>1</v>
      </c>
      <c r="AQ14" s="34" t="s">
        <v>1033</v>
      </c>
      <c r="AR14" s="35"/>
      <c r="AS14" s="34">
        <v>19674</v>
      </c>
      <c r="AT14" s="35">
        <v>1</v>
      </c>
      <c r="AU14" s="34">
        <v>18700</v>
      </c>
      <c r="AV14" s="35">
        <v>1</v>
      </c>
      <c r="AW14" s="34">
        <v>23222</v>
      </c>
      <c r="AX14" s="35">
        <v>1</v>
      </c>
    </row>
    <row r="15" spans="1:50" x14ac:dyDescent="0.25">
      <c r="A15" s="11" t="s">
        <v>1268</v>
      </c>
      <c r="B15" s="11"/>
      <c r="C15" s="30">
        <v>12459</v>
      </c>
      <c r="D15" s="31">
        <v>1</v>
      </c>
      <c r="E15" s="30">
        <v>8480</v>
      </c>
      <c r="F15" s="31">
        <v>1</v>
      </c>
      <c r="G15" s="30">
        <v>12208.444998999999</v>
      </c>
      <c r="H15" s="31">
        <v>1</v>
      </c>
      <c r="I15" s="30">
        <v>7798.7988869999999</v>
      </c>
      <c r="J15" s="31">
        <v>1</v>
      </c>
      <c r="K15" s="30">
        <v>11334</v>
      </c>
      <c r="L15" s="31">
        <v>1</v>
      </c>
      <c r="M15" s="30">
        <v>11446</v>
      </c>
      <c r="N15" s="31">
        <v>1</v>
      </c>
      <c r="O15" s="30">
        <v>11977</v>
      </c>
      <c r="P15" s="31">
        <v>1</v>
      </c>
      <c r="Q15" s="30">
        <v>11337.974973</v>
      </c>
      <c r="R15" s="31">
        <v>1</v>
      </c>
      <c r="S15" s="30">
        <v>15215</v>
      </c>
      <c r="T15" s="31">
        <v>1</v>
      </c>
      <c r="U15" s="30">
        <v>15392</v>
      </c>
      <c r="V15" s="31">
        <v>1</v>
      </c>
      <c r="W15" s="30">
        <v>15890000000</v>
      </c>
      <c r="X15" s="31">
        <v>1</v>
      </c>
      <c r="Y15" s="30">
        <v>15490.997917000001</v>
      </c>
      <c r="Z15" s="31">
        <v>1</v>
      </c>
      <c r="AA15" s="30">
        <v>17745</v>
      </c>
      <c r="AB15" s="31">
        <v>1</v>
      </c>
      <c r="AC15" s="30">
        <v>18102</v>
      </c>
      <c r="AD15" s="31">
        <v>1</v>
      </c>
      <c r="AE15" s="30">
        <v>17982</v>
      </c>
      <c r="AF15" s="31">
        <v>1</v>
      </c>
      <c r="AG15" s="30">
        <v>17144</v>
      </c>
      <c r="AH15" s="31">
        <v>1</v>
      </c>
      <c r="AI15" s="30">
        <v>20126</v>
      </c>
      <c r="AJ15" s="31">
        <v>1</v>
      </c>
      <c r="AK15" s="30">
        <v>18646</v>
      </c>
      <c r="AL15" s="31">
        <v>1</v>
      </c>
      <c r="AM15" s="30">
        <v>19834</v>
      </c>
      <c r="AN15" s="31">
        <v>1</v>
      </c>
      <c r="AO15" s="30">
        <v>18364</v>
      </c>
      <c r="AP15" s="31">
        <v>1</v>
      </c>
      <c r="AQ15" s="30" t="s">
        <v>1033</v>
      </c>
      <c r="AR15" s="31"/>
      <c r="AS15" s="30">
        <v>19674</v>
      </c>
      <c r="AT15" s="31">
        <v>1</v>
      </c>
      <c r="AU15" s="30">
        <v>18700</v>
      </c>
      <c r="AV15" s="31">
        <v>1</v>
      </c>
      <c r="AW15" s="30">
        <v>23222</v>
      </c>
      <c r="AX15" s="31">
        <v>1</v>
      </c>
    </row>
    <row r="16" spans="1:50" x14ac:dyDescent="0.25">
      <c r="A16" s="7" t="s">
        <v>1270</v>
      </c>
      <c r="B16" s="7"/>
      <c r="C16" s="34">
        <v>3228</v>
      </c>
      <c r="D16" s="35">
        <v>1</v>
      </c>
      <c r="E16" s="34">
        <v>1886</v>
      </c>
      <c r="F16" s="35">
        <v>1</v>
      </c>
      <c r="G16" s="34">
        <v>3178.4231880000002</v>
      </c>
      <c r="H16" s="35">
        <v>1</v>
      </c>
      <c r="I16" s="34">
        <v>1756.445706</v>
      </c>
      <c r="J16" s="35">
        <v>1</v>
      </c>
      <c r="K16" s="34">
        <v>2678</v>
      </c>
      <c r="L16" s="35">
        <v>1</v>
      </c>
      <c r="M16" s="34">
        <v>2756</v>
      </c>
      <c r="N16" s="35">
        <v>1</v>
      </c>
      <c r="O16" s="34">
        <v>2975</v>
      </c>
      <c r="P16" s="35">
        <v>1</v>
      </c>
      <c r="Q16" s="34">
        <v>2147.0822280000002</v>
      </c>
      <c r="R16" s="35">
        <v>1</v>
      </c>
      <c r="S16" s="34">
        <v>4331</v>
      </c>
      <c r="T16" s="35">
        <v>1</v>
      </c>
      <c r="U16" s="34">
        <v>3703</v>
      </c>
      <c r="V16" s="35">
        <v>1</v>
      </c>
      <c r="W16" s="34">
        <v>4187000000</v>
      </c>
      <c r="X16" s="35">
        <v>1</v>
      </c>
      <c r="Y16" s="34">
        <v>3742.329064</v>
      </c>
      <c r="Z16" s="35">
        <v>1</v>
      </c>
      <c r="AA16" s="34">
        <v>4542</v>
      </c>
      <c r="AB16" s="35">
        <v>1</v>
      </c>
      <c r="AC16" s="34">
        <v>4828</v>
      </c>
      <c r="AD16" s="35">
        <v>1</v>
      </c>
      <c r="AE16" s="34">
        <v>4518</v>
      </c>
      <c r="AF16" s="35">
        <v>1</v>
      </c>
      <c r="AG16" s="34">
        <v>3944</v>
      </c>
      <c r="AH16" s="35">
        <v>1</v>
      </c>
      <c r="AI16" s="34">
        <v>5965</v>
      </c>
      <c r="AJ16" s="35">
        <v>1</v>
      </c>
      <c r="AK16" s="34">
        <v>4543</v>
      </c>
      <c r="AL16" s="35">
        <v>1</v>
      </c>
      <c r="AM16" s="34">
        <v>5288</v>
      </c>
      <c r="AN16" s="35">
        <v>1</v>
      </c>
      <c r="AO16" s="34">
        <v>3560</v>
      </c>
      <c r="AP16" s="35">
        <v>1</v>
      </c>
      <c r="AQ16" s="34" t="s">
        <v>1033</v>
      </c>
      <c r="AR16" s="35"/>
      <c r="AS16" s="34">
        <v>5317</v>
      </c>
      <c r="AT16" s="35">
        <v>1</v>
      </c>
      <c r="AU16" s="34">
        <v>4544</v>
      </c>
      <c r="AV16" s="35">
        <v>1</v>
      </c>
      <c r="AW16" s="34">
        <v>5717</v>
      </c>
      <c r="AX16" s="35">
        <v>1</v>
      </c>
    </row>
    <row r="17" spans="1:50" x14ac:dyDescent="0.25">
      <c r="A17" s="11" t="s">
        <v>1268</v>
      </c>
      <c r="B17" s="11"/>
      <c r="C17" s="30">
        <v>3228</v>
      </c>
      <c r="D17" s="31">
        <v>1</v>
      </c>
      <c r="E17" s="30">
        <v>1886</v>
      </c>
      <c r="F17" s="31">
        <v>1</v>
      </c>
      <c r="G17" s="30">
        <v>3178.4231880000002</v>
      </c>
      <c r="H17" s="31">
        <v>1</v>
      </c>
      <c r="I17" s="30">
        <v>1756.445706</v>
      </c>
      <c r="J17" s="31">
        <v>1</v>
      </c>
      <c r="K17" s="30">
        <v>2678</v>
      </c>
      <c r="L17" s="31">
        <v>1</v>
      </c>
      <c r="M17" s="30">
        <v>2756</v>
      </c>
      <c r="N17" s="31">
        <v>1</v>
      </c>
      <c r="O17" s="30">
        <v>2975</v>
      </c>
      <c r="P17" s="31">
        <v>1</v>
      </c>
      <c r="Q17" s="30">
        <v>2147.0822280000002</v>
      </c>
      <c r="R17" s="31">
        <v>1</v>
      </c>
      <c r="S17" s="30">
        <v>4331</v>
      </c>
      <c r="T17" s="31">
        <v>1</v>
      </c>
      <c r="U17" s="30">
        <v>3703</v>
      </c>
      <c r="V17" s="31">
        <v>1</v>
      </c>
      <c r="W17" s="30">
        <v>4187000000</v>
      </c>
      <c r="X17" s="31">
        <v>1</v>
      </c>
      <c r="Y17" s="30">
        <v>3742.329064</v>
      </c>
      <c r="Z17" s="31">
        <v>1</v>
      </c>
      <c r="AA17" s="30">
        <v>4542</v>
      </c>
      <c r="AB17" s="31">
        <v>1</v>
      </c>
      <c r="AC17" s="30">
        <v>4828</v>
      </c>
      <c r="AD17" s="31">
        <v>1</v>
      </c>
      <c r="AE17" s="30">
        <v>4518</v>
      </c>
      <c r="AF17" s="31">
        <v>1</v>
      </c>
      <c r="AG17" s="30">
        <v>3944</v>
      </c>
      <c r="AH17" s="31">
        <v>1</v>
      </c>
      <c r="AI17" s="30">
        <v>5965</v>
      </c>
      <c r="AJ17" s="31">
        <v>1</v>
      </c>
      <c r="AK17" s="30">
        <v>4543</v>
      </c>
      <c r="AL17" s="31">
        <v>1</v>
      </c>
      <c r="AM17" s="30">
        <v>5288</v>
      </c>
      <c r="AN17" s="31">
        <v>1</v>
      </c>
      <c r="AO17" s="30">
        <v>3560</v>
      </c>
      <c r="AP17" s="31">
        <v>1</v>
      </c>
      <c r="AQ17" s="30" t="s">
        <v>1033</v>
      </c>
      <c r="AR17" s="31"/>
      <c r="AS17" s="30">
        <v>5317</v>
      </c>
      <c r="AT17" s="31">
        <v>1</v>
      </c>
      <c r="AU17" s="30">
        <v>4544</v>
      </c>
      <c r="AV17" s="31">
        <v>1</v>
      </c>
      <c r="AW17" s="30">
        <v>5717</v>
      </c>
      <c r="AX17" s="31">
        <v>1</v>
      </c>
    </row>
    <row r="18" spans="1:50" x14ac:dyDescent="0.25">
      <c r="A18" s="7" t="s">
        <v>446</v>
      </c>
      <c r="B18" s="7"/>
      <c r="C18" s="34">
        <v>9118</v>
      </c>
      <c r="D18" s="35">
        <v>1</v>
      </c>
      <c r="E18" s="34">
        <v>6518</v>
      </c>
      <c r="F18" s="35">
        <v>1</v>
      </c>
      <c r="G18" s="34" t="s">
        <v>1033</v>
      </c>
      <c r="H18" s="35"/>
      <c r="I18" s="34">
        <v>5966.0325830000002</v>
      </c>
      <c r="J18" s="35">
        <v>1</v>
      </c>
      <c r="K18" s="34">
        <v>8544</v>
      </c>
      <c r="L18" s="35">
        <v>1</v>
      </c>
      <c r="M18" s="34">
        <v>8568</v>
      </c>
      <c r="N18" s="35">
        <v>1</v>
      </c>
      <c r="O18" s="34">
        <v>8874</v>
      </c>
      <c r="P18" s="35">
        <v>1</v>
      </c>
      <c r="Q18" s="34">
        <v>9061.3257850000009</v>
      </c>
      <c r="R18" s="35">
        <v>1</v>
      </c>
      <c r="S18" s="34">
        <v>10748</v>
      </c>
      <c r="T18" s="35">
        <v>1</v>
      </c>
      <c r="U18" s="34">
        <v>11523</v>
      </c>
      <c r="V18" s="35">
        <v>1</v>
      </c>
      <c r="W18" s="34">
        <v>11544000000</v>
      </c>
      <c r="X18" s="35">
        <v>1</v>
      </c>
      <c r="Y18" s="34">
        <v>11591.899332000001</v>
      </c>
      <c r="Z18" s="35">
        <v>1</v>
      </c>
      <c r="AA18" s="34">
        <v>13018</v>
      </c>
      <c r="AB18" s="35">
        <v>1</v>
      </c>
      <c r="AC18" s="34">
        <v>13088</v>
      </c>
      <c r="AD18" s="35">
        <v>1</v>
      </c>
      <c r="AE18" s="34">
        <v>13268</v>
      </c>
      <c r="AF18" s="35">
        <v>1</v>
      </c>
      <c r="AG18" s="34">
        <v>13043</v>
      </c>
      <c r="AH18" s="35">
        <v>1</v>
      </c>
      <c r="AI18" s="34">
        <v>14208</v>
      </c>
      <c r="AJ18" s="35">
        <v>1</v>
      </c>
      <c r="AK18" s="34">
        <v>14018</v>
      </c>
      <c r="AL18" s="35">
        <v>1</v>
      </c>
      <c r="AM18" s="34">
        <v>14238</v>
      </c>
      <c r="AN18" s="35">
        <v>1</v>
      </c>
      <c r="AO18" s="34">
        <v>13724</v>
      </c>
      <c r="AP18" s="35">
        <v>1</v>
      </c>
      <c r="AQ18" s="34" t="s">
        <v>1033</v>
      </c>
      <c r="AR18" s="35"/>
      <c r="AS18" s="34">
        <v>14618</v>
      </c>
      <c r="AT18" s="35">
        <v>1</v>
      </c>
      <c r="AU18" s="34">
        <v>13008</v>
      </c>
      <c r="AV18" s="35">
        <v>1</v>
      </c>
      <c r="AW18" s="34">
        <v>15874</v>
      </c>
      <c r="AX18" s="35">
        <v>1</v>
      </c>
    </row>
    <row r="19" spans="1:50" x14ac:dyDescent="0.25">
      <c r="A19" s="11" t="s">
        <v>1268</v>
      </c>
      <c r="B19" s="11"/>
      <c r="C19" s="30">
        <v>9118</v>
      </c>
      <c r="D19" s="31">
        <v>1</v>
      </c>
      <c r="E19" s="30">
        <v>6518</v>
      </c>
      <c r="F19" s="31">
        <v>1</v>
      </c>
      <c r="G19" s="30" t="s">
        <v>1033</v>
      </c>
      <c r="H19" s="31"/>
      <c r="I19" s="30">
        <v>5966.0325830000002</v>
      </c>
      <c r="J19" s="31">
        <v>1</v>
      </c>
      <c r="K19" s="30">
        <v>8544</v>
      </c>
      <c r="L19" s="31">
        <v>1</v>
      </c>
      <c r="M19" s="30">
        <v>8568</v>
      </c>
      <c r="N19" s="31">
        <v>1</v>
      </c>
      <c r="O19" s="30">
        <v>8874</v>
      </c>
      <c r="P19" s="31">
        <v>1</v>
      </c>
      <c r="Q19" s="30">
        <v>9061.3257850000009</v>
      </c>
      <c r="R19" s="31">
        <v>1</v>
      </c>
      <c r="S19" s="30">
        <v>10748</v>
      </c>
      <c r="T19" s="31">
        <v>1</v>
      </c>
      <c r="U19" s="30">
        <v>11523</v>
      </c>
      <c r="V19" s="31">
        <v>1</v>
      </c>
      <c r="W19" s="30">
        <v>11544000000</v>
      </c>
      <c r="X19" s="31">
        <v>1</v>
      </c>
      <c r="Y19" s="30">
        <v>11591.899332000001</v>
      </c>
      <c r="Z19" s="31">
        <v>1</v>
      </c>
      <c r="AA19" s="30">
        <v>13018</v>
      </c>
      <c r="AB19" s="31">
        <v>1</v>
      </c>
      <c r="AC19" s="30">
        <v>13088</v>
      </c>
      <c r="AD19" s="31">
        <v>1</v>
      </c>
      <c r="AE19" s="30">
        <v>13268</v>
      </c>
      <c r="AF19" s="31">
        <v>1</v>
      </c>
      <c r="AG19" s="30">
        <v>13043</v>
      </c>
      <c r="AH19" s="31">
        <v>1</v>
      </c>
      <c r="AI19" s="30">
        <v>14208</v>
      </c>
      <c r="AJ19" s="31">
        <v>1</v>
      </c>
      <c r="AK19" s="30">
        <v>14018</v>
      </c>
      <c r="AL19" s="31">
        <v>1</v>
      </c>
      <c r="AM19" s="30">
        <v>14238</v>
      </c>
      <c r="AN19" s="31">
        <v>1</v>
      </c>
      <c r="AO19" s="30">
        <v>13724</v>
      </c>
      <c r="AP19" s="31">
        <v>1</v>
      </c>
      <c r="AQ19" s="30" t="s">
        <v>1033</v>
      </c>
      <c r="AR19" s="31"/>
      <c r="AS19" s="30">
        <v>14618</v>
      </c>
      <c r="AT19" s="31">
        <v>1</v>
      </c>
      <c r="AU19" s="30">
        <v>13008</v>
      </c>
      <c r="AV19" s="31">
        <v>1</v>
      </c>
      <c r="AW19" s="30">
        <v>15874</v>
      </c>
      <c r="AX19" s="31">
        <v>1</v>
      </c>
    </row>
    <row r="20" spans="1:50" x14ac:dyDescent="0.25">
      <c r="A20" s="7" t="s">
        <v>1271</v>
      </c>
      <c r="B20" s="7"/>
      <c r="C20" s="34">
        <v>19833</v>
      </c>
      <c r="D20" s="35">
        <v>1</v>
      </c>
      <c r="E20" s="34">
        <v>31151.153513000001</v>
      </c>
      <c r="F20" s="35">
        <v>1</v>
      </c>
      <c r="G20" s="34">
        <v>31681.976884</v>
      </c>
      <c r="H20" s="35">
        <v>1</v>
      </c>
      <c r="I20" s="34">
        <v>32627</v>
      </c>
      <c r="J20" s="35">
        <v>1</v>
      </c>
      <c r="K20" s="34">
        <v>32737</v>
      </c>
      <c r="L20" s="35">
        <v>1</v>
      </c>
      <c r="M20" s="34">
        <v>20502.449969000001</v>
      </c>
      <c r="N20" s="35">
        <v>1</v>
      </c>
      <c r="O20" s="34">
        <v>20803.430522999999</v>
      </c>
      <c r="P20" s="35">
        <v>1</v>
      </c>
      <c r="Q20" s="34">
        <v>21451</v>
      </c>
      <c r="R20" s="35">
        <v>1</v>
      </c>
      <c r="S20" s="34">
        <v>28708</v>
      </c>
      <c r="T20" s="35">
        <v>1</v>
      </c>
      <c r="U20" s="34">
        <v>22132.750359000001</v>
      </c>
      <c r="V20" s="35">
        <v>1</v>
      </c>
      <c r="W20" s="34">
        <v>29432134975</v>
      </c>
      <c r="X20" s="35">
        <v>1</v>
      </c>
      <c r="Y20" s="34">
        <v>35897</v>
      </c>
      <c r="Z20" s="35">
        <v>1</v>
      </c>
      <c r="AA20" s="34">
        <v>35563</v>
      </c>
      <c r="AB20" s="35">
        <v>1</v>
      </c>
      <c r="AC20" s="34">
        <v>33824</v>
      </c>
      <c r="AD20" s="35">
        <v>1</v>
      </c>
      <c r="AE20" s="34">
        <v>33546</v>
      </c>
      <c r="AF20" s="35">
        <v>1</v>
      </c>
      <c r="AG20" s="34">
        <v>34454</v>
      </c>
      <c r="AH20" s="35">
        <v>1</v>
      </c>
      <c r="AI20" s="34">
        <v>34731</v>
      </c>
      <c r="AJ20" s="35">
        <v>1</v>
      </c>
      <c r="AK20" s="34">
        <v>34966</v>
      </c>
      <c r="AL20" s="35">
        <v>1</v>
      </c>
      <c r="AM20" s="34">
        <v>35255</v>
      </c>
      <c r="AN20" s="35">
        <v>1</v>
      </c>
      <c r="AO20" s="34">
        <v>36353</v>
      </c>
      <c r="AP20" s="35">
        <v>1</v>
      </c>
      <c r="AQ20" s="34" t="s">
        <v>1033</v>
      </c>
      <c r="AR20" s="35"/>
      <c r="AS20" s="34">
        <v>36216</v>
      </c>
      <c r="AT20" s="35">
        <v>1</v>
      </c>
      <c r="AU20" s="34">
        <v>36403</v>
      </c>
      <c r="AV20" s="35">
        <v>1</v>
      </c>
      <c r="AW20" s="34">
        <v>39809</v>
      </c>
      <c r="AX20" s="35">
        <v>1</v>
      </c>
    </row>
    <row r="21" spans="1:50" x14ac:dyDescent="0.25">
      <c r="A21" s="11" t="s">
        <v>1268</v>
      </c>
      <c r="B21" s="11"/>
      <c r="C21" s="30">
        <v>19833</v>
      </c>
      <c r="D21" s="31">
        <v>1</v>
      </c>
      <c r="E21" s="30">
        <v>31151.153513000001</v>
      </c>
      <c r="F21" s="31">
        <v>1</v>
      </c>
      <c r="G21" s="30">
        <v>31681.976884</v>
      </c>
      <c r="H21" s="31">
        <v>1</v>
      </c>
      <c r="I21" s="30">
        <v>32627</v>
      </c>
      <c r="J21" s="31">
        <v>1</v>
      </c>
      <c r="K21" s="30">
        <v>32737</v>
      </c>
      <c r="L21" s="31">
        <v>1</v>
      </c>
      <c r="M21" s="30">
        <v>20502.449969000001</v>
      </c>
      <c r="N21" s="31">
        <v>1</v>
      </c>
      <c r="O21" s="30">
        <v>20803.430522999999</v>
      </c>
      <c r="P21" s="31">
        <v>1</v>
      </c>
      <c r="Q21" s="30">
        <v>21451</v>
      </c>
      <c r="R21" s="31">
        <v>1</v>
      </c>
      <c r="S21" s="30">
        <v>28708</v>
      </c>
      <c r="T21" s="31">
        <v>1</v>
      </c>
      <c r="U21" s="30">
        <v>22132.750359000001</v>
      </c>
      <c r="V21" s="31">
        <v>1</v>
      </c>
      <c r="W21" s="30">
        <v>29432134975</v>
      </c>
      <c r="X21" s="31">
        <v>1</v>
      </c>
      <c r="Y21" s="30">
        <v>35897</v>
      </c>
      <c r="Z21" s="31">
        <v>1</v>
      </c>
      <c r="AA21" s="30">
        <v>35563</v>
      </c>
      <c r="AB21" s="31">
        <v>1</v>
      </c>
      <c r="AC21" s="30">
        <v>33824</v>
      </c>
      <c r="AD21" s="31">
        <v>1</v>
      </c>
      <c r="AE21" s="30">
        <v>33546</v>
      </c>
      <c r="AF21" s="31">
        <v>1</v>
      </c>
      <c r="AG21" s="30">
        <v>34454</v>
      </c>
      <c r="AH21" s="31">
        <v>1</v>
      </c>
      <c r="AI21" s="30">
        <v>34731</v>
      </c>
      <c r="AJ21" s="31">
        <v>1</v>
      </c>
      <c r="AK21" s="30">
        <v>34966</v>
      </c>
      <c r="AL21" s="31">
        <v>1</v>
      </c>
      <c r="AM21" s="30">
        <v>35255</v>
      </c>
      <c r="AN21" s="31">
        <v>1</v>
      </c>
      <c r="AO21" s="30">
        <v>36353</v>
      </c>
      <c r="AP21" s="31">
        <v>1</v>
      </c>
      <c r="AQ21" s="30" t="s">
        <v>1033</v>
      </c>
      <c r="AR21" s="31"/>
      <c r="AS21" s="30">
        <v>36216</v>
      </c>
      <c r="AT21" s="31">
        <v>1</v>
      </c>
      <c r="AU21" s="30">
        <v>36403</v>
      </c>
      <c r="AV21" s="31">
        <v>1</v>
      </c>
      <c r="AW21" s="30">
        <v>39809</v>
      </c>
      <c r="AX21" s="31">
        <v>1</v>
      </c>
    </row>
    <row r="22" spans="1:50" x14ac:dyDescent="0.25">
      <c r="A22" s="7" t="s">
        <v>738</v>
      </c>
      <c r="B22" s="7"/>
      <c r="C22" s="34">
        <v>25329</v>
      </c>
      <c r="D22" s="35">
        <v>1</v>
      </c>
      <c r="E22" s="34">
        <v>26782</v>
      </c>
      <c r="F22" s="35">
        <v>1</v>
      </c>
      <c r="G22" s="34">
        <v>26764</v>
      </c>
      <c r="H22" s="35">
        <v>1</v>
      </c>
      <c r="I22" s="34">
        <v>26720</v>
      </c>
      <c r="J22" s="35">
        <v>1</v>
      </c>
      <c r="K22" s="34">
        <v>26731</v>
      </c>
      <c r="L22" s="35">
        <v>1</v>
      </c>
      <c r="M22" s="34">
        <v>26720</v>
      </c>
      <c r="N22" s="35">
        <v>1</v>
      </c>
      <c r="O22" s="34">
        <v>26733</v>
      </c>
      <c r="P22" s="35">
        <v>1</v>
      </c>
      <c r="Q22" s="34">
        <v>26732</v>
      </c>
      <c r="R22" s="35">
        <v>1</v>
      </c>
      <c r="S22" s="34">
        <v>26720</v>
      </c>
      <c r="T22" s="35">
        <v>1</v>
      </c>
      <c r="U22" s="34">
        <v>26724.632916999999</v>
      </c>
      <c r="V22" s="35">
        <v>1</v>
      </c>
      <c r="W22" s="34">
        <v>26724473532</v>
      </c>
      <c r="X22" s="35">
        <v>1</v>
      </c>
      <c r="Y22" s="34">
        <v>26741</v>
      </c>
      <c r="Z22" s="35">
        <v>1</v>
      </c>
      <c r="AA22" s="34">
        <v>26710</v>
      </c>
      <c r="AB22" s="35">
        <v>1</v>
      </c>
      <c r="AC22" s="34">
        <v>26691</v>
      </c>
      <c r="AD22" s="35">
        <v>1</v>
      </c>
      <c r="AE22" s="34">
        <v>26697</v>
      </c>
      <c r="AF22" s="35">
        <v>1</v>
      </c>
      <c r="AG22" s="34">
        <v>26825</v>
      </c>
      <c r="AH22" s="35">
        <v>1</v>
      </c>
      <c r="AI22" s="34">
        <v>26823</v>
      </c>
      <c r="AJ22" s="35">
        <v>1</v>
      </c>
      <c r="AK22" s="34">
        <v>26859</v>
      </c>
      <c r="AL22" s="35">
        <v>1</v>
      </c>
      <c r="AM22" s="34">
        <v>27978</v>
      </c>
      <c r="AN22" s="35">
        <v>1</v>
      </c>
      <c r="AO22" s="34">
        <v>28067</v>
      </c>
      <c r="AP22" s="35">
        <v>1</v>
      </c>
      <c r="AQ22" s="34" t="s">
        <v>1033</v>
      </c>
      <c r="AR22" s="35"/>
      <c r="AS22" s="34">
        <v>27905</v>
      </c>
      <c r="AT22" s="35">
        <v>1</v>
      </c>
      <c r="AU22" s="34">
        <v>27644</v>
      </c>
      <c r="AV22" s="35">
        <v>1</v>
      </c>
      <c r="AW22" s="34">
        <v>27478</v>
      </c>
      <c r="AX22" s="35">
        <v>1</v>
      </c>
    </row>
    <row r="23" spans="1:50" x14ac:dyDescent="0.25">
      <c r="A23" s="11" t="s">
        <v>1268</v>
      </c>
      <c r="B23" s="11"/>
      <c r="C23" s="30">
        <v>25329</v>
      </c>
      <c r="D23" s="31">
        <v>1</v>
      </c>
      <c r="E23" s="30">
        <v>26782</v>
      </c>
      <c r="F23" s="31">
        <v>1</v>
      </c>
      <c r="G23" s="30">
        <v>26764</v>
      </c>
      <c r="H23" s="31">
        <v>1</v>
      </c>
      <c r="I23" s="30">
        <v>26720</v>
      </c>
      <c r="J23" s="31">
        <v>1</v>
      </c>
      <c r="K23" s="30">
        <v>26731</v>
      </c>
      <c r="L23" s="31">
        <v>1</v>
      </c>
      <c r="M23" s="30">
        <v>26720</v>
      </c>
      <c r="N23" s="31">
        <v>1</v>
      </c>
      <c r="O23" s="30">
        <v>26733</v>
      </c>
      <c r="P23" s="31">
        <v>1</v>
      </c>
      <c r="Q23" s="30">
        <v>26732</v>
      </c>
      <c r="R23" s="31">
        <v>1</v>
      </c>
      <c r="S23" s="30">
        <v>26720</v>
      </c>
      <c r="T23" s="31">
        <v>1</v>
      </c>
      <c r="U23" s="30">
        <v>26724.632916999999</v>
      </c>
      <c r="V23" s="31">
        <v>1</v>
      </c>
      <c r="W23" s="30">
        <v>26724473532</v>
      </c>
      <c r="X23" s="31">
        <v>1</v>
      </c>
      <c r="Y23" s="30">
        <v>26741</v>
      </c>
      <c r="Z23" s="31">
        <v>1</v>
      </c>
      <c r="AA23" s="30">
        <v>26710</v>
      </c>
      <c r="AB23" s="31">
        <v>1</v>
      </c>
      <c r="AC23" s="30">
        <v>26691</v>
      </c>
      <c r="AD23" s="31">
        <v>1</v>
      </c>
      <c r="AE23" s="30">
        <v>26697</v>
      </c>
      <c r="AF23" s="31">
        <v>1</v>
      </c>
      <c r="AG23" s="30">
        <v>26825</v>
      </c>
      <c r="AH23" s="31">
        <v>1</v>
      </c>
      <c r="AI23" s="30">
        <v>26823</v>
      </c>
      <c r="AJ23" s="31">
        <v>1</v>
      </c>
      <c r="AK23" s="30">
        <v>26859</v>
      </c>
      <c r="AL23" s="31">
        <v>1</v>
      </c>
      <c r="AM23" s="30">
        <v>27978</v>
      </c>
      <c r="AN23" s="31">
        <v>1</v>
      </c>
      <c r="AO23" s="30">
        <v>28067</v>
      </c>
      <c r="AP23" s="31">
        <v>1</v>
      </c>
      <c r="AQ23" s="30" t="s">
        <v>1033</v>
      </c>
      <c r="AR23" s="31"/>
      <c r="AS23" s="30">
        <v>27905</v>
      </c>
      <c r="AT23" s="31">
        <v>1</v>
      </c>
      <c r="AU23" s="30">
        <v>27644</v>
      </c>
      <c r="AV23" s="31">
        <v>1</v>
      </c>
      <c r="AW23" s="30">
        <v>27478</v>
      </c>
      <c r="AX23" s="31">
        <v>1</v>
      </c>
    </row>
    <row r="24" spans="1:50" x14ac:dyDescent="0.25">
      <c r="A24" s="7" t="s">
        <v>1266</v>
      </c>
      <c r="B24" s="7"/>
      <c r="C24" s="34">
        <v>1729280</v>
      </c>
      <c r="D24" s="35">
        <v>1</v>
      </c>
      <c r="E24" s="34">
        <v>1783581.1784359999</v>
      </c>
      <c r="F24" s="35">
        <v>1</v>
      </c>
      <c r="G24" s="34">
        <v>1795305.5882979999</v>
      </c>
      <c r="H24" s="35">
        <v>1</v>
      </c>
      <c r="I24" s="34">
        <v>1787904</v>
      </c>
      <c r="J24" s="35">
        <v>1</v>
      </c>
      <c r="K24" s="34">
        <v>1917900</v>
      </c>
      <c r="L24" s="35">
        <v>1</v>
      </c>
      <c r="M24" s="34">
        <v>1802363.0894790001</v>
      </c>
      <c r="N24" s="35">
        <v>1</v>
      </c>
      <c r="O24" s="34">
        <v>1803695.213613</v>
      </c>
      <c r="P24" s="35">
        <v>1</v>
      </c>
      <c r="Q24" s="34">
        <v>1850879</v>
      </c>
      <c r="R24" s="35">
        <v>1</v>
      </c>
      <c r="S24" s="34">
        <v>2035427</v>
      </c>
      <c r="T24" s="35">
        <v>1</v>
      </c>
      <c r="U24" s="34">
        <v>2033315.6011940001</v>
      </c>
      <c r="V24" s="35">
        <v>1</v>
      </c>
      <c r="W24" s="34">
        <v>2033008098471</v>
      </c>
      <c r="X24" s="35">
        <v>1</v>
      </c>
      <c r="Y24" s="34">
        <v>2070072</v>
      </c>
      <c r="Z24" s="35">
        <v>1</v>
      </c>
      <c r="AA24" s="34">
        <v>2130031</v>
      </c>
      <c r="AB24" s="35">
        <v>1</v>
      </c>
      <c r="AC24" s="34">
        <v>2191378</v>
      </c>
      <c r="AD24" s="35">
        <v>1</v>
      </c>
      <c r="AE24" s="34">
        <v>2298368</v>
      </c>
      <c r="AF24" s="35">
        <v>1</v>
      </c>
      <c r="AG24" s="34">
        <v>2274859</v>
      </c>
      <c r="AH24" s="35">
        <v>1</v>
      </c>
      <c r="AI24" s="34">
        <v>2395399</v>
      </c>
      <c r="AJ24" s="35">
        <v>1</v>
      </c>
      <c r="AK24" s="34">
        <v>2435013</v>
      </c>
      <c r="AL24" s="35">
        <v>1</v>
      </c>
      <c r="AM24" s="34">
        <v>2420031</v>
      </c>
      <c r="AN24" s="35">
        <v>1</v>
      </c>
      <c r="AO24" s="34">
        <v>2471209</v>
      </c>
      <c r="AP24" s="35">
        <v>1</v>
      </c>
      <c r="AQ24" s="34" t="s">
        <v>1033</v>
      </c>
      <c r="AR24" s="35"/>
      <c r="AS24" s="34">
        <v>2524481</v>
      </c>
      <c r="AT24" s="35">
        <v>1</v>
      </c>
      <c r="AU24" s="34">
        <v>2509263</v>
      </c>
      <c r="AV24" s="35">
        <v>1</v>
      </c>
      <c r="AW24" s="34">
        <v>2598663</v>
      </c>
      <c r="AX24" s="35">
        <v>1</v>
      </c>
    </row>
    <row r="25" spans="1:50" x14ac:dyDescent="0.25">
      <c r="A25" s="11" t="s">
        <v>1268</v>
      </c>
      <c r="B25" s="11"/>
      <c r="C25" s="30">
        <v>1729280</v>
      </c>
      <c r="D25" s="31">
        <v>1</v>
      </c>
      <c r="E25" s="30">
        <v>1783581.1784359999</v>
      </c>
      <c r="F25" s="31">
        <v>1</v>
      </c>
      <c r="G25" s="30">
        <v>1795305.5882979999</v>
      </c>
      <c r="H25" s="31">
        <v>1</v>
      </c>
      <c r="I25" s="30">
        <v>1787904</v>
      </c>
      <c r="J25" s="31">
        <v>1</v>
      </c>
      <c r="K25" s="30">
        <v>1917900</v>
      </c>
      <c r="L25" s="31">
        <v>1</v>
      </c>
      <c r="M25" s="30">
        <v>1802363.0894790001</v>
      </c>
      <c r="N25" s="31">
        <v>1</v>
      </c>
      <c r="O25" s="30">
        <v>1803695.213613</v>
      </c>
      <c r="P25" s="31">
        <v>1</v>
      </c>
      <c r="Q25" s="30">
        <v>1850879</v>
      </c>
      <c r="R25" s="31">
        <v>1</v>
      </c>
      <c r="S25" s="30">
        <v>2035427</v>
      </c>
      <c r="T25" s="31">
        <v>1</v>
      </c>
      <c r="U25" s="30">
        <v>2033315.6011940001</v>
      </c>
      <c r="V25" s="31">
        <v>1</v>
      </c>
      <c r="W25" s="30">
        <v>2033008098471</v>
      </c>
      <c r="X25" s="31">
        <v>1</v>
      </c>
      <c r="Y25" s="30">
        <v>2070072</v>
      </c>
      <c r="Z25" s="31">
        <v>1</v>
      </c>
      <c r="AA25" s="30">
        <v>2130031</v>
      </c>
      <c r="AB25" s="31">
        <v>1</v>
      </c>
      <c r="AC25" s="30">
        <v>2191378</v>
      </c>
      <c r="AD25" s="31">
        <v>1</v>
      </c>
      <c r="AE25" s="30">
        <v>2298368</v>
      </c>
      <c r="AF25" s="31">
        <v>1</v>
      </c>
      <c r="AG25" s="30">
        <v>2274859</v>
      </c>
      <c r="AH25" s="31">
        <v>1</v>
      </c>
      <c r="AI25" s="30">
        <v>2395399</v>
      </c>
      <c r="AJ25" s="31">
        <v>1</v>
      </c>
      <c r="AK25" s="30">
        <v>2435013</v>
      </c>
      <c r="AL25" s="31">
        <v>1</v>
      </c>
      <c r="AM25" s="30">
        <v>2420031</v>
      </c>
      <c r="AN25" s="31">
        <v>1</v>
      </c>
      <c r="AO25" s="30">
        <v>2471209</v>
      </c>
      <c r="AP25" s="31">
        <v>1</v>
      </c>
      <c r="AQ25" s="30" t="s">
        <v>1033</v>
      </c>
      <c r="AR25" s="31"/>
      <c r="AS25" s="30">
        <v>2524481</v>
      </c>
      <c r="AT25" s="31">
        <v>1</v>
      </c>
      <c r="AU25" s="30">
        <v>2509263</v>
      </c>
      <c r="AV25" s="31">
        <v>1</v>
      </c>
      <c r="AW25" s="30">
        <v>2598663</v>
      </c>
      <c r="AX25" s="31">
        <v>1</v>
      </c>
    </row>
    <row r="26" spans="1:50" x14ac:dyDescent="0.25">
      <c r="A26" s="7" t="s">
        <v>1272</v>
      </c>
      <c r="B26" s="7"/>
      <c r="C26" s="34">
        <v>1531790</v>
      </c>
      <c r="D26" s="35">
        <v>1</v>
      </c>
      <c r="E26" s="34">
        <v>1575236.687465</v>
      </c>
      <c r="F26" s="35">
        <v>1</v>
      </c>
      <c r="G26" s="34">
        <v>1577934.7187959999</v>
      </c>
      <c r="H26" s="35">
        <v>1</v>
      </c>
      <c r="I26" s="34">
        <v>1562800</v>
      </c>
      <c r="J26" s="35">
        <v>1</v>
      </c>
      <c r="K26" s="34">
        <v>1687758</v>
      </c>
      <c r="L26" s="35">
        <v>1</v>
      </c>
      <c r="M26" s="34">
        <v>1573040.7257940001</v>
      </c>
      <c r="N26" s="35">
        <v>1</v>
      </c>
      <c r="O26" s="34">
        <v>1566755.031095</v>
      </c>
      <c r="P26" s="35">
        <v>1</v>
      </c>
      <c r="Q26" s="34">
        <v>1613639</v>
      </c>
      <c r="R26" s="35">
        <v>1</v>
      </c>
      <c r="S26" s="34">
        <v>1791336</v>
      </c>
      <c r="T26" s="35">
        <v>1</v>
      </c>
      <c r="U26" s="34">
        <v>1800067.5620190001</v>
      </c>
      <c r="V26" s="35">
        <v>1</v>
      </c>
      <c r="W26" s="34">
        <v>1789097424963</v>
      </c>
      <c r="X26" s="35">
        <v>1</v>
      </c>
      <c r="Y26" s="34">
        <v>1831040</v>
      </c>
      <c r="Z26" s="35">
        <v>1</v>
      </c>
      <c r="AA26" s="34">
        <v>1877461</v>
      </c>
      <c r="AB26" s="35">
        <v>1</v>
      </c>
      <c r="AC26" s="34">
        <v>1948764</v>
      </c>
      <c r="AD26" s="35">
        <v>1</v>
      </c>
      <c r="AE26" s="34">
        <v>2045100</v>
      </c>
      <c r="AF26" s="35">
        <v>1</v>
      </c>
      <c r="AG26" s="34">
        <v>2025654</v>
      </c>
      <c r="AH26" s="35">
        <v>1</v>
      </c>
      <c r="AI26" s="34">
        <v>2133771</v>
      </c>
      <c r="AJ26" s="35">
        <v>1</v>
      </c>
      <c r="AK26" s="34">
        <v>2192727</v>
      </c>
      <c r="AL26" s="35">
        <v>1</v>
      </c>
      <c r="AM26" s="34">
        <v>2166845</v>
      </c>
      <c r="AN26" s="35">
        <v>1</v>
      </c>
      <c r="AO26" s="34">
        <v>2222781</v>
      </c>
      <c r="AP26" s="35">
        <v>1</v>
      </c>
      <c r="AQ26" s="34" t="s">
        <v>1033</v>
      </c>
      <c r="AR26" s="35"/>
      <c r="AS26" s="34">
        <v>2273073</v>
      </c>
      <c r="AT26" s="35">
        <v>1</v>
      </c>
      <c r="AU26" s="34">
        <v>2248320</v>
      </c>
      <c r="AV26" s="35">
        <v>1</v>
      </c>
      <c r="AW26" s="34">
        <v>2346450</v>
      </c>
      <c r="AX26" s="35">
        <v>1</v>
      </c>
    </row>
    <row r="27" spans="1:50" x14ac:dyDescent="0.25">
      <c r="A27" s="11" t="s">
        <v>1268</v>
      </c>
      <c r="B27" s="11"/>
      <c r="C27" s="30">
        <v>1531790</v>
      </c>
      <c r="D27" s="31">
        <v>1</v>
      </c>
      <c r="E27" s="30">
        <v>1575236.687465</v>
      </c>
      <c r="F27" s="31">
        <v>1</v>
      </c>
      <c r="G27" s="30">
        <v>1577934.7187959999</v>
      </c>
      <c r="H27" s="31">
        <v>1</v>
      </c>
      <c r="I27" s="30">
        <v>1562800</v>
      </c>
      <c r="J27" s="31">
        <v>1</v>
      </c>
      <c r="K27" s="30">
        <v>1687758</v>
      </c>
      <c r="L27" s="31">
        <v>1</v>
      </c>
      <c r="M27" s="30">
        <v>1573040.7257940001</v>
      </c>
      <c r="N27" s="31">
        <v>1</v>
      </c>
      <c r="O27" s="30">
        <v>1566755.031095</v>
      </c>
      <c r="P27" s="31">
        <v>1</v>
      </c>
      <c r="Q27" s="30">
        <v>1613639</v>
      </c>
      <c r="R27" s="31">
        <v>1</v>
      </c>
      <c r="S27" s="30">
        <v>1791336</v>
      </c>
      <c r="T27" s="31">
        <v>1</v>
      </c>
      <c r="U27" s="30">
        <v>1800067.5620190001</v>
      </c>
      <c r="V27" s="31">
        <v>1</v>
      </c>
      <c r="W27" s="30">
        <v>1789097424963</v>
      </c>
      <c r="X27" s="31">
        <v>1</v>
      </c>
      <c r="Y27" s="30">
        <v>1831040</v>
      </c>
      <c r="Z27" s="31">
        <v>1</v>
      </c>
      <c r="AA27" s="30">
        <v>1877461</v>
      </c>
      <c r="AB27" s="31">
        <v>1</v>
      </c>
      <c r="AC27" s="30">
        <v>1948764</v>
      </c>
      <c r="AD27" s="31">
        <v>1</v>
      </c>
      <c r="AE27" s="30">
        <v>2045100</v>
      </c>
      <c r="AF27" s="31">
        <v>1</v>
      </c>
      <c r="AG27" s="30">
        <v>2025654</v>
      </c>
      <c r="AH27" s="31">
        <v>1</v>
      </c>
      <c r="AI27" s="30">
        <v>2133771</v>
      </c>
      <c r="AJ27" s="31">
        <v>1</v>
      </c>
      <c r="AK27" s="30">
        <v>2192727</v>
      </c>
      <c r="AL27" s="31">
        <v>1</v>
      </c>
      <c r="AM27" s="30">
        <v>2166845</v>
      </c>
      <c r="AN27" s="31">
        <v>1</v>
      </c>
      <c r="AO27" s="30">
        <v>2222781</v>
      </c>
      <c r="AP27" s="31">
        <v>1</v>
      </c>
      <c r="AQ27" s="30" t="s">
        <v>1033</v>
      </c>
      <c r="AR27" s="31"/>
      <c r="AS27" s="30">
        <v>2273073</v>
      </c>
      <c r="AT27" s="31">
        <v>1</v>
      </c>
      <c r="AU27" s="30">
        <v>2248320</v>
      </c>
      <c r="AV27" s="31">
        <v>1</v>
      </c>
      <c r="AW27" s="30">
        <v>2346450</v>
      </c>
      <c r="AX27" s="31">
        <v>1</v>
      </c>
    </row>
    <row r="28" spans="1:50" x14ac:dyDescent="0.25">
      <c r="A28" s="7" t="s">
        <v>397</v>
      </c>
      <c r="B28" s="7"/>
      <c r="C28" s="34">
        <v>429.03628400000002</v>
      </c>
      <c r="D28" s="35">
        <v>1</v>
      </c>
      <c r="E28" s="34">
        <v>673.24709499999994</v>
      </c>
      <c r="F28" s="35">
        <v>1</v>
      </c>
      <c r="G28" s="34">
        <v>573.82892900000002</v>
      </c>
      <c r="H28" s="35">
        <v>1</v>
      </c>
      <c r="I28" s="34">
        <v>610.88769200000002</v>
      </c>
      <c r="J28" s="35">
        <v>1</v>
      </c>
      <c r="K28" s="34">
        <v>1311</v>
      </c>
      <c r="L28" s="35">
        <v>1</v>
      </c>
      <c r="M28" s="34">
        <v>2240</v>
      </c>
      <c r="N28" s="35">
        <v>1</v>
      </c>
      <c r="O28" s="34">
        <v>653.56849099999999</v>
      </c>
      <c r="P28" s="35">
        <v>1</v>
      </c>
      <c r="Q28" s="34">
        <v>675.52505599999995</v>
      </c>
      <c r="R28" s="35">
        <v>1</v>
      </c>
      <c r="S28" s="34">
        <v>875</v>
      </c>
      <c r="T28" s="35">
        <v>1</v>
      </c>
      <c r="U28" s="34">
        <v>1120.0001319999999</v>
      </c>
      <c r="V28" s="35">
        <v>1</v>
      </c>
      <c r="W28" s="34">
        <v>976.25821900000005</v>
      </c>
      <c r="X28" s="35">
        <v>1</v>
      </c>
      <c r="Y28" s="34">
        <v>1396.7416490000001</v>
      </c>
      <c r="Z28" s="35">
        <v>1</v>
      </c>
      <c r="AA28" s="34">
        <v>986</v>
      </c>
      <c r="AB28" s="35">
        <v>1</v>
      </c>
      <c r="AC28" s="34">
        <v>1066</v>
      </c>
      <c r="AD28" s="35">
        <v>1</v>
      </c>
      <c r="AE28" s="34">
        <v>1100</v>
      </c>
      <c r="AF28" s="35">
        <v>1</v>
      </c>
      <c r="AG28" s="34">
        <v>1333</v>
      </c>
      <c r="AH28" s="35">
        <v>1</v>
      </c>
      <c r="AI28" s="34">
        <v>1222</v>
      </c>
      <c r="AJ28" s="35">
        <v>1</v>
      </c>
      <c r="AK28" s="34">
        <v>1014</v>
      </c>
      <c r="AL28" s="35">
        <v>1</v>
      </c>
      <c r="AM28" s="34">
        <v>1655</v>
      </c>
      <c r="AN28" s="35">
        <v>1</v>
      </c>
      <c r="AO28" s="34">
        <v>1360</v>
      </c>
      <c r="AP28" s="35">
        <v>1</v>
      </c>
      <c r="AQ28" s="34" t="s">
        <v>1033</v>
      </c>
      <c r="AR28" s="35"/>
      <c r="AS28" s="34">
        <v>1403</v>
      </c>
      <c r="AT28" s="35">
        <v>1</v>
      </c>
      <c r="AU28" s="34">
        <v>1317</v>
      </c>
      <c r="AV28" s="35">
        <v>1</v>
      </c>
      <c r="AW28" s="34">
        <v>1436</v>
      </c>
      <c r="AX28" s="35">
        <v>1</v>
      </c>
    </row>
    <row r="29" spans="1:50" x14ac:dyDescent="0.25">
      <c r="A29" s="11" t="s">
        <v>1268</v>
      </c>
      <c r="B29" s="11"/>
      <c r="C29" s="30">
        <v>429.03628400000002</v>
      </c>
      <c r="D29" s="31">
        <v>1</v>
      </c>
      <c r="E29" s="30">
        <v>673.24709499999994</v>
      </c>
      <c r="F29" s="31">
        <v>1</v>
      </c>
      <c r="G29" s="30">
        <v>573.82892900000002</v>
      </c>
      <c r="H29" s="31">
        <v>1</v>
      </c>
      <c r="I29" s="30">
        <v>610.88769200000002</v>
      </c>
      <c r="J29" s="31">
        <v>1</v>
      </c>
      <c r="K29" s="30">
        <v>1311</v>
      </c>
      <c r="L29" s="31">
        <v>1</v>
      </c>
      <c r="M29" s="30">
        <v>2240</v>
      </c>
      <c r="N29" s="31">
        <v>1</v>
      </c>
      <c r="O29" s="30">
        <v>653.56849099999999</v>
      </c>
      <c r="P29" s="31">
        <v>1</v>
      </c>
      <c r="Q29" s="30">
        <v>675.52505599999995</v>
      </c>
      <c r="R29" s="31">
        <v>1</v>
      </c>
      <c r="S29" s="30">
        <v>875</v>
      </c>
      <c r="T29" s="31">
        <v>1</v>
      </c>
      <c r="U29" s="30">
        <v>1120.0001319999999</v>
      </c>
      <c r="V29" s="31">
        <v>1</v>
      </c>
      <c r="W29" s="30">
        <v>976.25821900000005</v>
      </c>
      <c r="X29" s="31">
        <v>1</v>
      </c>
      <c r="Y29" s="30">
        <v>1396.7416490000001</v>
      </c>
      <c r="Z29" s="31">
        <v>1</v>
      </c>
      <c r="AA29" s="30">
        <v>986</v>
      </c>
      <c r="AB29" s="31">
        <v>1</v>
      </c>
      <c r="AC29" s="30">
        <v>1066</v>
      </c>
      <c r="AD29" s="31">
        <v>1</v>
      </c>
      <c r="AE29" s="30">
        <v>1100</v>
      </c>
      <c r="AF29" s="31">
        <v>1</v>
      </c>
      <c r="AG29" s="30">
        <v>1333</v>
      </c>
      <c r="AH29" s="31">
        <v>1</v>
      </c>
      <c r="AI29" s="30">
        <v>1222</v>
      </c>
      <c r="AJ29" s="31">
        <v>1</v>
      </c>
      <c r="AK29" s="30">
        <v>1014</v>
      </c>
      <c r="AL29" s="31">
        <v>1</v>
      </c>
      <c r="AM29" s="30">
        <v>1655</v>
      </c>
      <c r="AN29" s="31">
        <v>1</v>
      </c>
      <c r="AO29" s="30">
        <v>1360</v>
      </c>
      <c r="AP29" s="31">
        <v>1</v>
      </c>
      <c r="AQ29" s="30" t="s">
        <v>1033</v>
      </c>
      <c r="AR29" s="31"/>
      <c r="AS29" s="30">
        <v>1403</v>
      </c>
      <c r="AT29" s="31">
        <v>1</v>
      </c>
      <c r="AU29" s="30">
        <v>1317</v>
      </c>
      <c r="AV29" s="31">
        <v>1</v>
      </c>
      <c r="AW29" s="30">
        <v>1436</v>
      </c>
      <c r="AX29" s="31">
        <v>1</v>
      </c>
    </row>
    <row r="30" spans="1:50" x14ac:dyDescent="0.25">
      <c r="A30" s="7" t="s">
        <v>1135</v>
      </c>
      <c r="B30" s="7"/>
      <c r="C30" s="34">
        <v>429.03628400000002</v>
      </c>
      <c r="D30" s="35">
        <v>1</v>
      </c>
      <c r="E30" s="34">
        <v>673.24709499999994</v>
      </c>
      <c r="F30" s="35">
        <v>1</v>
      </c>
      <c r="G30" s="34">
        <v>573.82892900000002</v>
      </c>
      <c r="H30" s="35">
        <v>1</v>
      </c>
      <c r="I30" s="34">
        <v>610.88769200000002</v>
      </c>
      <c r="J30" s="35">
        <v>1</v>
      </c>
      <c r="K30" s="34">
        <v>1311</v>
      </c>
      <c r="L30" s="35">
        <v>1</v>
      </c>
      <c r="M30" s="34" t="s">
        <v>1033</v>
      </c>
      <c r="N30" s="35"/>
      <c r="O30" s="34">
        <v>653.56849099999999</v>
      </c>
      <c r="P30" s="35">
        <v>1</v>
      </c>
      <c r="Q30" s="34">
        <v>675.52505599999995</v>
      </c>
      <c r="R30" s="35">
        <v>1</v>
      </c>
      <c r="S30" s="34">
        <v>728</v>
      </c>
      <c r="T30" s="35">
        <v>1</v>
      </c>
      <c r="U30" s="34">
        <v>767</v>
      </c>
      <c r="V30" s="35">
        <v>1</v>
      </c>
      <c r="W30" s="34">
        <v>706000000</v>
      </c>
      <c r="X30" s="35">
        <v>1</v>
      </c>
      <c r="Y30" s="34">
        <v>1363</v>
      </c>
      <c r="Z30" s="35">
        <v>1</v>
      </c>
      <c r="AA30" s="34">
        <v>798</v>
      </c>
      <c r="AB30" s="35">
        <v>1</v>
      </c>
      <c r="AC30" s="34">
        <v>870</v>
      </c>
      <c r="AD30" s="35">
        <v>1</v>
      </c>
      <c r="AE30" s="34">
        <v>899</v>
      </c>
      <c r="AF30" s="35">
        <v>1</v>
      </c>
      <c r="AG30" s="34">
        <v>1118</v>
      </c>
      <c r="AH30" s="35">
        <v>1</v>
      </c>
      <c r="AI30" s="34">
        <v>966</v>
      </c>
      <c r="AJ30" s="35">
        <v>1</v>
      </c>
      <c r="AK30" s="34">
        <v>938</v>
      </c>
      <c r="AL30" s="35">
        <v>1</v>
      </c>
      <c r="AM30" s="34">
        <v>991</v>
      </c>
      <c r="AN30" s="35">
        <v>1</v>
      </c>
      <c r="AO30" s="34">
        <v>1303</v>
      </c>
      <c r="AP30" s="35">
        <v>1</v>
      </c>
      <c r="AQ30" s="34" t="s">
        <v>1033</v>
      </c>
      <c r="AR30" s="35"/>
      <c r="AS30" s="34">
        <v>1111</v>
      </c>
      <c r="AT30" s="35">
        <v>1</v>
      </c>
      <c r="AU30" s="34">
        <v>950</v>
      </c>
      <c r="AV30" s="35">
        <v>1</v>
      </c>
      <c r="AW30" s="34">
        <v>1348</v>
      </c>
      <c r="AX30" s="35">
        <v>1</v>
      </c>
    </row>
    <row r="31" spans="1:50" x14ac:dyDescent="0.25">
      <c r="A31" s="11" t="s">
        <v>1268</v>
      </c>
      <c r="B31" s="11"/>
      <c r="C31" s="30">
        <v>429.03628400000002</v>
      </c>
      <c r="D31" s="31">
        <v>1</v>
      </c>
      <c r="E31" s="30">
        <v>673.24709499999994</v>
      </c>
      <c r="F31" s="31">
        <v>1</v>
      </c>
      <c r="G31" s="30">
        <v>573.82892900000002</v>
      </c>
      <c r="H31" s="31">
        <v>1</v>
      </c>
      <c r="I31" s="30">
        <v>610.88769200000002</v>
      </c>
      <c r="J31" s="31">
        <v>1</v>
      </c>
      <c r="K31" s="30">
        <v>1311</v>
      </c>
      <c r="L31" s="31">
        <v>1</v>
      </c>
      <c r="M31" s="30" t="s">
        <v>1033</v>
      </c>
      <c r="N31" s="31"/>
      <c r="O31" s="30">
        <v>653.56849099999999</v>
      </c>
      <c r="P31" s="31">
        <v>1</v>
      </c>
      <c r="Q31" s="30">
        <v>675.52505599999995</v>
      </c>
      <c r="R31" s="31">
        <v>1</v>
      </c>
      <c r="S31" s="30">
        <v>728</v>
      </c>
      <c r="T31" s="31">
        <v>1</v>
      </c>
      <c r="U31" s="30">
        <v>767</v>
      </c>
      <c r="V31" s="31">
        <v>1</v>
      </c>
      <c r="W31" s="30">
        <v>706000000</v>
      </c>
      <c r="X31" s="31">
        <v>1</v>
      </c>
      <c r="Y31" s="30">
        <v>1363</v>
      </c>
      <c r="Z31" s="31">
        <v>1</v>
      </c>
      <c r="AA31" s="30">
        <v>798</v>
      </c>
      <c r="AB31" s="31">
        <v>1</v>
      </c>
      <c r="AC31" s="30">
        <v>870</v>
      </c>
      <c r="AD31" s="31">
        <v>1</v>
      </c>
      <c r="AE31" s="30">
        <v>899</v>
      </c>
      <c r="AF31" s="31">
        <v>1</v>
      </c>
      <c r="AG31" s="30">
        <v>1118</v>
      </c>
      <c r="AH31" s="31">
        <v>1</v>
      </c>
      <c r="AI31" s="30">
        <v>966</v>
      </c>
      <c r="AJ31" s="31">
        <v>1</v>
      </c>
      <c r="AK31" s="30">
        <v>938</v>
      </c>
      <c r="AL31" s="31">
        <v>1</v>
      </c>
      <c r="AM31" s="30">
        <v>991</v>
      </c>
      <c r="AN31" s="31">
        <v>1</v>
      </c>
      <c r="AO31" s="30">
        <v>1303</v>
      </c>
      <c r="AP31" s="31">
        <v>1</v>
      </c>
      <c r="AQ31" s="30" t="s">
        <v>1033</v>
      </c>
      <c r="AR31" s="31"/>
      <c r="AS31" s="30">
        <v>1111</v>
      </c>
      <c r="AT31" s="31">
        <v>1</v>
      </c>
      <c r="AU31" s="30">
        <v>950</v>
      </c>
      <c r="AV31" s="31">
        <v>1</v>
      </c>
      <c r="AW31" s="30">
        <v>1348</v>
      </c>
      <c r="AX31" s="31">
        <v>1</v>
      </c>
    </row>
    <row r="32" spans="1:50" x14ac:dyDescent="0.25">
      <c r="A32" s="7" t="s">
        <v>1187</v>
      </c>
      <c r="B32" s="7"/>
      <c r="C32" s="34">
        <v>-1788.0958869999999</v>
      </c>
      <c r="D32" s="35"/>
      <c r="E32" s="34">
        <v>-805.39351699999997</v>
      </c>
      <c r="F32" s="35"/>
      <c r="G32" s="34">
        <v>-2299.5079099999998</v>
      </c>
      <c r="H32" s="35"/>
      <c r="I32" s="34">
        <v>-2542.0026859999998</v>
      </c>
      <c r="J32" s="35"/>
      <c r="K32" s="34">
        <v>-1558</v>
      </c>
      <c r="L32" s="35"/>
      <c r="M32" s="34">
        <v>-298.86222600000002</v>
      </c>
      <c r="N32" s="35"/>
      <c r="O32" s="34">
        <v>-1001.8923129999999</v>
      </c>
      <c r="P32" s="35"/>
      <c r="Q32" s="34">
        <v>-1664.245461</v>
      </c>
      <c r="R32" s="35"/>
      <c r="S32" s="34">
        <v>-358</v>
      </c>
      <c r="T32" s="35"/>
      <c r="U32" s="34">
        <v>-2031.465643</v>
      </c>
      <c r="V32" s="35"/>
      <c r="W32" s="34">
        <v>-1423.916183</v>
      </c>
      <c r="X32" s="35"/>
      <c r="Y32" s="34">
        <v>-7977.6181740000002</v>
      </c>
      <c r="Z32" s="35"/>
      <c r="AA32" s="34">
        <v>-880</v>
      </c>
      <c r="AB32" s="35"/>
      <c r="AC32" s="34">
        <v>-2871</v>
      </c>
      <c r="AD32" s="35"/>
      <c r="AE32" s="34">
        <v>-2908</v>
      </c>
      <c r="AF32" s="35"/>
      <c r="AG32" s="34">
        <v>-2405</v>
      </c>
      <c r="AH32" s="35"/>
      <c r="AI32" s="34">
        <v>-1795</v>
      </c>
      <c r="AJ32" s="35"/>
      <c r="AK32" s="34">
        <v>-1776</v>
      </c>
      <c r="AL32" s="35"/>
      <c r="AM32" s="34">
        <v>-2257</v>
      </c>
      <c r="AN32" s="35"/>
      <c r="AO32" s="34">
        <v>-2444</v>
      </c>
      <c r="AP32" s="35"/>
      <c r="AQ32" s="34" t="s">
        <v>1033</v>
      </c>
      <c r="AR32" s="35"/>
      <c r="AS32" s="34">
        <v>-2511</v>
      </c>
      <c r="AT32" s="35"/>
      <c r="AU32" s="34">
        <v>-2493</v>
      </c>
      <c r="AV32" s="35"/>
      <c r="AW32" s="34">
        <v>-4308</v>
      </c>
      <c r="AX32" s="35"/>
    </row>
    <row r="33" spans="1:50" x14ac:dyDescent="0.25">
      <c r="A33" s="11" t="s">
        <v>1268</v>
      </c>
      <c r="B33" s="11"/>
      <c r="C33" s="30">
        <v>-1788.0958869999999</v>
      </c>
      <c r="D33" s="31">
        <v>1</v>
      </c>
      <c r="E33" s="30">
        <v>-805.39351699999997</v>
      </c>
      <c r="F33" s="31">
        <v>1</v>
      </c>
      <c r="G33" s="30">
        <v>-2299.5079099999998</v>
      </c>
      <c r="H33" s="31">
        <v>1</v>
      </c>
      <c r="I33" s="30">
        <v>-2542.0026859999998</v>
      </c>
      <c r="J33" s="31">
        <v>1</v>
      </c>
      <c r="K33" s="30">
        <v>-1558</v>
      </c>
      <c r="L33" s="31">
        <v>1</v>
      </c>
      <c r="M33" s="30">
        <v>-298.86222600000002</v>
      </c>
      <c r="N33" s="31">
        <v>1</v>
      </c>
      <c r="O33" s="30">
        <v>-1001.8923129999999</v>
      </c>
      <c r="P33" s="31">
        <v>1</v>
      </c>
      <c r="Q33" s="30">
        <v>-1664.245461</v>
      </c>
      <c r="R33" s="31">
        <v>1</v>
      </c>
      <c r="S33" s="30">
        <v>-358</v>
      </c>
      <c r="T33" s="31">
        <v>1</v>
      </c>
      <c r="U33" s="30">
        <v>-2031.465643</v>
      </c>
      <c r="V33" s="31">
        <v>1</v>
      </c>
      <c r="W33" s="30">
        <v>-1423.916183</v>
      </c>
      <c r="X33" s="31">
        <v>1</v>
      </c>
      <c r="Y33" s="30">
        <v>-7977.6181740000002</v>
      </c>
      <c r="Z33" s="31">
        <v>1</v>
      </c>
      <c r="AA33" s="30">
        <v>-880</v>
      </c>
      <c r="AB33" s="31">
        <v>1</v>
      </c>
      <c r="AC33" s="30">
        <v>-2871</v>
      </c>
      <c r="AD33" s="31">
        <v>1</v>
      </c>
      <c r="AE33" s="30">
        <v>-2908</v>
      </c>
      <c r="AF33" s="31">
        <v>1</v>
      </c>
      <c r="AG33" s="30">
        <v>-2405</v>
      </c>
      <c r="AH33" s="31">
        <v>1</v>
      </c>
      <c r="AI33" s="30">
        <v>-1795</v>
      </c>
      <c r="AJ33" s="31">
        <v>1</v>
      </c>
      <c r="AK33" s="30">
        <v>-1776</v>
      </c>
      <c r="AL33" s="31">
        <v>1</v>
      </c>
      <c r="AM33" s="30">
        <v>-2257</v>
      </c>
      <c r="AN33" s="31">
        <v>1</v>
      </c>
      <c r="AO33" s="30">
        <v>-2444</v>
      </c>
      <c r="AP33" s="31">
        <v>1</v>
      </c>
      <c r="AQ33" s="30" t="s">
        <v>1033</v>
      </c>
      <c r="AR33" s="31"/>
      <c r="AS33" s="30">
        <v>-2511</v>
      </c>
      <c r="AT33" s="31">
        <v>1</v>
      </c>
      <c r="AU33" s="30">
        <v>-2493</v>
      </c>
      <c r="AV33" s="31">
        <v>1</v>
      </c>
      <c r="AW33" s="30">
        <v>-4308</v>
      </c>
      <c r="AX33" s="31">
        <v>1</v>
      </c>
    </row>
    <row r="34" spans="1:50" x14ac:dyDescent="0.25">
      <c r="A34" s="7" t="s">
        <v>87</v>
      </c>
      <c r="B34" s="7"/>
      <c r="C34" s="34">
        <v>21968</v>
      </c>
      <c r="D34" s="35">
        <v>1</v>
      </c>
      <c r="E34" s="34">
        <v>13861</v>
      </c>
      <c r="F34" s="35">
        <v>1</v>
      </c>
      <c r="G34" s="34">
        <v>20601</v>
      </c>
      <c r="H34" s="35">
        <v>1</v>
      </c>
      <c r="I34" s="34">
        <v>19580</v>
      </c>
      <c r="J34" s="35">
        <v>1</v>
      </c>
      <c r="K34" s="34">
        <v>22777</v>
      </c>
      <c r="L34" s="35">
        <v>1</v>
      </c>
      <c r="M34" s="34">
        <v>19649</v>
      </c>
      <c r="N34" s="35">
        <v>1</v>
      </c>
      <c r="O34" s="34">
        <v>22873</v>
      </c>
      <c r="P34" s="35">
        <v>1</v>
      </c>
      <c r="Q34" s="34">
        <v>26456.718362</v>
      </c>
      <c r="R34" s="35">
        <v>1</v>
      </c>
      <c r="S34" s="34">
        <v>26922</v>
      </c>
      <c r="T34" s="35">
        <v>1</v>
      </c>
      <c r="U34" s="34">
        <v>27051</v>
      </c>
      <c r="V34" s="35">
        <v>1</v>
      </c>
      <c r="W34" s="34">
        <v>30694000000</v>
      </c>
      <c r="X34" s="35">
        <v>1</v>
      </c>
      <c r="Y34" s="34">
        <v>31224.689407000002</v>
      </c>
      <c r="Z34" s="35">
        <v>1</v>
      </c>
      <c r="AA34" s="34">
        <v>31730</v>
      </c>
      <c r="AB34" s="35">
        <v>1</v>
      </c>
      <c r="AC34" s="34">
        <v>28523</v>
      </c>
      <c r="AD34" s="35">
        <v>1</v>
      </c>
      <c r="AE34" s="34">
        <v>33189</v>
      </c>
      <c r="AF34" s="35">
        <v>1</v>
      </c>
      <c r="AG34" s="34">
        <v>34039</v>
      </c>
      <c r="AH34" s="35">
        <v>1</v>
      </c>
      <c r="AI34" s="34">
        <v>34777</v>
      </c>
      <c r="AJ34" s="35">
        <v>1</v>
      </c>
      <c r="AK34" s="34">
        <v>31938</v>
      </c>
      <c r="AL34" s="35">
        <v>1</v>
      </c>
      <c r="AM34" s="34">
        <v>35964</v>
      </c>
      <c r="AN34" s="35">
        <v>1</v>
      </c>
      <c r="AO34" s="34">
        <v>35701</v>
      </c>
      <c r="AP34" s="35">
        <v>1</v>
      </c>
      <c r="AQ34" s="34" t="s">
        <v>1033</v>
      </c>
      <c r="AR34" s="35"/>
      <c r="AS34" s="34">
        <v>35834</v>
      </c>
      <c r="AT34" s="35">
        <v>1</v>
      </c>
      <c r="AU34" s="34">
        <v>36614</v>
      </c>
      <c r="AV34" s="35">
        <v>1</v>
      </c>
      <c r="AW34" s="34">
        <v>38117</v>
      </c>
      <c r="AX34" s="35">
        <v>1</v>
      </c>
    </row>
    <row r="35" spans="1:50" x14ac:dyDescent="0.25">
      <c r="A35" s="11" t="s">
        <v>1268</v>
      </c>
      <c r="B35" s="11"/>
      <c r="C35" s="30">
        <v>21968</v>
      </c>
      <c r="D35" s="31">
        <v>1</v>
      </c>
      <c r="E35" s="30">
        <v>13861</v>
      </c>
      <c r="F35" s="31">
        <v>1</v>
      </c>
      <c r="G35" s="30">
        <v>20601</v>
      </c>
      <c r="H35" s="31">
        <v>1</v>
      </c>
      <c r="I35" s="30">
        <v>19580</v>
      </c>
      <c r="J35" s="31">
        <v>1</v>
      </c>
      <c r="K35" s="30">
        <v>22777</v>
      </c>
      <c r="L35" s="31">
        <v>1</v>
      </c>
      <c r="M35" s="30">
        <v>19649</v>
      </c>
      <c r="N35" s="31">
        <v>1</v>
      </c>
      <c r="O35" s="30">
        <v>22873</v>
      </c>
      <c r="P35" s="31">
        <v>1</v>
      </c>
      <c r="Q35" s="30">
        <v>26456.718362</v>
      </c>
      <c r="R35" s="31">
        <v>1</v>
      </c>
      <c r="S35" s="30">
        <v>26922</v>
      </c>
      <c r="T35" s="31">
        <v>1</v>
      </c>
      <c r="U35" s="30">
        <v>27051</v>
      </c>
      <c r="V35" s="31">
        <v>1</v>
      </c>
      <c r="W35" s="30">
        <v>30694000000</v>
      </c>
      <c r="X35" s="31">
        <v>1</v>
      </c>
      <c r="Y35" s="30">
        <v>31224.689407000002</v>
      </c>
      <c r="Z35" s="31">
        <v>1</v>
      </c>
      <c r="AA35" s="30">
        <v>31730</v>
      </c>
      <c r="AB35" s="31">
        <v>1</v>
      </c>
      <c r="AC35" s="30">
        <v>28523</v>
      </c>
      <c r="AD35" s="31">
        <v>1</v>
      </c>
      <c r="AE35" s="30">
        <v>33189</v>
      </c>
      <c r="AF35" s="31">
        <v>1</v>
      </c>
      <c r="AG35" s="30">
        <v>34039</v>
      </c>
      <c r="AH35" s="31">
        <v>1</v>
      </c>
      <c r="AI35" s="30">
        <v>34777</v>
      </c>
      <c r="AJ35" s="31">
        <v>1</v>
      </c>
      <c r="AK35" s="30">
        <v>31938</v>
      </c>
      <c r="AL35" s="31">
        <v>1</v>
      </c>
      <c r="AM35" s="30">
        <v>35964</v>
      </c>
      <c r="AN35" s="31">
        <v>1</v>
      </c>
      <c r="AO35" s="30">
        <v>35701</v>
      </c>
      <c r="AP35" s="31">
        <v>1</v>
      </c>
      <c r="AQ35" s="30" t="s">
        <v>1033</v>
      </c>
      <c r="AR35" s="31"/>
      <c r="AS35" s="30">
        <v>35834</v>
      </c>
      <c r="AT35" s="31">
        <v>1</v>
      </c>
      <c r="AU35" s="30">
        <v>36614</v>
      </c>
      <c r="AV35" s="31">
        <v>1</v>
      </c>
      <c r="AW35" s="30">
        <v>38117</v>
      </c>
      <c r="AX35" s="31">
        <v>1</v>
      </c>
    </row>
    <row r="36" spans="1:50" x14ac:dyDescent="0.25">
      <c r="A36" s="7" t="s">
        <v>94</v>
      </c>
      <c r="B36" s="7"/>
      <c r="C36" s="34">
        <v>4344</v>
      </c>
      <c r="D36" s="35">
        <v>1</v>
      </c>
      <c r="E36" s="34">
        <v>8456</v>
      </c>
      <c r="F36" s="35">
        <v>1</v>
      </c>
      <c r="G36" s="34">
        <v>3137.9471490000001</v>
      </c>
      <c r="H36" s="35">
        <v>1</v>
      </c>
      <c r="I36" s="34">
        <v>5992.1469239999997</v>
      </c>
      <c r="J36" s="35">
        <v>1</v>
      </c>
      <c r="K36" s="34">
        <v>3214</v>
      </c>
      <c r="L36" s="35">
        <v>1</v>
      </c>
      <c r="M36" s="34">
        <v>2765</v>
      </c>
      <c r="N36" s="35">
        <v>1</v>
      </c>
      <c r="O36" s="34">
        <v>2653</v>
      </c>
      <c r="P36" s="35">
        <v>1</v>
      </c>
      <c r="Q36" s="34">
        <v>2718.6257209999999</v>
      </c>
      <c r="R36" s="35">
        <v>1</v>
      </c>
      <c r="S36" s="34">
        <v>2668</v>
      </c>
      <c r="T36" s="35">
        <v>1</v>
      </c>
      <c r="U36" s="34">
        <v>2434</v>
      </c>
      <c r="V36" s="35">
        <v>1</v>
      </c>
      <c r="W36" s="34">
        <v>3148000000</v>
      </c>
      <c r="X36" s="35">
        <v>1</v>
      </c>
      <c r="Y36" s="34">
        <v>3631.6623020000002</v>
      </c>
      <c r="Z36" s="35">
        <v>1</v>
      </c>
      <c r="AA36" s="34">
        <v>3771</v>
      </c>
      <c r="AB36" s="35">
        <v>1</v>
      </c>
      <c r="AC36" s="34">
        <v>4038</v>
      </c>
      <c r="AD36" s="35">
        <v>1</v>
      </c>
      <c r="AE36" s="34">
        <v>4541</v>
      </c>
      <c r="AF36" s="35">
        <v>1</v>
      </c>
      <c r="AG36" s="34">
        <v>3591</v>
      </c>
      <c r="AH36" s="35">
        <v>1</v>
      </c>
      <c r="AI36" s="34">
        <v>4868</v>
      </c>
      <c r="AJ36" s="35">
        <v>1</v>
      </c>
      <c r="AK36" s="34">
        <v>4854</v>
      </c>
      <c r="AL36" s="35">
        <v>1</v>
      </c>
      <c r="AM36" s="34">
        <v>4615</v>
      </c>
      <c r="AN36" s="35">
        <v>1</v>
      </c>
      <c r="AO36" s="34">
        <v>3786</v>
      </c>
      <c r="AP36" s="35">
        <v>1</v>
      </c>
      <c r="AQ36" s="34" t="s">
        <v>1033</v>
      </c>
      <c r="AR36" s="35"/>
      <c r="AS36" s="34">
        <v>5208</v>
      </c>
      <c r="AT36" s="35">
        <v>1</v>
      </c>
      <c r="AU36" s="34">
        <v>8176</v>
      </c>
      <c r="AV36" s="35">
        <v>1</v>
      </c>
      <c r="AW36" s="34">
        <v>2769</v>
      </c>
      <c r="AX36" s="35">
        <v>1</v>
      </c>
    </row>
    <row r="37" spans="1:50" x14ac:dyDescent="0.25">
      <c r="A37" s="11" t="s">
        <v>1268</v>
      </c>
      <c r="B37" s="11"/>
      <c r="C37" s="30">
        <v>4344</v>
      </c>
      <c r="D37" s="31">
        <v>1</v>
      </c>
      <c r="E37" s="30">
        <v>8456</v>
      </c>
      <c r="F37" s="31">
        <v>1</v>
      </c>
      <c r="G37" s="30">
        <v>3137.9471490000001</v>
      </c>
      <c r="H37" s="31">
        <v>1</v>
      </c>
      <c r="I37" s="30">
        <v>5992.1469239999997</v>
      </c>
      <c r="J37" s="31">
        <v>1</v>
      </c>
      <c r="K37" s="30">
        <v>3214</v>
      </c>
      <c r="L37" s="31">
        <v>1</v>
      </c>
      <c r="M37" s="30">
        <v>2765</v>
      </c>
      <c r="N37" s="31">
        <v>1</v>
      </c>
      <c r="O37" s="30">
        <v>2653</v>
      </c>
      <c r="P37" s="31">
        <v>1</v>
      </c>
      <c r="Q37" s="30">
        <v>2718.6257209999999</v>
      </c>
      <c r="R37" s="31">
        <v>1</v>
      </c>
      <c r="S37" s="30">
        <v>2668</v>
      </c>
      <c r="T37" s="31">
        <v>1</v>
      </c>
      <c r="U37" s="30">
        <v>2434</v>
      </c>
      <c r="V37" s="31">
        <v>1</v>
      </c>
      <c r="W37" s="30">
        <v>3148000000</v>
      </c>
      <c r="X37" s="31">
        <v>1</v>
      </c>
      <c r="Y37" s="30">
        <v>3631.6623020000002</v>
      </c>
      <c r="Z37" s="31">
        <v>1</v>
      </c>
      <c r="AA37" s="30">
        <v>3771</v>
      </c>
      <c r="AB37" s="31">
        <v>1</v>
      </c>
      <c r="AC37" s="30">
        <v>4038</v>
      </c>
      <c r="AD37" s="31">
        <v>1</v>
      </c>
      <c r="AE37" s="30">
        <v>4541</v>
      </c>
      <c r="AF37" s="31">
        <v>1</v>
      </c>
      <c r="AG37" s="30">
        <v>3591</v>
      </c>
      <c r="AH37" s="31">
        <v>1</v>
      </c>
      <c r="AI37" s="30">
        <v>4868</v>
      </c>
      <c r="AJ37" s="31">
        <v>1</v>
      </c>
      <c r="AK37" s="30">
        <v>4854</v>
      </c>
      <c r="AL37" s="31">
        <v>1</v>
      </c>
      <c r="AM37" s="30">
        <v>4615</v>
      </c>
      <c r="AN37" s="31">
        <v>1</v>
      </c>
      <c r="AO37" s="30">
        <v>3786</v>
      </c>
      <c r="AP37" s="31">
        <v>1</v>
      </c>
      <c r="AQ37" s="30" t="s">
        <v>1033</v>
      </c>
      <c r="AR37" s="31"/>
      <c r="AS37" s="30">
        <v>5208</v>
      </c>
      <c r="AT37" s="31">
        <v>1</v>
      </c>
      <c r="AU37" s="30">
        <v>8176</v>
      </c>
      <c r="AV37" s="31">
        <v>1</v>
      </c>
      <c r="AW37" s="30">
        <v>2769</v>
      </c>
      <c r="AX37" s="31">
        <v>1</v>
      </c>
    </row>
    <row r="38" spans="1:50" x14ac:dyDescent="0.25">
      <c r="A38" s="7" t="s">
        <v>98</v>
      </c>
      <c r="B38" s="7"/>
      <c r="C38" s="34">
        <v>13126</v>
      </c>
      <c r="D38" s="35">
        <v>1</v>
      </c>
      <c r="E38" s="34">
        <v>12644</v>
      </c>
      <c r="F38" s="35">
        <v>1</v>
      </c>
      <c r="G38" s="34">
        <v>22933.359532999999</v>
      </c>
      <c r="H38" s="35">
        <v>1</v>
      </c>
      <c r="I38" s="34">
        <v>25438.704217999999</v>
      </c>
      <c r="J38" s="35">
        <v>1</v>
      </c>
      <c r="K38" s="34">
        <v>31233</v>
      </c>
      <c r="L38" s="35">
        <v>1</v>
      </c>
      <c r="M38" s="34">
        <v>14247</v>
      </c>
      <c r="N38" s="35">
        <v>1</v>
      </c>
      <c r="O38" s="34">
        <v>14630</v>
      </c>
      <c r="P38" s="35">
        <v>1</v>
      </c>
      <c r="Q38" s="34">
        <v>34356.215035000001</v>
      </c>
      <c r="R38" s="35">
        <v>1</v>
      </c>
      <c r="S38" s="34">
        <v>33036</v>
      </c>
      <c r="T38" s="35">
        <v>1</v>
      </c>
      <c r="U38" s="34">
        <v>27123</v>
      </c>
      <c r="V38" s="35">
        <v>1</v>
      </c>
      <c r="W38" s="34">
        <v>28818000000</v>
      </c>
      <c r="X38" s="35">
        <v>1</v>
      </c>
      <c r="Y38" s="34">
        <v>30707.469731000001</v>
      </c>
      <c r="Z38" s="35">
        <v>1</v>
      </c>
      <c r="AA38" s="34">
        <v>32430</v>
      </c>
      <c r="AB38" s="35">
        <v>1</v>
      </c>
      <c r="AC38" s="34">
        <v>27954</v>
      </c>
      <c r="AD38" s="35">
        <v>1</v>
      </c>
      <c r="AE38" s="34">
        <v>30389</v>
      </c>
      <c r="AF38" s="35">
        <v>1</v>
      </c>
      <c r="AG38" s="34">
        <v>38451</v>
      </c>
      <c r="AH38" s="35">
        <v>1</v>
      </c>
      <c r="AI38" s="34">
        <v>38162</v>
      </c>
      <c r="AJ38" s="35">
        <v>1</v>
      </c>
      <c r="AK38" s="34">
        <v>33284</v>
      </c>
      <c r="AL38" s="35">
        <v>1</v>
      </c>
      <c r="AM38" s="34">
        <v>34531</v>
      </c>
      <c r="AN38" s="35">
        <v>1</v>
      </c>
      <c r="AO38" s="34">
        <v>39873</v>
      </c>
      <c r="AP38" s="35">
        <v>1</v>
      </c>
      <c r="AQ38" s="34" t="s">
        <v>1033</v>
      </c>
      <c r="AR38" s="35"/>
      <c r="AS38" s="34">
        <v>38133</v>
      </c>
      <c r="AT38" s="35">
        <v>1</v>
      </c>
      <c r="AU38" s="34">
        <v>35962</v>
      </c>
      <c r="AV38" s="35">
        <v>1</v>
      </c>
      <c r="AW38" s="34">
        <v>45961</v>
      </c>
      <c r="AX38" s="35">
        <v>1</v>
      </c>
    </row>
    <row r="39" spans="1:50" x14ac:dyDescent="0.25">
      <c r="A39" s="11" t="s">
        <v>1268</v>
      </c>
      <c r="B39" s="11"/>
      <c r="C39" s="30">
        <v>13126</v>
      </c>
      <c r="D39" s="31">
        <v>1</v>
      </c>
      <c r="E39" s="30">
        <v>12644</v>
      </c>
      <c r="F39" s="31">
        <v>1</v>
      </c>
      <c r="G39" s="30">
        <v>22933.359532999999</v>
      </c>
      <c r="H39" s="31">
        <v>1</v>
      </c>
      <c r="I39" s="30">
        <v>25438.704217999999</v>
      </c>
      <c r="J39" s="31">
        <v>1</v>
      </c>
      <c r="K39" s="30">
        <v>31233</v>
      </c>
      <c r="L39" s="31">
        <v>1</v>
      </c>
      <c r="M39" s="30">
        <v>14247</v>
      </c>
      <c r="N39" s="31">
        <v>1</v>
      </c>
      <c r="O39" s="30">
        <v>14630</v>
      </c>
      <c r="P39" s="31">
        <v>1</v>
      </c>
      <c r="Q39" s="30">
        <v>34356.215035000001</v>
      </c>
      <c r="R39" s="31">
        <v>1</v>
      </c>
      <c r="S39" s="30">
        <v>33036</v>
      </c>
      <c r="T39" s="31">
        <v>1</v>
      </c>
      <c r="U39" s="30">
        <v>27123</v>
      </c>
      <c r="V39" s="31">
        <v>1</v>
      </c>
      <c r="W39" s="30">
        <v>28818000000</v>
      </c>
      <c r="X39" s="31">
        <v>1</v>
      </c>
      <c r="Y39" s="30">
        <v>30707.469731000001</v>
      </c>
      <c r="Z39" s="31">
        <v>1</v>
      </c>
      <c r="AA39" s="30">
        <v>32430</v>
      </c>
      <c r="AB39" s="31">
        <v>1</v>
      </c>
      <c r="AC39" s="30">
        <v>27954</v>
      </c>
      <c r="AD39" s="31">
        <v>1</v>
      </c>
      <c r="AE39" s="30">
        <v>30389</v>
      </c>
      <c r="AF39" s="31">
        <v>1</v>
      </c>
      <c r="AG39" s="30">
        <v>38451</v>
      </c>
      <c r="AH39" s="31">
        <v>1</v>
      </c>
      <c r="AI39" s="30">
        <v>38162</v>
      </c>
      <c r="AJ39" s="31">
        <v>1</v>
      </c>
      <c r="AK39" s="30">
        <v>33284</v>
      </c>
      <c r="AL39" s="31">
        <v>1</v>
      </c>
      <c r="AM39" s="30">
        <v>34531</v>
      </c>
      <c r="AN39" s="31">
        <v>1</v>
      </c>
      <c r="AO39" s="30">
        <v>39873</v>
      </c>
      <c r="AP39" s="31">
        <v>1</v>
      </c>
      <c r="AQ39" s="30" t="s">
        <v>1033</v>
      </c>
      <c r="AR39" s="31"/>
      <c r="AS39" s="30">
        <v>38133</v>
      </c>
      <c r="AT39" s="31">
        <v>1</v>
      </c>
      <c r="AU39" s="30">
        <v>35962</v>
      </c>
      <c r="AV39" s="31">
        <v>1</v>
      </c>
      <c r="AW39" s="30">
        <v>45961</v>
      </c>
      <c r="AX39" s="31">
        <v>1</v>
      </c>
    </row>
    <row r="40" spans="1:50" x14ac:dyDescent="0.25">
      <c r="A40" s="7" t="s">
        <v>1273</v>
      </c>
      <c r="B40" s="7"/>
      <c r="C40" s="36" t="s">
        <v>1033</v>
      </c>
      <c r="D40" s="37"/>
      <c r="E40" s="36" t="s">
        <v>1033</v>
      </c>
      <c r="F40" s="37"/>
      <c r="G40" s="36" t="s">
        <v>1033</v>
      </c>
      <c r="H40" s="37"/>
      <c r="I40" s="36">
        <v>1193</v>
      </c>
      <c r="J40" s="37">
        <v>1</v>
      </c>
      <c r="K40" s="36" t="s">
        <v>1033</v>
      </c>
      <c r="L40" s="37"/>
      <c r="M40" s="36" t="s">
        <v>1033</v>
      </c>
      <c r="N40" s="37"/>
      <c r="O40" s="36" t="s">
        <v>1033</v>
      </c>
      <c r="P40" s="37"/>
      <c r="Q40" s="36">
        <v>1151</v>
      </c>
      <c r="R40" s="37">
        <v>1</v>
      </c>
      <c r="S40" s="36" t="s">
        <v>1033</v>
      </c>
      <c r="T40" s="37"/>
      <c r="U40" s="36" t="s">
        <v>1033</v>
      </c>
      <c r="V40" s="37"/>
      <c r="W40" s="36" t="s">
        <v>1033</v>
      </c>
      <c r="X40" s="37"/>
      <c r="Y40" s="36">
        <v>1154</v>
      </c>
      <c r="Z40" s="37">
        <v>1</v>
      </c>
      <c r="AA40" s="36" t="s">
        <v>1033</v>
      </c>
      <c r="AB40" s="37"/>
      <c r="AC40" s="36" t="s">
        <v>1033</v>
      </c>
      <c r="AD40" s="37"/>
      <c r="AE40" s="36" t="s">
        <v>1033</v>
      </c>
      <c r="AF40" s="37"/>
      <c r="AG40" s="36" t="s">
        <v>1033</v>
      </c>
      <c r="AH40" s="37"/>
      <c r="AI40" s="36" t="s">
        <v>1033</v>
      </c>
      <c r="AJ40" s="37"/>
      <c r="AK40" s="36" t="s">
        <v>1033</v>
      </c>
      <c r="AL40" s="37"/>
      <c r="AM40" s="36" t="s">
        <v>1033</v>
      </c>
      <c r="AN40" s="37"/>
      <c r="AO40" s="36" t="s">
        <v>1033</v>
      </c>
      <c r="AP40" s="37"/>
      <c r="AQ40" s="36" t="s">
        <v>1033</v>
      </c>
      <c r="AR40" s="37"/>
      <c r="AS40" s="36" t="s">
        <v>1033</v>
      </c>
      <c r="AT40" s="37"/>
      <c r="AU40" s="36" t="s">
        <v>1033</v>
      </c>
      <c r="AV40" s="37"/>
      <c r="AW40" s="36" t="s">
        <v>1033</v>
      </c>
      <c r="AX40" s="37"/>
    </row>
    <row r="41" spans="1:50" x14ac:dyDescent="0.25">
      <c r="A41" s="11" t="s">
        <v>1268</v>
      </c>
      <c r="B41" s="11"/>
      <c r="C41" s="32" t="s">
        <v>1033</v>
      </c>
      <c r="D41" s="33"/>
      <c r="E41" s="32" t="s">
        <v>1033</v>
      </c>
      <c r="F41" s="33"/>
      <c r="G41" s="32" t="s">
        <v>1033</v>
      </c>
      <c r="H41" s="33"/>
      <c r="I41" s="32">
        <v>1193</v>
      </c>
      <c r="J41" s="33">
        <v>1</v>
      </c>
      <c r="K41" s="32" t="s">
        <v>1033</v>
      </c>
      <c r="L41" s="33"/>
      <c r="M41" s="32" t="s">
        <v>1033</v>
      </c>
      <c r="N41" s="33"/>
      <c r="O41" s="32" t="s">
        <v>1033</v>
      </c>
      <c r="P41" s="33"/>
      <c r="Q41" s="32">
        <v>1151</v>
      </c>
      <c r="R41" s="33">
        <v>1</v>
      </c>
      <c r="S41" s="32" t="s">
        <v>1033</v>
      </c>
      <c r="T41" s="33"/>
      <c r="U41" s="32" t="s">
        <v>1033</v>
      </c>
      <c r="V41" s="33"/>
      <c r="W41" s="32" t="s">
        <v>1033</v>
      </c>
      <c r="X41" s="33"/>
      <c r="Y41" s="32">
        <v>1154</v>
      </c>
      <c r="Z41" s="33">
        <v>1</v>
      </c>
      <c r="AA41" s="32" t="s">
        <v>1033</v>
      </c>
      <c r="AB41" s="33"/>
      <c r="AC41" s="32" t="s">
        <v>1033</v>
      </c>
      <c r="AD41" s="33"/>
      <c r="AE41" s="32" t="s">
        <v>1033</v>
      </c>
      <c r="AF41" s="33"/>
      <c r="AG41" s="32" t="s">
        <v>1033</v>
      </c>
      <c r="AH41" s="33"/>
      <c r="AI41" s="32" t="s">
        <v>1033</v>
      </c>
      <c r="AJ41" s="33"/>
      <c r="AK41" s="32" t="s">
        <v>1033</v>
      </c>
      <c r="AL41" s="33"/>
      <c r="AM41" s="32" t="s">
        <v>1033</v>
      </c>
      <c r="AN41" s="33"/>
      <c r="AO41" s="32" t="s">
        <v>1033</v>
      </c>
      <c r="AP41" s="33"/>
      <c r="AQ41" s="32" t="s">
        <v>1033</v>
      </c>
      <c r="AR41" s="33"/>
      <c r="AS41" s="32" t="s">
        <v>1033</v>
      </c>
      <c r="AT41" s="33"/>
      <c r="AU41" s="32" t="s">
        <v>1033</v>
      </c>
      <c r="AV41" s="33"/>
      <c r="AW41" s="32" t="s">
        <v>1033</v>
      </c>
      <c r="AX41" s="33"/>
    </row>
    <row r="42" spans="1:50" x14ac:dyDescent="0.25">
      <c r="A42" s="8" t="s">
        <v>84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Adj Highlights</vt:lpstr>
      <vt:lpstr>GAAP Highlights</vt:lpstr>
      <vt:lpstr>Enterprise Value</vt:lpstr>
      <vt:lpstr>Multiples</vt:lpstr>
      <vt:lpstr>Income - Adjusted</vt:lpstr>
      <vt:lpstr>Income - GAAP</vt:lpstr>
      <vt:lpstr>Income - As Reported</vt:lpstr>
      <vt:lpstr>Reconciliation</vt:lpstr>
      <vt:lpstr>SBC &amp; Amort</vt:lpstr>
      <vt:lpstr>Bal Sheet - Standardized</vt:lpstr>
      <vt:lpstr>Bal Sheet - As Reported</vt:lpstr>
      <vt:lpstr>Bal Sheet - Common Size</vt:lpstr>
      <vt:lpstr>Cash Flow - Standardized</vt:lpstr>
      <vt:lpstr>Cash Flow - As Reported</vt:lpstr>
      <vt:lpstr>Profitability</vt:lpstr>
      <vt:lpstr>By Measure</vt:lpstr>
      <vt:lpstr>By 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Adolfo German Margain Orozco</cp:lastModifiedBy>
  <dcterms:created xsi:type="dcterms:W3CDTF">2013-04-03T15:49:21Z</dcterms:created>
  <dcterms:modified xsi:type="dcterms:W3CDTF">2026-04-27T17:23:36Z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2026-04-27T17:22:59Z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6d3fe8a9-fa61-4576-bb06-f96a8493f0f0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
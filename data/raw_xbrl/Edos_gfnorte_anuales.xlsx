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B\OneDrive\Escritorio\Alberto Alarcón\Emisoras\GFNORTEO\Anuales\"/>
    </mc:Choice>
  </mc:AlternateContent>
  <xr:revisionPtr revIDLastSave="0" documentId="13_ncr:1_{5976B21D-F73F-4578-B484-CFFC0754B316}" xr6:coauthVersionLast="47" xr6:coauthVersionMax="47" xr10:uidLastSave="{00000000-0000-0000-0000-000000000000}"/>
  <bookViews>
    <workbookView xWindow="-21840" yWindow="-120" windowWidth="21840" windowHeight="13140" tabRatio="841" firstSheet="1" activeTab="1" xr2:uid="{00000000-000D-0000-FFFF-FFFF00000000}"/>
  </bookViews>
  <sheets>
    <sheet name="Adj Highlights" sheetId="2" r:id="rId1"/>
    <sheet name="GAAP Highlights" sheetId="3" r:id="rId2"/>
    <sheet name="Enterprise Value" sheetId="4" r:id="rId3"/>
    <sheet name="Multiples" sheetId="5" r:id="rId4"/>
    <sheet name="Income - Adjusted" sheetId="6" r:id="rId5"/>
    <sheet name="Income - GAAP" sheetId="7" r:id="rId6"/>
    <sheet name="Income - As Reported" sheetId="8" r:id="rId7"/>
    <sheet name="Reconciliation" sheetId="9" r:id="rId8"/>
    <sheet name="SBC &amp; Amort" sheetId="10" r:id="rId9"/>
    <sheet name="Bal Sheet - Standardized" sheetId="11" r:id="rId10"/>
    <sheet name="Bal Sheet - As Reported" sheetId="12" r:id="rId11"/>
    <sheet name="Bal Sheet - Common Size" sheetId="13" r:id="rId12"/>
    <sheet name="Cash Flow - Standardized" sheetId="14" r:id="rId13"/>
    <sheet name="Cash Flow - As Reported" sheetId="15" r:id="rId14"/>
    <sheet name="Profitability" sheetId="16" r:id="rId15"/>
    <sheet name="By Measure" sheetId="17" r:id="rId16"/>
    <sheet name="By Geography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3" l="1" a="1"/>
  <c r="T6" i="13" a="1"/>
  <c r="S6" i="13" a="1"/>
  <c r="X6" i="13" a="1"/>
  <c r="Q6" i="13" a="1"/>
  <c r="N6" i="13" a="1"/>
  <c r="C6" i="13" a="1"/>
  <c r="V6" i="13" a="1"/>
  <c r="P6" i="13" a="1"/>
  <c r="W6" i="13" a="1"/>
  <c r="K6" i="13" a="1"/>
  <c r="L6" i="13" a="1"/>
  <c r="AA6" i="13" a="1"/>
  <c r="O6" i="13" a="1"/>
  <c r="D6" i="13" a="1"/>
  <c r="Z6" i="13" a="1"/>
  <c r="Y6" i="13" a="1"/>
  <c r="R6" i="13" a="1"/>
  <c r="U6" i="13" a="1"/>
  <c r="M6" i="13" a="1"/>
  <c r="E6" i="13" a="1"/>
  <c r="H6" i="13" a="1"/>
  <c r="F6" i="13" a="1"/>
  <c r="G6" i="13" a="1"/>
  <c r="J6" i="13" a="1"/>
  <c r="J6" i="13" l="1"/>
  <c r="G6" i="13"/>
  <c r="F6" i="13"/>
  <c r="H6" i="13"/>
  <c r="E6" i="13"/>
  <c r="M6" i="13"/>
  <c r="U6" i="13"/>
  <c r="R6" i="13"/>
  <c r="Y6" i="13"/>
  <c r="Z6" i="13"/>
  <c r="D6" i="13"/>
  <c r="O6" i="13"/>
  <c r="AA6" i="13"/>
  <c r="L6" i="13"/>
  <c r="K6" i="13"/>
  <c r="W6" i="13"/>
  <c r="P6" i="13"/>
  <c r="V6" i="13"/>
  <c r="C6" i="13"/>
  <c r="N6" i="13"/>
  <c r="Q6" i="13"/>
  <c r="X6" i="13"/>
  <c r="S6" i="13"/>
  <c r="T6" i="13"/>
  <c r="I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<sst xmlns="http://schemas.openxmlformats.org/spreadsheetml/2006/main" count="11399" uniqueCount="1424">
  <si>
    <t>Revenue</t>
  </si>
  <si>
    <t>Reference Items</t>
  </si>
  <si>
    <t>Market Cap</t>
  </si>
  <si>
    <t>Right click to show data transparency (not supported for all values)</t>
  </si>
  <si>
    <t>FY 2005</t>
  </si>
  <si>
    <t>Grupo Financiero Banorte SAB de CV (GFNORTEO MM) - Adj Highlights</t>
  </si>
  <si>
    <t>In Millions of MXN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</si>
  <si>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</si>
  <si>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</si>
  <si>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</si>
  <si>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</si>
  <si>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</si>
  <si>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</si>
  <si>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</si>
  <si>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</si>
  <si>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</si>
  <si>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</si>
  <si>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</si>
  <si>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</si>
  <si>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</si>
  <si>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</si>
  <si>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</si>
  <si>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</si>
  <si>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</si>
  <si>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</si>
  <si>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</si>
  <si>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</si>
  <si>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</si>
  <si>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</si>
  <si>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</si>
  <si>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Current/LTM</t>
  </si>
  <si>
    <t>12 Months Ending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</si>
  <si>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</si>
  <si>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</si>
  <si>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</si>
  <si>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</si>
  <si>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</si>
  <si>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</si>
  <si>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</si>
  <si>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</si>
  <si>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</si>
  <si>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</si>
  <si>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</si>
  <si>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</si>
  <si>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</si>
  <si>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</si>
  <si>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</si>
  <si>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</si>
  <si>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</si>
  <si>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</si>
  <si>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</si>
  <si>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</si>
  <si>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</si>
  <si>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</si>
  <si>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</si>
  <si>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</si>
  <si>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03/31/2026</t>
  </si>
  <si>
    <t>Market Capitalization</t>
  </si>
  <si>
    <t>HISTORICAL_MARKET_CAP</t>
  </si>
  <si>
    <t>Book Value of Equity</t>
  </si>
  <si>
    <t>TOT_COMMON_EQY</t>
  </si>
  <si>
    <t>Total Deposits</t>
  </si>
  <si>
    <t>BS_CUSTOMER_DEPOSITS</t>
  </si>
  <si>
    <t>Total Loans</t>
  </si>
  <si>
    <t>BS_TOT_LOAN</t>
  </si>
  <si>
    <t>Total Assets</t>
  </si>
  <si>
    <t>BS_TOT_ASSET</t>
  </si>
  <si>
    <t>Net Revenue, Adj</t>
  </si>
  <si>
    <t>NET_REV</t>
  </si>
  <si>
    <t xml:space="preserve">  Growth %, YoY</t>
  </si>
  <si>
    <t>NET_REV_GROWTH</t>
  </si>
  <si>
    <t>Prof Bef Prov, Adj</t>
  </si>
  <si>
    <t>PRE_TAX_PRE_PROVISION_PROFIT</t>
  </si>
  <si>
    <t xml:space="preserve">  Margin %</t>
  </si>
  <si>
    <t>Operating Income, Adj</t>
  </si>
  <si>
    <t>IS_OPER_INC</t>
  </si>
  <si>
    <t>Net Income, Adj</t>
  </si>
  <si>
    <t>EARN_FOR_COMMON</t>
  </si>
  <si>
    <t>EPS, Adj</t>
  </si>
  <si>
    <t>IS_DIL_EPS_CONT_OPS</t>
  </si>
  <si>
    <t>—</t>
  </si>
  <si>
    <t>Tier 1 Common Eqty %</t>
  </si>
  <si>
    <t>BS_TIER1_COM_EQUITY_RATIO</t>
  </si>
  <si>
    <t>Tier 1 Capital Ratio %</t>
  </si>
  <si>
    <t>BS_TIER1_CAP_RATIO</t>
  </si>
  <si>
    <t>Total Capital Ratio %</t>
  </si>
  <si>
    <t>BS_TOT_CAP_TO_RISK_BASE_CAP</t>
  </si>
  <si>
    <t>Source: Bloomberg</t>
  </si>
  <si>
    <t>Grupo Financiero Banorte SAB de CV (GFNORTEO MM) - GAAP Highlights</t>
  </si>
  <si>
    <t>In Millions of MXN except Per Share</t>
  </si>
  <si>
    <t>FY 2001</t>
  </si>
  <si>
    <t>12/31/2001</t>
  </si>
  <si>
    <t>Net Interest Income</t>
  </si>
  <si>
    <t>NET_INT_INC</t>
  </si>
  <si>
    <t>Non Interest Income</t>
  </si>
  <si>
    <t>NON_INT_INC</t>
  </si>
  <si>
    <t>Net Revenue</t>
  </si>
  <si>
    <t>Net Revenue, Excluding Commissions Paid</t>
  </si>
  <si>
    <t>NET_REV_EXCL_COMMISSIONS_PAID</t>
  </si>
  <si>
    <t>Provision for Loan Losses</t>
  </si>
  <si>
    <t>IS_PROV_FOR_LOAN_LOSS</t>
  </si>
  <si>
    <t>Compensation/Salary Expense</t>
  </si>
  <si>
    <t>IS_PERSONNEL_EXP</t>
  </si>
  <si>
    <t>Non Interest Expense</t>
  </si>
  <si>
    <t>NON_INT_EXP</t>
  </si>
  <si>
    <t>Net Income to Common</t>
  </si>
  <si>
    <t>Basic EPS, GAAP</t>
  </si>
  <si>
    <t>IS_EPS</t>
  </si>
  <si>
    <t>Diluted EPS, GAAP</t>
  </si>
  <si>
    <t>IS_DILUTED_EPS</t>
  </si>
  <si>
    <t xml:space="preserve">  Basic Weighted Avg Shares</t>
  </si>
  <si>
    <t>IS_AVG_NUM_SH_FOR_EPS</t>
  </si>
  <si>
    <t xml:space="preserve">  Diluted Weighted Avg Shares</t>
  </si>
  <si>
    <t>IS_SH_FOR_DILUTED_EPS</t>
  </si>
  <si>
    <t>Net Loans</t>
  </si>
  <si>
    <t>BS_LOAN_MTG</t>
  </si>
  <si>
    <t>Earning Assets</t>
  </si>
  <si>
    <t>EARN_ASSET</t>
  </si>
  <si>
    <t>Total Debt</t>
  </si>
  <si>
    <t>SHORT_AND_LONG_TERM_DEBT</t>
  </si>
  <si>
    <t>Total Liabilities</t>
  </si>
  <si>
    <t>BS_TOT_LIAB2</t>
  </si>
  <si>
    <t>Total Equity</t>
  </si>
  <si>
    <t>TOTAL_EQUITY</t>
  </si>
  <si>
    <t xml:space="preserve">  Shares Out on Balance Sheet</t>
  </si>
  <si>
    <t>BS_SH_OUT</t>
  </si>
  <si>
    <t>Cash From Operations</t>
  </si>
  <si>
    <t>CF_CASH_FROM_OPER</t>
  </si>
  <si>
    <t>Cash From Investing</t>
  </si>
  <si>
    <t>CF_CASH_FROM_INV_ACT</t>
  </si>
  <si>
    <t>Cash From Financing</t>
  </si>
  <si>
    <t>CF_CASH_FROM_FNC_ACT</t>
  </si>
  <si>
    <t>Net Changes in Cash</t>
  </si>
  <si>
    <t>CF_NET_CHNG_CASH</t>
  </si>
  <si>
    <t>Book Value per Share</t>
  </si>
  <si>
    <t>BOOK_VAL_PER_SH</t>
  </si>
  <si>
    <t>Tangible Book Value/Share</t>
  </si>
  <si>
    <t>TANG_BOOK_VAL_PER_SH</t>
  </si>
  <si>
    <t>Assets Under Management</t>
  </si>
  <si>
    <t>BS_ASSETS_UNDER_MGMT</t>
  </si>
  <si>
    <t>Net Charge-Offs</t>
  </si>
  <si>
    <t>IS_ACT_LOAN_LOSS_NET</t>
  </si>
  <si>
    <t>Total Nonperforming Assets</t>
  </si>
  <si>
    <t>BS_NON_PERFORM_ASSET</t>
  </si>
  <si>
    <t>Net Interest Margin %</t>
  </si>
  <si>
    <t>T12_NET_INT_MARGIN</t>
  </si>
  <si>
    <t>Net Charge-Off Rate %</t>
  </si>
  <si>
    <t>NET_CHRG_OFF_TO_AVG_TOT_LOAN</t>
  </si>
  <si>
    <t>Efficiency Ratio %</t>
  </si>
  <si>
    <t>EFF_RATIO</t>
  </si>
  <si>
    <t>Loans to Deposit Ratio %</t>
  </si>
  <si>
    <t>TOT_LOAN_TO_TOT_DPST</t>
  </si>
  <si>
    <t>NPA / Assets %</t>
  </si>
  <si>
    <t>NON_PERF_ASSET_TO_TOT_ASSET</t>
  </si>
  <si>
    <t>Return on Assets %</t>
  </si>
  <si>
    <t>RETURN_ON_ASSET</t>
  </si>
  <si>
    <t>Return on Common Equity %</t>
  </si>
  <si>
    <t>RETURN_COM_EQY</t>
  </si>
  <si>
    <t>Return on Equity %</t>
  </si>
  <si>
    <t>RETURN_TOT_EQY</t>
  </si>
  <si>
    <t>Tangible Common Equity Ratio (TCE)  %</t>
  </si>
  <si>
    <t>TCE_RATIO</t>
  </si>
  <si>
    <t>Tangible Equity/RWA %</t>
  </si>
  <si>
    <t>TCE_TO_RWA</t>
  </si>
  <si>
    <t>Tangible Common Equity</t>
  </si>
  <si>
    <t>TANGIBLE_COMMON_EQUITY</t>
  </si>
  <si>
    <t>Risk-Weighted Assets</t>
  </si>
  <si>
    <t>BS_RISK_WEIGHTED_ASSETS</t>
  </si>
  <si>
    <t>Grupo Financiero Banorte SAB de CV (GFNORTEO MM) - Enterprise Value</t>
  </si>
  <si>
    <t>Current</t>
  </si>
  <si>
    <t>04/27/2026</t>
  </si>
  <si>
    <t xml:space="preserve">  - Cash &amp; Equivalents</t>
  </si>
  <si>
    <t>CASH_AND_MARKETABLE_SECURITIES</t>
  </si>
  <si>
    <t xml:space="preserve">  + Preferred Equity</t>
  </si>
  <si>
    <t>PFD_EQTY_HYBRID_CAPITAL</t>
  </si>
  <si>
    <t xml:space="preserve">  + Minority Interest</t>
  </si>
  <si>
    <t>MINORITY_NONCONTROLLING_INTEREST</t>
  </si>
  <si>
    <t xml:space="preserve">  + Total Debt</t>
  </si>
  <si>
    <t>Enterprise Value</t>
  </si>
  <si>
    <t>ENTERPRISE_VALUE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</si>
  <si>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</si>
  <si>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</si>
  <si>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</si>
  <si>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</si>
  <si>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</si>
  <si>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</si>
  <si>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EV/Market Cap</t>
  </si>
  <si>
    <t>EV_TO_MKT_CAP</t>
  </si>
  <si>
    <t>EV/EBITDA</t>
  </si>
  <si>
    <t>EV_TO_T12M_EBITDA</t>
  </si>
  <si>
    <t>EV/EBIT</t>
  </si>
  <si>
    <t>EV_TO_T12M_EBIT</t>
  </si>
  <si>
    <t>EV/Book Value</t>
  </si>
  <si>
    <t>EV_TO_BOOK_VALUE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</si>
  <si>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</si>
  <si>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</si>
  <si>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</si>
  <si>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</si>
  <si>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</si>
  <si>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</si>
  <si>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</si>
  <si>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</si>
  <si>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</si>
  <si>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</si>
  <si>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</si>
  <si>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EBITDA</t>
  </si>
  <si>
    <t>TRAIL_12M_EBITDA</t>
  </si>
  <si>
    <t>EBIT</t>
  </si>
  <si>
    <t>TRAIL_12M_OPER_INC</t>
  </si>
  <si>
    <t>Book Value</t>
  </si>
  <si>
    <t>Grupo Financiero Banorte SAB de CV (GFNORTEO MM) - Multiples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</si>
  <si>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</si>
  <si>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</si>
  <si>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</si>
  <si>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</si>
  <si>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</si>
  <si>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</si>
  <si>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</si>
  <si>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</si>
  <si>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</si>
  <si>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</si>
  <si>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</si>
  <si>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</si>
  <si>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</si>
  <si>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</si>
  <si>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</si>
  <si>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</si>
  <si>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</si>
  <si>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</si>
  <si>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</si>
  <si>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</si>
  <si>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</si>
  <si>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</si>
  <si>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</si>
  <si>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</si>
  <si>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</si>
  <si>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</si>
  <si>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</si>
  <si>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</si>
  <si>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Price/Share</t>
  </si>
  <si>
    <t>PX_LAST</t>
  </si>
  <si>
    <t>PX_HIGH</t>
  </si>
  <si>
    <t>PX_LOW</t>
  </si>
  <si>
    <t>AVG_HIST_MARKET_CAPITALIZATION</t>
  </si>
  <si>
    <t>HIGH_HIST_MARKET_CAPITALIZATION</t>
  </si>
  <si>
    <t>LOW_HIST_MARKET_CAPITALIZATION</t>
  </si>
  <si>
    <t>Market Cap / Deposits</t>
  </si>
  <si>
    <t>MKT_CAP_TO_DEPOSITS</t>
  </si>
  <si>
    <t>AVG_MARKET_CAPITALIZATION_TO_DEP</t>
  </si>
  <si>
    <t>HIGH_MARKET_CAP_TO_DEPOSITS</t>
  </si>
  <si>
    <t>LOW_MARKET_CAP_TO_DEPOSITS</t>
  </si>
  <si>
    <t>AVERAGE_ENTERPRISE_VALUE</t>
  </si>
  <si>
    <t>HIGH_ENTERPRISE_VALUE</t>
  </si>
  <si>
    <t>LOW_ENTERPRISE_VALUE</t>
  </si>
  <si>
    <t>EV/Total Revenues</t>
  </si>
  <si>
    <t>EV_TO_T12M_SALES</t>
  </si>
  <si>
    <t>AVERAGE_EV_TO_T12M_SALES</t>
  </si>
  <si>
    <t>HIGH_EV_TO_T12M_SALES</t>
  </si>
  <si>
    <t>LOW_EV_TO_T12M_SALES</t>
  </si>
  <si>
    <t>AVG_EV_TO_T12M_EBITDA</t>
  </si>
  <si>
    <t>HIGH_EV_TO_T12M_EBITDA</t>
  </si>
  <si>
    <t>LOW_EV_TO_T12M_EBITDA</t>
  </si>
  <si>
    <t>Grupo Financiero Banorte SAB de CV (GFNORTEO MM) - Adjusted</t>
  </si>
  <si>
    <t>Last 12M</t>
  </si>
  <si>
    <t>+ Net Interest Income</t>
  </si>
  <si>
    <t xml:space="preserve">  + Total Interest Income</t>
  </si>
  <si>
    <t>INTEREST_INCOME</t>
  </si>
  <si>
    <t xml:space="preserve">    + Interest Income</t>
  </si>
  <si>
    <t>IS_INT_INC</t>
  </si>
  <si>
    <t xml:space="preserve">    + Investment Income</t>
  </si>
  <si>
    <t>IS_INVEST_INCOME</t>
  </si>
  <si>
    <t xml:space="preserve">  - Total Interest Expense</t>
  </si>
  <si>
    <t>IS_INT_EXPENSES</t>
  </si>
  <si>
    <t>+ Adjusted Total Non-Interest Income</t>
  </si>
  <si>
    <t>IS_ADJ_TOTAL_NON_INT_INCOME</t>
  </si>
  <si>
    <t xml:space="preserve">  + Trading Securities G/L</t>
  </si>
  <si>
    <t>GAIN_LOSS_SECURITIES_ADJUSTED</t>
  </si>
  <si>
    <t xml:space="preserve">    + Trading Account Profits/Losses</t>
  </si>
  <si>
    <t>IS_TRADING_ACCOUNT_PROFITS_LOSS</t>
  </si>
  <si>
    <t xml:space="preserve">    + Investments &amp; Loans Income (Loss)</t>
  </si>
  <si>
    <t>IS_GAIN_OR_LOSS_INVESTMENTS_LNS</t>
  </si>
  <si>
    <t xml:space="preserve">    + Other Income (Loss)</t>
  </si>
  <si>
    <t>IS_OTHER_GAIN_OR_LOSS</t>
  </si>
  <si>
    <t xml:space="preserve">  + Commissions &amp; Fees Earned</t>
  </si>
  <si>
    <t>IS_COMM_AND_FEE_EARN_INC_REO</t>
  </si>
  <si>
    <t xml:space="preserve">  + Other Operating Income (Losses)</t>
  </si>
  <si>
    <t>IS_OTHER_OPER_INC_LOSSES</t>
  </si>
  <si>
    <t>- Provision for Loan Losses</t>
  </si>
  <si>
    <t>Net Revenue after Provisions</t>
  </si>
  <si>
    <t>NET_REV_AFT_PROV</t>
  </si>
  <si>
    <t>- Total Non-Interest Expense</t>
  </si>
  <si>
    <t xml:space="preserve">  + Commissions &amp; Fees Paid</t>
  </si>
  <si>
    <t>IS_COMM_FEE_PAID_TO_MGMT_EXP</t>
  </si>
  <si>
    <t xml:space="preserve">  + Other Operating Expenses</t>
  </si>
  <si>
    <t>IS_OPERATING_EXPN</t>
  </si>
  <si>
    <t>Operating Income (Loss)</t>
  </si>
  <si>
    <t>- Non-Operating (Income) Loss</t>
  </si>
  <si>
    <t>NONOP_INCOME_LOSS</t>
  </si>
  <si>
    <t xml:space="preserve">  + (Income) Loss from Affiliates</t>
  </si>
  <si>
    <t>INCOME_LOSS_FROM_AFFILIATES</t>
  </si>
  <si>
    <t xml:space="preserve">  + Other Non-Op (Income) Loss</t>
  </si>
  <si>
    <t>OTHER_NONOP_INCOME_LOSS</t>
  </si>
  <si>
    <t>Pretax Income (Loss), Adjusted</t>
  </si>
  <si>
    <t>PRETAX_INC</t>
  </si>
  <si>
    <t>- Abnormal Losses (Gains)</t>
  </si>
  <si>
    <t>IS_ABNORMAL_ITEM</t>
  </si>
  <si>
    <t xml:space="preserve">  + (Gain)/Loss on Disposal of Assets</t>
  </si>
  <si>
    <t>IS_GAIN_LOSS_DISPOSAL_ASSETS</t>
  </si>
  <si>
    <t xml:space="preserve">  + Asset Write-Down</t>
  </si>
  <si>
    <t>IS_IMPAIRMENT_ASSETS</t>
  </si>
  <si>
    <t xml:space="preserve">  + Other Abnormal Items</t>
  </si>
  <si>
    <t>IS_OTHER_ONE_TIME_ITEMS</t>
  </si>
  <si>
    <t>Pretax Income (Loss), GAAP</t>
  </si>
  <si>
    <t>- Income Tax Expense (Benefit)</t>
  </si>
  <si>
    <t>IS_INC_TAX_EXP</t>
  </si>
  <si>
    <t xml:space="preserve">  + Current Income Tax</t>
  </si>
  <si>
    <t>IS_CURRENT_INCOME_TAX_BENEFIT</t>
  </si>
  <si>
    <t xml:space="preserve">  + Deferred Income Tax</t>
  </si>
  <si>
    <t>IS_DEFERRED_INCOME_TAX_BENEFIT</t>
  </si>
  <si>
    <t>- (Income) Loss from Affiliates</t>
  </si>
  <si>
    <t>IS_SH_PRO_EQY_MT_INV_NET_OF_TAX</t>
  </si>
  <si>
    <t>Income (Loss) from Cont Ops</t>
  </si>
  <si>
    <t>IS_INC_BEF_XO_ITEM</t>
  </si>
  <si>
    <t>- Net Extraordinary Losses (Gains)</t>
  </si>
  <si>
    <t>XO_GL_NET_OF_TAX</t>
  </si>
  <si>
    <t xml:space="preserve">  + Discontinued Operations</t>
  </si>
  <si>
    <t>IS_DISCONTINUED_OPERATIONS</t>
  </si>
  <si>
    <t xml:space="preserve">  + Extraordinary &amp; Accounting Items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</si>
  <si>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</si>
  <si>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</si>
  <si>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</si>
  <si>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</si>
  <si>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</si>
  <si>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</si>
  <si>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</si>
  <si>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</si>
  <si>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</si>
  <si>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</si>
  <si>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</si>
  <si>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</si>
  <si>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</si>
  <si>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</si>
  <si>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</si>
  <si>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</si>
  <si>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</si>
  <si>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</si>
  <si>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</si>
  <si>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</si>
  <si>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</si>
  <si>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</si>
  <si>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 from Cont Ops, GAAP</t>
  </si>
  <si>
    <t>IS_DIL_EPS_BEF_XO</t>
  </si>
  <si>
    <t>Diluted EPS from Cont Ops, Adjusted</t>
  </si>
  <si>
    <t>Accounting Standard</t>
  </si>
  <si>
    <t>ACCOUNTING_STANDARD</t>
  </si>
  <si>
    <t>MX GAAP</t>
  </si>
  <si>
    <t>SALES_REV_TURN</t>
  </si>
  <si>
    <t xml:space="preserve">    Growth (YoY)</t>
  </si>
  <si>
    <t>Pre-Tax Pre-Provision Profit</t>
  </si>
  <si>
    <t>T12 Net Interest Margin</t>
  </si>
  <si>
    <t>Net Revenue Margin</t>
  </si>
  <si>
    <t>NET_REV_MARGIN</t>
  </si>
  <si>
    <t>Pretax Margin</t>
  </si>
  <si>
    <t>PRETAX_MARGIN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</si>
  <si>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</si>
  <si>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</si>
  <si>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</si>
  <si>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</si>
  <si>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</si>
  <si>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</si>
  <si>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Efficiency Ratio</t>
  </si>
  <si>
    <t>Actual Loan Losses (Net)</t>
  </si>
  <si>
    <t>Grupo Financiero Banorte SAB de CV (GFNORTEO MM) - GAAP</t>
  </si>
  <si>
    <t>+ Total Non-Interest Income</t>
  </si>
  <si>
    <t xml:space="preserve">      + Other Income (Loss)</t>
  </si>
  <si>
    <t xml:space="preserve">  + Other Non-Operating (Income) Loss</t>
  </si>
  <si>
    <t>Income (Loss) incl. Minority Interest</t>
  </si>
  <si>
    <t>Grupo Financiero Banorte SAB de CV (GFNORTEO MM) - As Reported</t>
  </si>
  <si>
    <t>Income Statement</t>
  </si>
  <si>
    <t xml:space="preserve">  Interest income</t>
  </si>
  <si>
    <t>Total Interest Expense - Consolidated</t>
  </si>
  <si>
    <t>ARD_TOTAL_INTEREST_EXPENSE_CONS</t>
  </si>
  <si>
    <t>ARD_NET_INTEREST_INCOME</t>
  </si>
  <si>
    <t>Net Int Income After Provision For Loan Losses</t>
  </si>
  <si>
    <t>ARD_NET_INT_INC_AFT_PROV_LOAN</t>
  </si>
  <si>
    <t>G/L from Inflation on Financial Margin</t>
  </si>
  <si>
    <t>ARD_GL_INFLATION_FIN_MARGIN</t>
  </si>
  <si>
    <t>Total Interest Income</t>
  </si>
  <si>
    <t>ARD_TOTAL_INTEREST_INCOME</t>
  </si>
  <si>
    <t xml:space="preserve">  Non-interest income</t>
  </si>
  <si>
    <t>Other Operating Income</t>
  </si>
  <si>
    <t>ARD_OTHER_OPERATING_INC</t>
  </si>
  <si>
    <t>Trading Gains (Losses)</t>
  </si>
  <si>
    <t>ARD_TRADING_GAINS_LOSSES</t>
  </si>
  <si>
    <t>Commission and Fees</t>
  </si>
  <si>
    <t>ARD_COMMISSION_AND_FEES</t>
  </si>
  <si>
    <t>Net Premiums Written (Non-Life)</t>
  </si>
  <si>
    <t>ARD_NET_PREMIUMS_WRITTEN_NL</t>
  </si>
  <si>
    <t>ARD_NET_REVENUE</t>
  </si>
  <si>
    <t>Net Fee &amp; Commission Income (Fee &amp; Commission)</t>
  </si>
  <si>
    <t>ARD_NET_FEE_AND_COMMISSION_INC</t>
  </si>
  <si>
    <t>Revenue From Insurance Activities</t>
  </si>
  <si>
    <t>ARD_REV_FROM_INSURANCE_ACTS</t>
  </si>
  <si>
    <t xml:space="preserve">  Operating Expenses</t>
  </si>
  <si>
    <t>Salaries Wages and Employee Benefits</t>
  </si>
  <si>
    <t>ARD_SALARIES_WAGE_EMPLOYEE_BEN</t>
  </si>
  <si>
    <t>Selling General and Administrative Expenses</t>
  </si>
  <si>
    <t>ARD_SELLING_GENERAL_ADMIN_EXP</t>
  </si>
  <si>
    <t>Depreciation and Amortization</t>
  </si>
  <si>
    <t>ARD_DEPRECIATION_AMORTIZATION</t>
  </si>
  <si>
    <t>Other Operating Expenses</t>
  </si>
  <si>
    <t>ARD_OTHER_OPERATING_EXPENSES</t>
  </si>
  <si>
    <t>General and Administrative Expenses</t>
  </si>
  <si>
    <t>ARD_GENERAL_ADMINISTRATIVE_EXP</t>
  </si>
  <si>
    <t>Taxes Other Than Income</t>
  </si>
  <si>
    <t>ARD_TAXES_OTHER_THAN_INCOME</t>
  </si>
  <si>
    <t>Commissions &amp; Fees Paid</t>
  </si>
  <si>
    <t>ARD_COMMISSIONS_AND_FEES_PAID</t>
  </si>
  <si>
    <t>Operating Income</t>
  </si>
  <si>
    <t>ARD_OPERATING_INCOME</t>
  </si>
  <si>
    <t>Insurance Expense</t>
  </si>
  <si>
    <t>ARD_INSURANCE_EXPENSE</t>
  </si>
  <si>
    <t>Professional Services</t>
  </si>
  <si>
    <t>ARD_PROFESSIONAL_SERVICES</t>
  </si>
  <si>
    <t>Provision For Loan Loss</t>
  </si>
  <si>
    <t>ARD_PROVISION_FOR_LOAN_LOSS</t>
  </si>
  <si>
    <t>Other Operating (Income)/Expense - Net</t>
  </si>
  <si>
    <t>ARD_OTH_OPERATING_INC_EXP_NET</t>
  </si>
  <si>
    <t xml:space="preserve">  Non-Operating Expenses</t>
  </si>
  <si>
    <t>Equity In Earnings of Affiliate/Joint Ventures</t>
  </si>
  <si>
    <t>ARD_EQY_IN_EARN_AFFILIATE_JV</t>
  </si>
  <si>
    <t>Other Non-Operating Income</t>
  </si>
  <si>
    <t>ARD_OTHER_NON_OPERATING_INC</t>
  </si>
  <si>
    <t>Other Non-Operating Expenses</t>
  </si>
  <si>
    <t>ARD_OTHER_NON_OPERATING_EXP</t>
  </si>
  <si>
    <t>Income Tax Expense (Benefit)</t>
  </si>
  <si>
    <t>ARD_INCOME_TAX_EXP_BENEFIT</t>
  </si>
  <si>
    <t>Income Before Income Taxes</t>
  </si>
  <si>
    <t>ARD_INCOME_BEFORE_INCOME_TAXES</t>
  </si>
  <si>
    <t>Current Income Tax Expense (Benefit)</t>
  </si>
  <si>
    <t>ARD_CUR_INCOME_TAX_EXP_BENEFIT</t>
  </si>
  <si>
    <t>Deferred Income Tax Expense (Benefit)</t>
  </si>
  <si>
    <t>ARD_DEFERRED_INC_TAX_EXP_BEN</t>
  </si>
  <si>
    <t>Profit After Taxation Before Minority</t>
  </si>
  <si>
    <t>ARD_PROF_AFTER_TAX_BEF_MINORITY</t>
  </si>
  <si>
    <t>AT (Income) Loss Affiliates and Others</t>
  </si>
  <si>
    <t>ARD_AFTER_TAX_EQTY_METHOD_INVEST</t>
  </si>
  <si>
    <t xml:space="preserve">  Extraordinary Items</t>
  </si>
  <si>
    <t>Discontinued Operations Loss/(Benefit) - Net</t>
  </si>
  <si>
    <t>ARD_DISC_OPS_LOSS_BEN_NET</t>
  </si>
  <si>
    <t xml:space="preserve">  Earnings</t>
  </si>
  <si>
    <t>Minority/Non Controlling Interest</t>
  </si>
  <si>
    <t>ARD_MINORITY_NONCONTROL_INTEREST</t>
  </si>
  <si>
    <t>Dividends Per Share</t>
  </si>
  <si>
    <t>ARD_DVD_PER_SH</t>
  </si>
  <si>
    <t>Basic EPS</t>
  </si>
  <si>
    <t>ARD_BASIC_EPS</t>
  </si>
  <si>
    <t>Weighted Avg. Shares - Basic</t>
  </si>
  <si>
    <t>ARD_WEIGHTED_AVG_SHARES_BASIC</t>
  </si>
  <si>
    <t>Weighted Avg. Shares - Diluted</t>
  </si>
  <si>
    <t>ARD_WEIGHTED_AVG_SHARE_DILUTED</t>
  </si>
  <si>
    <t>Weighted Avg. Shares - Basic &amp; Diluted</t>
  </si>
  <si>
    <t>ARD_WTD_AVG_SHS_BASIC_DILUTED</t>
  </si>
  <si>
    <t>Net Income</t>
  </si>
  <si>
    <t>ARD_NET_INC</t>
  </si>
  <si>
    <t xml:space="preserve">  Others</t>
  </si>
  <si>
    <t>Interest Income-Average Earning Assets</t>
  </si>
  <si>
    <t>ARDR_INT_INC_AVG_EARNING_ASSETS</t>
  </si>
  <si>
    <t xml:space="preserve">  Comprehensive Income</t>
  </si>
  <si>
    <t>Foreign Currency Translation Adjustments</t>
  </si>
  <si>
    <t>ARD_FOR_CRNCY_TRANSLATION_ADJ</t>
  </si>
  <si>
    <t>Unrealized Gain (Loss) On Securities</t>
  </si>
  <si>
    <t>ARD_UNREALIZED_GL_ON_SECS</t>
  </si>
  <si>
    <t>Change In Fair Value of Derivatives</t>
  </si>
  <si>
    <t>ARD_CHG_FAIR_VAL_OF_DERIVATIVES</t>
  </si>
  <si>
    <t>Pension Related Adjustments</t>
  </si>
  <si>
    <t>ARD_PENSION_RELATED_ADJUSTMENTS</t>
  </si>
  <si>
    <t>Other Comprehensive Income</t>
  </si>
  <si>
    <t>ARD_OTHER_COMPREHENSIVE_INCOME</t>
  </si>
  <si>
    <t>Total Comprehensive Income</t>
  </si>
  <si>
    <t>ARD_TOTAL_COMPREHENSIVE_INCOME</t>
  </si>
  <si>
    <t>Comprehensive Income Attrib to Minority Int</t>
  </si>
  <si>
    <t>ARD_COMPREHENSIVE_INC_ATTRIB_MI</t>
  </si>
  <si>
    <t>Net Income - Comprehensive Income</t>
  </si>
  <si>
    <t>ARD_COMPREHENSIVE_INCOME_NET_INC</t>
  </si>
  <si>
    <t>Total Comprehensive Inc Including Minority Int</t>
  </si>
  <si>
    <t>ARD_TOT_COMP_INC_INCL_MIN_INT</t>
  </si>
  <si>
    <t xml:space="preserve">  Reference Items</t>
  </si>
  <si>
    <t>Amortization Expense</t>
  </si>
  <si>
    <t>ARDR_AMORT_EXP</t>
  </si>
  <si>
    <t>ARDR_SALARIES_WAGE_EMPLOYEE_BEN</t>
  </si>
  <si>
    <t>Depreciation Expense</t>
  </si>
  <si>
    <t>ARDR_DEPRECIATION_EXP</t>
  </si>
  <si>
    <t>ARDR_DEPRECIATION_AMORTIZATION</t>
  </si>
  <si>
    <t>(Gain)/Loss On Sale of Assets</t>
  </si>
  <si>
    <t>ARDR_GL_ON_SALE_OF_ASSETS</t>
  </si>
  <si>
    <t>Write-Down/Impairment of Assets</t>
  </si>
  <si>
    <t>ARDR_WRITEDOWN_IMPAIR_OF_ASSETS</t>
  </si>
  <si>
    <t>Other One-Time Charges</t>
  </si>
  <si>
    <t>ARDR_OTHER_ONE_TIME_CHARGES</t>
  </si>
  <si>
    <t>ARDR_GENERAL_ADMINISTRATIVE_EXP</t>
  </si>
  <si>
    <t>Other Tax</t>
  </si>
  <si>
    <t>ARDR_OTHER_TAX</t>
  </si>
  <si>
    <t>ARDR_TOTAL_CASH_COMMON_DVD</t>
  </si>
  <si>
    <t>Projected Benefit Obligation</t>
  </si>
  <si>
    <t>ARDR_PROJECTED_BENEFIT_OBLIG</t>
  </si>
  <si>
    <t>Fair Value of Plan Assets</t>
  </si>
  <si>
    <t>ARDR_FAIR_VALUE_OF_PLAN_ASSETS</t>
  </si>
  <si>
    <t>ARDR_DVD_PER_SH</t>
  </si>
  <si>
    <t>ARDR_BASIC_EPS</t>
  </si>
  <si>
    <t>ARDR_WEIGHTED_AVG_SHARES_BASIC</t>
  </si>
  <si>
    <t>Diluted EPS</t>
  </si>
  <si>
    <t>ARDR_DILUTED_EPS</t>
  </si>
  <si>
    <t>ARDR_WEIGHTED_AVG_SHARE_DILUTED</t>
  </si>
  <si>
    <t>Pension Expense (Income)</t>
  </si>
  <si>
    <t>ARDR_PENSION_EXP_INCOME</t>
  </si>
  <si>
    <t>Service Cost</t>
  </si>
  <si>
    <t>ARDR_SRVC_COST</t>
  </si>
  <si>
    <t>Overfunded (Underfunded) Pension</t>
  </si>
  <si>
    <t>ARDR_OVER_UNDERFUNDED_PENSION</t>
  </si>
  <si>
    <t>(Over/Underfunded) Post Retirement Benefit</t>
  </si>
  <si>
    <t>ARDR_OVER_UNDER_POST_RETIRE_BEN</t>
  </si>
  <si>
    <t>Expected Return On Plan Assets - Pension %</t>
  </si>
  <si>
    <t>ARDR_EXP_RET_ON_PLAN_ASSET_PENS</t>
  </si>
  <si>
    <t>Discount Rate Used On Plan Liabs-Pension %</t>
  </si>
  <si>
    <t>ARDR_DISC_RATE_USED_LIAB_PENS</t>
  </si>
  <si>
    <t>Rate of Compensation Increase(Pension) - %</t>
  </si>
  <si>
    <t>ARDR_RATE_OF_COMP_INCR_PENSION</t>
  </si>
  <si>
    <t>Stock Based Compensation Expense</t>
  </si>
  <si>
    <t>ARDR_STK_BASED_COMPENSATION_EXP</t>
  </si>
  <si>
    <t>Basic &amp; Diluted EPS</t>
  </si>
  <si>
    <t>ARDR_BASIC_AND_DILUTED_EPS</t>
  </si>
  <si>
    <t>ARDR_WTD_AVG_SHS_BASIC_DILUTED</t>
  </si>
  <si>
    <t>Fair Value of Post Retirement Plan Assets</t>
  </si>
  <si>
    <t>ARDR_FAIR_VAL_POST_RETIRE_ASSETS</t>
  </si>
  <si>
    <t>Projected Post Retirement Benefit Oblig</t>
  </si>
  <si>
    <t>ARDR_PROJ_POST_RETIRE_BEN_OBLIG</t>
  </si>
  <si>
    <t>ARDR_TRADING_GAINS_LOSSES</t>
  </si>
  <si>
    <t>Foreign Exchange Losses (Gains)</t>
  </si>
  <si>
    <t>ARDR_FOREIGN_EXCH_GL</t>
  </si>
  <si>
    <t>Gain (Loss) On Derivatives</t>
  </si>
  <si>
    <t>ARDR_GL_ON_DERIVATIVES</t>
  </si>
  <si>
    <t>Professional Fees</t>
  </si>
  <si>
    <t>ARDR_PROFESSIONAL_FEES</t>
  </si>
  <si>
    <t>(Gain)/Loss On Sale of Investments</t>
  </si>
  <si>
    <t>ARDR_GL_ON_SALE_OF_INVESTMENTS</t>
  </si>
  <si>
    <t>Fuel &amp; Purchased Energy</t>
  </si>
  <si>
    <t>ARDR_FUEL_AND_PURCHASED_ENERGY</t>
  </si>
  <si>
    <t>Actual Loan Losses</t>
  </si>
  <si>
    <t>ARDR_ACTUAL_LOAN_LOSSES</t>
  </si>
  <si>
    <t>Actuarial Gains and Losses - Pension Exp</t>
  </si>
  <si>
    <t>ARDR_ACTUARIAL_GAIN_LOSS_PEN_EXP</t>
  </si>
  <si>
    <t>Avg VAR - Interest Rate Risk</t>
  </si>
  <si>
    <t>ARDR_AVG_VAR_INTEREST_RATE_RISK</t>
  </si>
  <si>
    <t>Avg VAR - Currency Risk</t>
  </si>
  <si>
    <t>ARDR_AVG_VAR_CURRENCY_RISK</t>
  </si>
  <si>
    <t>Total Value-At-Risk</t>
  </si>
  <si>
    <t>ARDR_TOTAL_VALUE_AT_RISK</t>
  </si>
  <si>
    <t>Effective Tax Rate - %</t>
  </si>
  <si>
    <t>ARDR_EFFECTIVE_TAX_RATE_PCT</t>
  </si>
  <si>
    <t>Interest Cost (Pension)</t>
  </si>
  <si>
    <t>ARDR_INTEREST_COST_PENSION</t>
  </si>
  <si>
    <t>Expected Return On Pension Plan Assets</t>
  </si>
  <si>
    <t>ARDR_EXPECT_RET_PENSION_ASSETS</t>
  </si>
  <si>
    <t>Final Dividend Per Share</t>
  </si>
  <si>
    <t>ARDR_FINAL_DIVIDEND_PER_SHARE</t>
  </si>
  <si>
    <t>Auditor Expense - Audit</t>
  </si>
  <si>
    <t>ARDR_AUDITOR_EXP_AUDIT</t>
  </si>
  <si>
    <t>Auditor Expense - Non Audit</t>
  </si>
  <si>
    <t>ARDR_AUDITOR_EXP_NON_AUDIT</t>
  </si>
  <si>
    <t>Accumulated Benefit Obligation (Pension)</t>
  </si>
  <si>
    <t>ARDR_ACCU_BENEFIT_OBL_PENSION</t>
  </si>
  <si>
    <t>Accumul Benefit Obligat (Postretirement)</t>
  </si>
  <si>
    <t>ARDR_ACCU_BENEFIT_OBL_POST_RETIR</t>
  </si>
  <si>
    <t>Basic/Diluted EPS - Continuing Operations</t>
  </si>
  <si>
    <t>ARDR_BASIC_DILUTED_EPS_CONT_OPS</t>
  </si>
  <si>
    <t>Special Dividend Per Share</t>
  </si>
  <si>
    <t>ARDR_SPECIAL_DVD_PER_SHARE</t>
  </si>
  <si>
    <t>ARDR_RETURN_ON_EQUITY_PCT</t>
  </si>
  <si>
    <t>ARDR_RETURN_ON_ASSETS_PCT</t>
  </si>
  <si>
    <t>ARDR_EFFICIENCY_RATIO_PCT</t>
  </si>
  <si>
    <t>ARDR_NET_INTEREST_MARGIN_PCT</t>
  </si>
  <si>
    <t>Statutory Tax Rate - %</t>
  </si>
  <si>
    <t>ARDR_STATUTORY_TAX_RATE_PCT</t>
  </si>
  <si>
    <t>Audit Service Fee Paid to Main Auditor</t>
  </si>
  <si>
    <t>ARDR_AUDIT_FEE_TO_MAIN_AUDITOR</t>
  </si>
  <si>
    <t>Other Expenses or Income - Pension</t>
  </si>
  <si>
    <t>ARDR_OTHER_EXP_INC_PENSION</t>
  </si>
  <si>
    <t>Funded Status Adjustments Pension</t>
  </si>
  <si>
    <t>ARDR_FUNDED_STATUS_ADJ_PENSION</t>
  </si>
  <si>
    <t>Grupo Financiero Banorte SAB de CV (GFNORTEO MM) - Reconciliation</t>
  </si>
  <si>
    <t>Pretax Income Reconciliation</t>
  </si>
  <si>
    <t xml:space="preserve">  + Disposal of Assets</t>
  </si>
  <si>
    <t>Net Income Reconciliation</t>
  </si>
  <si>
    <t>Net Inc Avail to Common, GAAP</t>
  </si>
  <si>
    <t xml:space="preserve">  + XO &amp; Accounting Changes</t>
  </si>
  <si>
    <t>Net Inc Avail to Common Cont, GAAP</t>
  </si>
  <si>
    <t>INC_BEF_XO_LESS_MIN_INT_PREF_DVD</t>
  </si>
  <si>
    <t>IS_DISPOSAL_ASSETS_AFTER_TAX</t>
  </si>
  <si>
    <t>IS_WRTOFF_IMPAIR_ASSET_AFTER_TAX</t>
  </si>
  <si>
    <t>IS_OTH_ONE_TIME_ITEMS_AFTER_TAX</t>
  </si>
  <si>
    <t>Earnings Per Share Reconciliation</t>
  </si>
  <si>
    <t>IS_DISC_OPS_DILUTED_SH</t>
  </si>
  <si>
    <t>IS_XO_ITEMS_ACCT_CHG_DIL_SH</t>
  </si>
  <si>
    <t>IS_DISPOSAL_ASSETS_DILUTED_SHARE</t>
  </si>
  <si>
    <t>IS_WRTOFF_IMPAIR_AST_DILUTED_SH</t>
  </si>
  <si>
    <t xml:space="preserve">  + Other Adjustments Reconciliation</t>
  </si>
  <si>
    <t>IS_OTH_ONE_TIME_ITEMS_DILUTED_SH</t>
  </si>
  <si>
    <t>Diluted EPS from Cont Ops, Adj</t>
  </si>
  <si>
    <t>Grupo Financiero Banorte SAB de CV (GFNORTEO MM) - SBC &amp; Amort</t>
  </si>
  <si>
    <t>Basic EPS Ex-SBC, Adj</t>
  </si>
  <si>
    <t>BASIC_EPS_EX_STK_BASED_COMP</t>
  </si>
  <si>
    <t>Diluted EPS Ex-SBC, Adj</t>
  </si>
  <si>
    <t>DILUTED_EPS_EX_STK_BASED_COMP</t>
  </si>
  <si>
    <t>Basic EPS Ex-Amortization, Adj</t>
  </si>
  <si>
    <t>ADJ_EPS_EX_AMORT_TOT_INTANG_BAS</t>
  </si>
  <si>
    <t>Diluted EPS Ex-Amortization, Adj</t>
  </si>
  <si>
    <t>ADJ_EPS_EX_AMORT_TOT_INTANG_DIL</t>
  </si>
  <si>
    <t>Basic EPS Ex-SBC &amp; Amort, Adj</t>
  </si>
  <si>
    <t>ADJ_EPS_EX_SBC_AMORT_TOT_INT_BAS</t>
  </si>
  <si>
    <t>Diluted EPS Ex-SBC &amp; Amort, Adj</t>
  </si>
  <si>
    <t>ADJ_EPS_EX_SBC_AMORT_TOT_INT_DIL</t>
  </si>
  <si>
    <t>Stock Based Compensation</t>
  </si>
  <si>
    <t>Pre-Tax</t>
  </si>
  <si>
    <t>IS_EXPENSE_STOCK_BASED_COMP</t>
  </si>
  <si>
    <t>After-Tax</t>
  </si>
  <si>
    <t>IS_STK_BASED_COMP_AFT_TAX</t>
  </si>
  <si>
    <t>Per Basic Share</t>
  </si>
  <si>
    <t>IS_STK_BASED_COMP_PER_BAS_SH</t>
  </si>
  <si>
    <t>Per Diluted Share</t>
  </si>
  <si>
    <t>IS_STK_BASED_COMP_PER_DIL_SH</t>
  </si>
  <si>
    <t>Amortization of Acquisition Related Intangibles</t>
  </si>
  <si>
    <t>Amortization of Total Intangibles</t>
  </si>
  <si>
    <t>IS_AMORT_OF_TOT_INTANG_PRETX</t>
  </si>
  <si>
    <t>IS_AMORT_OF_TOT_INTANG_AFT_TAX</t>
  </si>
  <si>
    <t>IS_AMORT_OF_TOT_INTANG_P_BAS_SH</t>
  </si>
  <si>
    <t>IS_AMORT_OF_TOT_INTANG_P_DIL_SH</t>
  </si>
  <si>
    <t>Grupo Financiero Banorte SAB de CV (GFNORTEO MM) - Standardized</t>
  </si>
  <si>
    <t xml:space="preserve">  + Cash &amp; Cash Equivalents</t>
  </si>
  <si>
    <t>BS_CASH_NEAR_CASH_ITEM</t>
  </si>
  <si>
    <t xml:space="preserve">  + Interbanking Assets</t>
  </si>
  <si>
    <t>INTERBANKING_ASSETS</t>
  </si>
  <si>
    <t xml:space="preserve">    + Fed Funds Sold &amp; Repos</t>
  </si>
  <si>
    <t>BS_FED_FUND_SOLD_SEC_PR_U_RES_AG</t>
  </si>
  <si>
    <t xml:space="preserve">    + Other Interbank Assets</t>
  </si>
  <si>
    <t>BS_OTHER_INTERBANK_ASSETS</t>
  </si>
  <si>
    <t xml:space="preserve">  + ST And LT Investments</t>
  </si>
  <si>
    <t>ST_AND_LT_INVEST</t>
  </si>
  <si>
    <t xml:space="preserve">    + Trading Securities/FVTPL</t>
  </si>
  <si>
    <t>TRADING_SECS_FA_AT_FV_THRU_PL</t>
  </si>
  <si>
    <t xml:space="preserve">    + Available for Sales/FVTOCI</t>
  </si>
  <si>
    <t>AV_SA_FA_AT_FV_THRU_OT_COMP_INC</t>
  </si>
  <si>
    <t xml:space="preserve">    + Held to Maturity/Amortized at Cost</t>
  </si>
  <si>
    <t>HTM_AMORTIZED_AT_CST_INVESTMENTS</t>
  </si>
  <si>
    <t xml:space="preserve">    + Real Estate Investments</t>
  </si>
  <si>
    <t>BS_RE_INVEST</t>
  </si>
  <si>
    <t xml:space="preserve">    + Other Investments</t>
  </si>
  <si>
    <t>BS_OTHER_INVESTMENTS</t>
  </si>
  <si>
    <t xml:space="preserve">  + Net Receivables</t>
  </si>
  <si>
    <t>BS_ACCT_NOTE_RCV</t>
  </si>
  <si>
    <t xml:space="preserve">  + Total Commercial Loans</t>
  </si>
  <si>
    <t>BS_COMM_LOAN</t>
  </si>
  <si>
    <t xml:space="preserve">    + Other Commercial Loans</t>
  </si>
  <si>
    <t>BS_OTHER_COMMERCIAL_LOANS</t>
  </si>
  <si>
    <t xml:space="preserve">  + Total Consumer Loans</t>
  </si>
  <si>
    <t>BS_CONS_LOAN</t>
  </si>
  <si>
    <t xml:space="preserve">    + Credit Card Loans</t>
  </si>
  <si>
    <t>BS_CREDIT_CARD_LOANS</t>
  </si>
  <si>
    <t xml:space="preserve">    + 1-4 Family Residential Loans</t>
  </si>
  <si>
    <t>BS_1_4_FAMILY_RESIDENTIAL_LOANS</t>
  </si>
  <si>
    <t xml:space="preserve">    + Auto Loans</t>
  </si>
  <si>
    <t>AUTO_LOANS</t>
  </si>
  <si>
    <t xml:space="preserve">    + Other Consumer Loans</t>
  </si>
  <si>
    <t>BS_OTHER_CONSUMER_LOANS</t>
  </si>
  <si>
    <t xml:space="preserve">  + Other Loans</t>
  </si>
  <si>
    <t>BS_OTHER_LOAN</t>
  </si>
  <si>
    <t xml:space="preserve">  + Total Loans</t>
  </si>
  <si>
    <t xml:space="preserve">    - Reserve for Loan Losses</t>
  </si>
  <si>
    <t>BS_RSRV_LOAN_LOSS</t>
  </si>
  <si>
    <t xml:space="preserve">  + Net Loans</t>
  </si>
  <si>
    <t xml:space="preserve">  + Net Fixed Assets</t>
  </si>
  <si>
    <t>BS_NET_FIX_ASSET</t>
  </si>
  <si>
    <t xml:space="preserve">    + Property, Plant &amp; Equip</t>
  </si>
  <si>
    <t>BS_TOT_OTHER_PRPTY_AND_EQUIP</t>
  </si>
  <si>
    <t xml:space="preserve">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</si>
  <si>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</si>
  <si>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</si>
  <si>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</si>
  <si>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</si>
  <si>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BS_OTHER_INTANGIBLE_ASSETS</t>
  </si>
  <si>
    <t xml:space="preserve">  + Investments in Associates</t>
  </si>
  <si>
    <t>BS_INVEST_IN_ASSOC_CO</t>
  </si>
  <si>
    <t xml:space="preserve">  + Total Deferred Tax Assets</t>
  </si>
  <si>
    <t>BS_TOT_DEFERRED_TAX_ASSETS</t>
  </si>
  <si>
    <t xml:space="preserve">  + Total Derivative Assets</t>
  </si>
  <si>
    <t>BS_TOTAL_DERIVATIVE_ASSETS</t>
  </si>
  <si>
    <t xml:space="preserve">  + Customer Acceptances &amp; Liab</t>
  </si>
  <si>
    <t>BS_CUST_ACCPT_LIAB_CUSTDY_SEC</t>
  </si>
  <si>
    <t xml:space="preserve">  + Other Assets</t>
  </si>
  <si>
    <t>OTHER_NONCURRENT_ASSETS_DETAILED</t>
  </si>
  <si>
    <t>Liabilities &amp; Shareholders' Equity</t>
  </si>
  <si>
    <t xml:space="preserve">  + Demand Deposits</t>
  </si>
  <si>
    <t>BS_DEMAND_DPST</t>
  </si>
  <si>
    <t xml:space="preserve">  + Interest Bearing Deposits</t>
  </si>
  <si>
    <t>INTEREST_BEARING_DEPOSITS_RATIO</t>
  </si>
  <si>
    <t xml:space="preserve">    + Saving Deposits</t>
  </si>
  <si>
    <t>BS_SVNG_DPST</t>
  </si>
  <si>
    <t xml:space="preserve">    + Time Deposits</t>
  </si>
  <si>
    <t>BS_TIME_DPST</t>
  </si>
  <si>
    <t xml:space="preserve">  + Other Deposits</t>
  </si>
  <si>
    <t>BS_OTHER_DPST</t>
  </si>
  <si>
    <t xml:space="preserve">  + Total Deposits</t>
  </si>
  <si>
    <t xml:space="preserve">  + ST Borrowings &amp; Repos</t>
  </si>
  <si>
    <t>ST_BORROW_SECS_SOLD_UNDER_REPO</t>
  </si>
  <si>
    <t xml:space="preserve">    + Secs Sold Under Repo</t>
  </si>
  <si>
    <t>BS_SEC_SOLD_REPO_AGRMNT</t>
  </si>
  <si>
    <t xml:space="preserve">    + ST Lease Liabilities</t>
  </si>
  <si>
    <t>ST_CAPITALIZED_LEASE_LIABILITIES</t>
  </si>
  <si>
    <t xml:space="preserve">    + ST Finance Leases</t>
  </si>
  <si>
    <t>ST_CAPITAL_LEASE_OBLIGATIONS</t>
  </si>
  <si>
    <t xml:space="preserve">    + ST Borrowings</t>
  </si>
  <si>
    <t>SHORT_TERM_DEBT_DETAILED</t>
  </si>
  <si>
    <t xml:space="preserve">  + LT Debt</t>
  </si>
  <si>
    <t>BS_LT_BORROW</t>
  </si>
  <si>
    <t xml:space="preserve">    + LT Lease Liabilities</t>
  </si>
  <si>
    <t>LT_CAPITALIZED_LEASE_LIABILITIES</t>
  </si>
  <si>
    <t xml:space="preserve">    + LT Finance Leases</t>
  </si>
  <si>
    <t>LT_CAPITAL_LEASE_OBLIGATIONS</t>
  </si>
  <si>
    <t xml:space="preserve">    + LT Borrowings</t>
  </si>
  <si>
    <t>LONG_TERM_BORROWINGS_DETAILED</t>
  </si>
  <si>
    <t xml:space="preserve">  + Pension Liabilities</t>
  </si>
  <si>
    <t>PENSION_LIABILITIES</t>
  </si>
  <si>
    <t xml:space="preserve">  + Total Deferred Tax Liabilities</t>
  </si>
  <si>
    <t>BS_TOT_DEFERRED_TAX_LIAB</t>
  </si>
  <si>
    <t xml:space="preserve">  + Total Derivative Liabilities</t>
  </si>
  <si>
    <t>BS_TOTAL_DERIVATIVE_LIABILITIES</t>
  </si>
  <si>
    <t xml:space="preserve">  + Other Liabilities</t>
  </si>
  <si>
    <t>OTHER_CURRENT_LIABS_DETAILED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</si>
  <si>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</si>
  <si>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</si>
  <si>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</si>
  <si>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</si>
  <si>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</si>
  <si>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</si>
  <si>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</si>
  <si>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</si>
  <si>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</si>
  <si>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</si>
  <si>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</si>
  <si>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</si>
  <si>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</si>
  <si>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</si>
  <si>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</si>
  <si>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</si>
  <si>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Total Liabilities &amp; Equity</t>
  </si>
  <si>
    <t>TOT_LIAB_AND_EQY</t>
  </si>
  <si>
    <t>Shares Outstanding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</si>
  <si>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</si>
  <si>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</si>
  <si>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</si>
  <si>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</si>
  <si>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</si>
  <si>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</si>
  <si>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Total Capital Leases</t>
  </si>
  <si>
    <t>BS_TOTAL_CAPITAL_LEASES</t>
  </si>
  <si>
    <t>Non-Performing Assets</t>
  </si>
  <si>
    <t>Return on Assets</t>
  </si>
  <si>
    <t>Net Deferred Tax Liabilities - Long Term</t>
  </si>
  <si>
    <t>BS_DEF_TAX_LIAB</t>
  </si>
  <si>
    <t>Interest Bearing Liabilities</t>
  </si>
  <si>
    <t>INT_BEAR_LIAB</t>
  </si>
  <si>
    <t>Net Debt</t>
  </si>
  <si>
    <t>NET_DEBT</t>
  </si>
  <si>
    <t>Return on Common Equity</t>
  </si>
  <si>
    <t>Tangible Common Equity Ratio</t>
  </si>
  <si>
    <t>Tangible Common Equity to Risk-Weighted Assets</t>
  </si>
  <si>
    <t>Tier 1 Capital Ratio</t>
  </si>
  <si>
    <t>Total Risk-Based Capital Ratio</t>
  </si>
  <si>
    <t>Number of Employees</t>
  </si>
  <si>
    <t>NUM_OF_EMPLOYEES</t>
  </si>
  <si>
    <t>Balance Sheet</t>
  </si>
  <si>
    <t>Average Earning Assets</t>
  </si>
  <si>
    <t>ARD_AVERAGE_EARNING_ASSETS</t>
  </si>
  <si>
    <t>Average Total Loans</t>
  </si>
  <si>
    <t>ARDR_AVERAGE_TOTAL_LOANS</t>
  </si>
  <si>
    <t>Average Stockholders Equity</t>
  </si>
  <si>
    <t>ARDR_AVG_STOCKHOLDERS_EQUITY</t>
  </si>
  <si>
    <t>Total Borrowing Rate</t>
  </si>
  <si>
    <t>ARDR_AVG_TOT_BORROW_RATE</t>
  </si>
  <si>
    <t xml:space="preserve">  Assets</t>
  </si>
  <si>
    <t>Other Assets</t>
  </si>
  <si>
    <t>ARD_OTHER_ASSETS_OTHER</t>
  </si>
  <si>
    <t>Inventories</t>
  </si>
  <si>
    <t>ARD_INVENTORY</t>
  </si>
  <si>
    <t>Assets Held For Sale</t>
  </si>
  <si>
    <t>ARD_ASSETS_HELD_FOR_SALE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</si>
  <si>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</si>
  <si>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</si>
  <si>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</si>
  <si>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</si>
  <si>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</si>
  <si>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</si>
  <si>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</si>
  <si>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</si>
  <si>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</si>
  <si>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</si>
  <si>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Mortgage Loans</t>
  </si>
  <si>
    <t>ARD_MORTGAGE_LOANS</t>
  </si>
  <si>
    <t>Trading Account Assets</t>
  </si>
  <si>
    <t>ARD_TRADING_ACCOUNT_ASSETS</t>
  </si>
  <si>
    <t>Investment Securities Available For Sale</t>
  </si>
  <si>
    <t>ARD_INVEST_SEC_AVAIL_FOR_SALE</t>
  </si>
  <si>
    <t>Commercial Loans</t>
  </si>
  <si>
    <t>ARD_COMMERCIAL_LOANS</t>
  </si>
  <si>
    <t>Consumer Loans</t>
  </si>
  <si>
    <t>ARD_CONSUMER_LOANS</t>
  </si>
  <si>
    <t>Credit Card Loans</t>
  </si>
  <si>
    <t>ARD_CREDIT_CARD_LOANS</t>
  </si>
  <si>
    <t>One To Four Family Resident Real Estate Loans</t>
  </si>
  <si>
    <t>ARD_ONE_TO_FOUR_FAM_RES_RE_LOAN</t>
  </si>
  <si>
    <t>Other Consumer Loans</t>
  </si>
  <si>
    <t>ARD_OTHER_CONSUMER_LOANS</t>
  </si>
  <si>
    <t>Lease Financing Loans</t>
  </si>
  <si>
    <t>ARD_LEASE_FINANCING_LOANS</t>
  </si>
  <si>
    <t>Other Loans</t>
  </si>
  <si>
    <t>ARD_OTHER_LOAN</t>
  </si>
  <si>
    <t>Reserve For Loan Losses</t>
  </si>
  <si>
    <t>ARD_RESERVE_FOR_LOAN_LOSSES</t>
  </si>
  <si>
    <t>Securities Purchased Under Agreement To Resell</t>
  </si>
  <si>
    <t>ARD_SEC_PURC_UNDER_AGR_TO_RESELL</t>
  </si>
  <si>
    <t>Interest Bearing Deposits At Banks</t>
  </si>
  <si>
    <t>ARD_INT_BEARING_DEPOSITS_AT_BANK</t>
  </si>
  <si>
    <t>Investment Securities Held To Maturity</t>
  </si>
  <si>
    <t>ARD_INV_SEC_HELD_TO_MATURITY</t>
  </si>
  <si>
    <t>Derivative Assets (Short-Term)</t>
  </si>
  <si>
    <t>ARD_DERIVATIVE_ASSET_ST</t>
  </si>
  <si>
    <t>ARD_TOTAL_LOANS</t>
  </si>
  <si>
    <t>ARD_NET_LOANS</t>
  </si>
  <si>
    <t>ARD_TOT_ASSETS</t>
  </si>
  <si>
    <t>Other Receivable</t>
  </si>
  <si>
    <t>ARD_OTHER_RECEIVABLE</t>
  </si>
  <si>
    <t>Derivative Assets (Long-Term)</t>
  </si>
  <si>
    <t>ARD_DERIVATIVE_ASSET_LT</t>
  </si>
  <si>
    <t>Cash and Cash Equivalents</t>
  </si>
  <si>
    <t>ARD_CASH_AND_CASH_EQUIVALENTS</t>
  </si>
  <si>
    <t>Investment - Cost Method</t>
  </si>
  <si>
    <t>ARD_INVESTMENT_COST_METHOD</t>
  </si>
  <si>
    <t>Equity Investments In Associates/Affiliates</t>
  </si>
  <si>
    <t>ARD_EQY_INVEST_ASSOC_AFFILIATES</t>
  </si>
  <si>
    <t>Loans And Advances To Banks</t>
  </si>
  <si>
    <t>ARD_LOANS_AND_ADVANCES_TO_BANKS</t>
  </si>
  <si>
    <t>Other Assets-Derivatives Used For Hedging Purp</t>
  </si>
  <si>
    <t>ARD_OTH_ASSETS_DERV_HEDGING_PURP</t>
  </si>
  <si>
    <t>Other Assets-Derivatives Used For Trading Purp</t>
  </si>
  <si>
    <t>ARD_OTH_ASSETS_DERV_TRADING_PURP</t>
  </si>
  <si>
    <t>Receivables - Current &amp; Noncurrent</t>
  </si>
  <si>
    <t>ARD_RECEIVABLES_CURRENT_NONCUR</t>
  </si>
  <si>
    <t>Other Financial Assets - Current &amp; Noncurrent</t>
  </si>
  <si>
    <t>ARD_OTHER_FINL_ASSETS_CUR_NONCUR</t>
  </si>
  <si>
    <t>Total Derivative Assets</t>
  </si>
  <si>
    <t>ARD_TOTAL_DERIVATIVE_ASSETS</t>
  </si>
  <si>
    <t xml:space="preserve">  Liabilities</t>
  </si>
  <si>
    <t>Deferred/Unearned Revenue (Short-Term)</t>
  </si>
  <si>
    <t>ARD_DEFERRED_UNEARNED_REV_ST</t>
  </si>
  <si>
    <t>Other Current Liabilities</t>
  </si>
  <si>
    <t>ARD_OTHER_CURRENT_LIABILITIES</t>
  </si>
  <si>
    <t>Deferred Income Taxes (Liabilities)</t>
  </si>
  <si>
    <t>ARD_DEFERRED_INCOME_TAXES_LIAB</t>
  </si>
  <si>
    <t>Pension/Postretirement Liabilities</t>
  </si>
  <si>
    <t>ARD_PENSION_POSTRETIREMNT_LIAB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</si>
  <si>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</si>
  <si>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</si>
  <si>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</si>
  <si>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</si>
  <si>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</si>
  <si>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</si>
  <si>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</si>
  <si>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</si>
  <si>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</si>
  <si>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</si>
  <si>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Par Value</t>
  </si>
  <si>
    <t>ARD_PAR_VALUE</t>
  </si>
  <si>
    <t>Income Taxes Accrued/Payable</t>
  </si>
  <si>
    <t>ARD_INCOME_TAX_ACCRUED_PAYABLE</t>
  </si>
  <si>
    <t>Total Shareholders Equity</t>
  </si>
  <si>
    <t>ARD_TOTAL_SHAREHOLDERS_EQUITY</t>
  </si>
  <si>
    <t>Demand Deposits</t>
  </si>
  <si>
    <t>ARD_DEMAND_DEPOSITS</t>
  </si>
  <si>
    <t>Other Deposits</t>
  </si>
  <si>
    <t>ARD_OTHER_DEPOSIT</t>
  </si>
  <si>
    <t>Securities Sold Under Repurchase Agreements</t>
  </si>
  <si>
    <t>ARD_SEC_SOLD_UNDER_REP_AGREEMENT</t>
  </si>
  <si>
    <t>Commercial Paper Outstanding</t>
  </si>
  <si>
    <t>ARD_COMMERCIAL_PAPER_BS</t>
  </si>
  <si>
    <t>Other Short-Term Borrowings</t>
  </si>
  <si>
    <t>ARD_OTHER_ST_BORROW</t>
  </si>
  <si>
    <t>Derivative Liabilities</t>
  </si>
  <si>
    <t>ARD_DERIVATIVE_LIABILITIES</t>
  </si>
  <si>
    <t>Other Long-Term Debt</t>
  </si>
  <si>
    <t>ARD_OTHER_LT_DEBT</t>
  </si>
  <si>
    <t>ARD_TOTAL_DEPOSITS</t>
  </si>
  <si>
    <t>ARD_TOT_LIABILITIES</t>
  </si>
  <si>
    <t>Total Liabilities and Shareholders Equity</t>
  </si>
  <si>
    <t>ARD_TOT_LIAB_AND_SHAREHOLDER_EQY</t>
  </si>
  <si>
    <t>Insurance Policies and Claims Reserves</t>
  </si>
  <si>
    <t>ARD_INSUR_POLICIES_CLAIMS_RSRV</t>
  </si>
  <si>
    <t>Other Payables</t>
  </si>
  <si>
    <t>ARD_OTHER_PAYABLES</t>
  </si>
  <si>
    <t>Subordinated Debentures</t>
  </si>
  <si>
    <t>ARD_SUBORDINATED_DEBENTURES</t>
  </si>
  <si>
    <t>Cumulative Translation Adjustment</t>
  </si>
  <si>
    <t>ARD_CUMULATIVE_TRANSLATION_ADJUS</t>
  </si>
  <si>
    <t>Liabilities Attributable To Insurance Ops</t>
  </si>
  <si>
    <t>ARD_LIAB_ATTRIBUTABLE_TO_INS_OPS</t>
  </si>
  <si>
    <t>Capital Reserves</t>
  </si>
  <si>
    <t>ARD_CAPITAL_RESERVES</t>
  </si>
  <si>
    <t>Net Income/Loss (Stockholders Equity)</t>
  </si>
  <si>
    <t>ARD_NET_INC_LOSS_STOCKHLDRS_EQTY</t>
  </si>
  <si>
    <t>Other Reserve</t>
  </si>
  <si>
    <t>ARD_OTHER_RESERVE</t>
  </si>
  <si>
    <t>Revaluation Surplus</t>
  </si>
  <si>
    <t>ARD_REVALUATION_SURPLUS</t>
  </si>
  <si>
    <t>Bonds Payable</t>
  </si>
  <si>
    <t>ARD_BONDS_PAYABLE</t>
  </si>
  <si>
    <t>Sundry Creditors And Accruals</t>
  </si>
  <si>
    <t>ARD_SUNDRY_CREDITORS_AND_ACCRUAL</t>
  </si>
  <si>
    <t>Time Deposits</t>
  </si>
  <si>
    <t>ARD_TIME_DEPOSIT</t>
  </si>
  <si>
    <t>Total Shareholders Equity Excluding Minority</t>
  </si>
  <si>
    <t>ARD_TOT_SHARE_EQY_EXCL_MINORITY</t>
  </si>
  <si>
    <t>Other Liab - Derivatives Used For Trading Purp</t>
  </si>
  <si>
    <t>ARD_OTHR_LIAB_DERV_TRADING_PURP</t>
  </si>
  <si>
    <t>Other Liab - Derivatives Used For Hedging Purp</t>
  </si>
  <si>
    <t>ARD_OTHR_LIAB_DERV_HEDGING_PURP</t>
  </si>
  <si>
    <t>Fair Value And Other Reserves</t>
  </si>
  <si>
    <t>ARD_FAIR_VAL_OTHER_RESERVES</t>
  </si>
  <si>
    <t>ARDR Available for Sales Secs Purchased Price</t>
  </si>
  <si>
    <t>ARDR_AVAIL_SALE_SECS_PURCH_PX</t>
  </si>
  <si>
    <t>ARDR Available for Sales Secs Unrlzd Gain or Loss</t>
  </si>
  <si>
    <t>ARDR_AVAIL_SALE_SECS_UNRLZD_GL</t>
  </si>
  <si>
    <t>ARDR_OTHER_ASSETS_OTHER</t>
  </si>
  <si>
    <t>Property Plant &amp; Equipment - Gross</t>
  </si>
  <si>
    <t>ARDR_PROPERTY_PLANT_EQUIP_GROSS</t>
  </si>
  <si>
    <t>Accumulated Depreciation</t>
  </si>
  <si>
    <t>ARDR_ACCUMULATED_DEPREC</t>
  </si>
  <si>
    <t>ARDR_PROPERTY_PLANT_EQUIP_NET</t>
  </si>
  <si>
    <t>Deferred Income Tax Asset (LT)</t>
  </si>
  <si>
    <t>ARDR_DEFERRED_INC_TAX_ASSET_LT</t>
  </si>
  <si>
    <t>ARDR_OTHER_INTANGIBLE_ASSET</t>
  </si>
  <si>
    <t>ARDR_GOODWLL</t>
  </si>
  <si>
    <t>ARDR_PENSION_POSTRETIREMNT_LIAB</t>
  </si>
  <si>
    <t>Min/Non Cntrlling Int(Stckhldrs Eqty)</t>
  </si>
  <si>
    <t>ARDR_MIN_NONCONTROL_INT_SE</t>
  </si>
  <si>
    <t>ARDR_COMMON_STOCK</t>
  </si>
  <si>
    <t>ARDR_ADDITIONAL_PAID_IN_CAPITAL</t>
  </si>
  <si>
    <t>ARDR_RETAINED_EARN_ACC_DEFICIT</t>
  </si>
  <si>
    <t>ARDR_OTHER_EQUITY</t>
  </si>
  <si>
    <t>ARDR_SHARES_OUTSTANDING</t>
  </si>
  <si>
    <t>ARDR_PAR_VALUE</t>
  </si>
  <si>
    <t>Treasury Shares (Number)</t>
  </si>
  <si>
    <t>ARDR_TREASURY_SHARES_NUM</t>
  </si>
  <si>
    <t>Shares Issued</t>
  </si>
  <si>
    <t>ARDR_SHARES_ISSUED</t>
  </si>
  <si>
    <t>ARDR_MORTGAGE_LOANS</t>
  </si>
  <si>
    <t>Current Rental Expense</t>
  </si>
  <si>
    <t>ARDR_CURRENT_RENTAL_EXP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</si>
  <si>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</si>
  <si>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</si>
  <si>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</si>
  <si>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</si>
  <si>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</si>
  <si>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</si>
  <si>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</si>
  <si>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</si>
  <si>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</si>
  <si>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</si>
  <si>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</si>
  <si>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</si>
  <si>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ARDR_TOTAL_SHAREHOLDERS_EQUITY</t>
  </si>
  <si>
    <t>Total Risk Based Capital</t>
  </si>
  <si>
    <t>ARDR_TOTAL_RISK_BASED_CAPITAL</t>
  </si>
  <si>
    <t>ARDR_TRADING_ACCOUNT_ASSETS</t>
  </si>
  <si>
    <t>ARDR_INVEST_SEC_AVAIL_FOR_SALE</t>
  </si>
  <si>
    <t>ARDR_COMMERCIAL_LOANS</t>
  </si>
  <si>
    <t>Other Adjustments To Loans (Commercial)</t>
  </si>
  <si>
    <t>ARDR_OTHER_ADJUST_TO_LOANS_COMM</t>
  </si>
  <si>
    <t>ARDR_CONSUMER_LOANS</t>
  </si>
  <si>
    <t>Credit CARD Ref Loans</t>
  </si>
  <si>
    <t>ARDR_CREDIT_CARDR_LOANS</t>
  </si>
  <si>
    <t>One-Four Family Resident Real Estate Loans</t>
  </si>
  <si>
    <t>ARDR_ONE_TO_FOUR_FAM_RES_RE_LOAN</t>
  </si>
  <si>
    <t>ARDR_OTHER_CONSUMER_LOANS</t>
  </si>
  <si>
    <t>ARDR_ASSETS_UNDER_MANAGEMENT</t>
  </si>
  <si>
    <t># of Outlets/Branches</t>
  </si>
  <si>
    <t>ARDR_NUM_OF_OUTLETS/BRANCHES</t>
  </si>
  <si>
    <t>ARDR_OTHER_LOAN</t>
  </si>
  <si>
    <t>ARDR_RESERVE_FOR_LOAN_LOSSES</t>
  </si>
  <si>
    <t>Secs Purchased Under Agreement To Resell</t>
  </si>
  <si>
    <t>ARDR_SEC_PURC_UNDER_AGR_RESELL</t>
  </si>
  <si>
    <t>ARDR_INT_BEARING_DEP_AT_BANK</t>
  </si>
  <si>
    <t>ARDR_INV_SEC_HELD_TO_MATURITY</t>
  </si>
  <si>
    <t>ARDR_DEMAND_DEPOSITS</t>
  </si>
  <si>
    <t>Savings Deposits</t>
  </si>
  <si>
    <t>ARDR_SAVINGS_DEPOSITS</t>
  </si>
  <si>
    <t>Other Time Deposits</t>
  </si>
  <si>
    <t>ARDR_OTHER_TIME_DEPOSITS</t>
  </si>
  <si>
    <t>ARDR_OTHER_DEPOSIT</t>
  </si>
  <si>
    <t>Securities Sold Under Repurchase Agreement</t>
  </si>
  <si>
    <t>ARDR_SEC_SOLD_UNDER_REP_AGR</t>
  </si>
  <si>
    <t>ARDR_OTHER_ST_BORROW</t>
  </si>
  <si>
    <t>ARDR_OTHER_LT_DEBT</t>
  </si>
  <si>
    <t>ARDR_OTHER_RECEIVABLE</t>
  </si>
  <si>
    <t>Cash and Due From Banks</t>
  </si>
  <si>
    <t>ARDR_CASH_AND_DUE_FROM_BANKS</t>
  </si>
  <si>
    <t>Future Policy Benefits</t>
  </si>
  <si>
    <t>ARDR_FUTURE_POLICY_BENEFITS</t>
  </si>
  <si>
    <t>ARDR_TIER1_CAPITAL_RATIO</t>
  </si>
  <si>
    <t>Total Capital/Risk-Based Cap %</t>
  </si>
  <si>
    <t>ARDR_TOT_CAP_RISK_BASED_CAP_PCT</t>
  </si>
  <si>
    <t>Leverage/Tangible Capital Ratio %</t>
  </si>
  <si>
    <t>ARDR_LEVERAGE_TANG_CAP_RATIO</t>
  </si>
  <si>
    <t>Total Tier 1 Capital</t>
  </si>
  <si>
    <t>ARDR_TOTAL_TIER1_CAPITAL</t>
  </si>
  <si>
    <t>Risk Weighted Assets</t>
  </si>
  <si>
    <t>ARDR_RISK_WEIGHTED_ASSETS</t>
  </si>
  <si>
    <t>ARDR_OTHER_PAYABLES</t>
  </si>
  <si>
    <t>ARDR_SUBORDINATED_DEBENTURES</t>
  </si>
  <si>
    <t>Accruing Loans Past Due 90 Days</t>
  </si>
  <si>
    <t>ARDR_ACCRUING_LOANS_PAST_DUE</t>
  </si>
  <si>
    <t>Number of Employees at Period End Date</t>
  </si>
  <si>
    <t>ARDR_NUM_OF_EMPLOYEES_PERIOD_END</t>
  </si>
  <si>
    <t>ARDR_CUM_TRANSLATION_ADJUST</t>
  </si>
  <si>
    <t>Capital Reserve</t>
  </si>
  <si>
    <t>ARDR_CAPITAL_RSRV</t>
  </si>
  <si>
    <t>ARDR_NET_INC_LOSS_STOCKHLDRS_EQY</t>
  </si>
  <si>
    <t>ARDR_OTHER_RESERVE</t>
  </si>
  <si>
    <t>Provisions For Liabilities/Charges/Other</t>
  </si>
  <si>
    <t>ARDR_PROV_LIAB_CHARGES_AND_OTHER</t>
  </si>
  <si>
    <t>ARDR_SUNDRY_CREDITORS_AND_ACCRL</t>
  </si>
  <si>
    <t>Total Supplementary Capital</t>
  </si>
  <si>
    <t>ARDR_TOTAL_SUPPLEMENTARY_CAPITAL</t>
  </si>
  <si>
    <t>Core Capital Ratio (Tier 2)</t>
  </si>
  <si>
    <t>ARDR_CORE_CAPITAL_RATIO_TIER2</t>
  </si>
  <si>
    <t>Total Shareholder Equity Excludes Minority</t>
  </si>
  <si>
    <t>ARDR_TOT_SHARE_EQY_EXCL_MINORITY</t>
  </si>
  <si>
    <t>Contingent Liabilities And Commitments</t>
  </si>
  <si>
    <t>ARDR_CONTINGENT_LIAB_COMMITMENTS</t>
  </si>
  <si>
    <t>Non-Performing Loans</t>
  </si>
  <si>
    <t>ARDR_NON_PERFORMING_LOANS</t>
  </si>
  <si>
    <t>Loans From Financial Institutions (LT)</t>
  </si>
  <si>
    <t>ARDR_LOANS_FROM_FINL_INSTIT_LT</t>
  </si>
  <si>
    <t>ARDR_FAIR_VAL_OTHER_RESERVES</t>
  </si>
  <si>
    <t>Overdrafts And Bank Loans (Short Term)</t>
  </si>
  <si>
    <t>ARDR_OVERDRAFTS_BANK_LOANS_ST</t>
  </si>
  <si>
    <t>Purchase Obligations</t>
  </si>
  <si>
    <t>ARDR_PURCHASE_OBLIGATIONS</t>
  </si>
  <si>
    <t>Cash Equivalents</t>
  </si>
  <si>
    <t>ARDR_CASH_EQUIVS</t>
  </si>
  <si>
    <t>Non-Performing Loan Ratio (%)</t>
  </si>
  <si>
    <t>ARDR_NON_PERFORMING_LOAN_%</t>
  </si>
  <si>
    <t>Cash</t>
  </si>
  <si>
    <t>ARDR_CASH</t>
  </si>
  <si>
    <t>Capital Lease Year 1</t>
  </si>
  <si>
    <t>ARDR_CAPITAL_LEASE_YEAR_1</t>
  </si>
  <si>
    <t>Capital Lease Year 2</t>
  </si>
  <si>
    <t>ARDR_CAPITAL_LEASE_YEAR_2</t>
  </si>
  <si>
    <t>Capital Lease Year 3</t>
  </si>
  <si>
    <t>ARDR_CAPITAL_LEASE_YEAR_3</t>
  </si>
  <si>
    <t>Capital Lease Year 4</t>
  </si>
  <si>
    <t>ARDR_CAPITAL_LEASE_YEAR_4</t>
  </si>
  <si>
    <t>Capital Lease Year 5</t>
  </si>
  <si>
    <t>ARDR_CAPITAL_LEASE_YEAR_5</t>
  </si>
  <si>
    <t>Capital Lease Beyond Year 5</t>
  </si>
  <si>
    <t>ARDR_CAPITAL_LEASE_BEYOND_YEAR_5</t>
  </si>
  <si>
    <t>Pension &amp; Post Retirement Assets (Current)</t>
  </si>
  <si>
    <t>ARDR_PENSION_PR_ASSETS_CURRENT</t>
  </si>
  <si>
    <t>Tier 1 Common Equity</t>
  </si>
  <si>
    <t>ARDR_TIER1_COMMON_EQUITY</t>
  </si>
  <si>
    <t>Tier 1 Common Equity Ratio</t>
  </si>
  <si>
    <t>ARDR_TIER1_COM_EQUITY_RATIO</t>
  </si>
  <si>
    <t>FV Non-Hedging Deriv Assets - FX Contract</t>
  </si>
  <si>
    <t>ARDR_FV_NON_HEDG_DERIV_ASSETS_FX</t>
  </si>
  <si>
    <t>FV Non-Hedging Deriv Liabs - FX Contract</t>
  </si>
  <si>
    <t>ARDR_FV_HEDG_DERIV_LIABS_FX</t>
  </si>
  <si>
    <t>ARDR FV Non Hedging Derivative Assets IR Contract</t>
  </si>
  <si>
    <t>ARDR_FV_N_HEDG_DERIV_AST_IR_CONT</t>
  </si>
  <si>
    <t>ARDR FV Non Hedging Derivative Liabilities IR</t>
  </si>
  <si>
    <t>ARDR_FV_NON_HEDG_DERIV_LIABS_IR</t>
  </si>
  <si>
    <t>Hedging Derivative Liabs-Foreign Exchange</t>
  </si>
  <si>
    <t>ARDR_FV_HEDG_DERIV_LIABI_FX</t>
  </si>
  <si>
    <t>Auto Loans</t>
  </si>
  <si>
    <t>ARDR_AUTO_LOANS</t>
  </si>
  <si>
    <t>Number of ATMs</t>
  </si>
  <si>
    <t>ARDR_NUMBER_OF_ATM</t>
  </si>
  <si>
    <t>FV Non-Hedging Derivative Assets - Equity</t>
  </si>
  <si>
    <t>ARDR_FV_NON_HEDG_DERIV_ASSETS_EQ</t>
  </si>
  <si>
    <t>FV Hedging Deriv Assets-Int Rate Contract</t>
  </si>
  <si>
    <t>ARDR_FV_HEDG_DERIV_ASSETS_IR</t>
  </si>
  <si>
    <t>FV Hedging Deriv Liabs - Int Rate Contract</t>
  </si>
  <si>
    <t>ARDR_FV_DERIV_LIABS_IR</t>
  </si>
  <si>
    <t>As Reported Data Reference FV Hedging Total Assets</t>
  </si>
  <si>
    <t>ARDR_FV_HEDGING_TOTAL_ASSETS</t>
  </si>
  <si>
    <t>ARDR FV Hedging Total Liabilities</t>
  </si>
  <si>
    <t>ARDR_FV_HEDGING_TOTAL_LIABS</t>
  </si>
  <si>
    <t>Fair Value Non Hedging Total Assets</t>
  </si>
  <si>
    <t>ARDR_FV_NON_HEDGING_TOTAL_ASSETS</t>
  </si>
  <si>
    <t>Fair Value Non Hedging Total Liabilities</t>
  </si>
  <si>
    <t>ARDR_FV_NON_HEDGING_TOTAL_LIABS</t>
  </si>
  <si>
    <t>Liquidity Coverage Ratio</t>
  </si>
  <si>
    <t>ARDR_LIQUIDITY_COVERAGE_RATIO</t>
  </si>
  <si>
    <t>Net Stable Funding Ratio</t>
  </si>
  <si>
    <t>ARDR_NET_STABLE_FUNDING_RATIO</t>
  </si>
  <si>
    <t>ARDR Basel III CE Tr1 Rti % Fly Phd in (Advanced)</t>
  </si>
  <si>
    <t>ARDR_EST_BASEL_III_TR1_COM_E_RTI</t>
  </si>
  <si>
    <t>ARDR Basel III RWA Fully Phased in (Advanced)</t>
  </si>
  <si>
    <t>ARDR_ESTIMATED_BASEL_III_RWA</t>
  </si>
  <si>
    <t>ARDR Basel III CE Tr1 (Amount) Fly Phd in (Adv)</t>
  </si>
  <si>
    <t>ARDR_EST_TIER_1_COMMON_EQUITY</t>
  </si>
  <si>
    <t>ARDR Investment Securities HTM FV</t>
  </si>
  <si>
    <t>ARDR_INVESTMENT_SECS_HTM_FV</t>
  </si>
  <si>
    <t>ARDR Basel III Tr1 Cap Rti % Fly Phd in (Advanced)</t>
  </si>
  <si>
    <t>ARDR_TIER_1_CAP_RATIO_FULLY_LOAD</t>
  </si>
  <si>
    <t>ARDR Basel III Tr1 Cap (Amount) Fly Phd in (Adv)</t>
  </si>
  <si>
    <t>ARDR_TIER_1_CAPITAL_FULLY_LOADED</t>
  </si>
  <si>
    <t>ARDR Basel III Tr2 Cap (Amount) Fly Phd in (Adv)</t>
  </si>
  <si>
    <t>ARDR_TIER_2_CAPITAL_FULLY_LOADED</t>
  </si>
  <si>
    <t>ARDR Basel III T Rs B Cap (Amt) Fly Phd in (Adv)</t>
  </si>
  <si>
    <t>ARDR_TOT_RISK_BSD_CAP_FULLY_LOAD</t>
  </si>
  <si>
    <t>Grupo Financiero Banorte SAB de CV (GFNORTEO MM) - Common Size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</si>
  <si>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</si>
  <si>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</si>
  <si>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</si>
  <si>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</si>
  <si>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</si>
  <si>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Provision for Loan Losses</t>
  </si>
  <si>
    <t>CF_PROVISION_FOR_LOAN_LOSSES</t>
  </si>
  <si>
    <t xml:space="preserve">  + Non-Cash Items</t>
  </si>
  <si>
    <t>NON_CASH_ITEMS_DETAILED</t>
  </si>
  <si>
    <t xml:space="preserve">    + Deferred Income Taxes</t>
  </si>
  <si>
    <t>CF_DEF_INC_TAX</t>
  </si>
  <si>
    <t xml:space="preserve">    + Other Non - Cash Adjusted</t>
  </si>
  <si>
    <t>OTHER_NON_CASH_ADJ_LESS_DETAILED</t>
  </si>
  <si>
    <t xml:space="preserve">  + Net Ch in Operating Capital</t>
  </si>
  <si>
    <t>CF_CHNG_NON_CASH_WORK_CAP</t>
  </si>
  <si>
    <t xml:space="preserve">    + Net Ch of Investments</t>
  </si>
  <si>
    <t>CF_NET_CHANGES_INVEST_IN_OPER</t>
  </si>
  <si>
    <t xml:space="preserve">    + Net Ch of Interbank Asset</t>
  </si>
  <si>
    <t>CF_NET_CHANGES_INTERBANK_ASSETS</t>
  </si>
  <si>
    <t xml:space="preserve">    + Net Ch of Interbank Liab</t>
  </si>
  <si>
    <t>CF_NET_CHANGES_INTERBANK_LIABS</t>
  </si>
  <si>
    <t xml:space="preserve">    + Other Op Assets/Liab</t>
  </si>
  <si>
    <t>CF_INC_DEC_IN_OT_OP_AST_LIAB</t>
  </si>
  <si>
    <t xml:space="preserve">  + Net Cash From Disc Ops</t>
  </si>
  <si>
    <t>CF_NET_CASH_DISCONT_OPS_OPER</t>
  </si>
  <si>
    <t>Cash from Investing Activities</t>
  </si>
  <si>
    <t xml:space="preserve">  + Net Change in Fixed Assets</t>
  </si>
  <si>
    <t>FIXED_INTANG_ASST_CHANGE</t>
  </si>
  <si>
    <t xml:space="preserve">    + Disposal of Fixed Assets</t>
  </si>
  <si>
    <t>CF_DISP_FIX_ASSET</t>
  </si>
  <si>
    <t xml:space="preserve">    + Capital Expenditures/Prop Add</t>
  </si>
  <si>
    <t>CF_CAP_EXPEND_PRPTY_ADD</t>
  </si>
  <si>
    <t xml:space="preserve">  + Net Change in Investments</t>
  </si>
  <si>
    <t>NET_CHG_IN_LT_INVEST_DETAILED</t>
  </si>
  <si>
    <t xml:space="preserve">    + Decrease in Investments</t>
  </si>
  <si>
    <t>CF_DECR_INVEST</t>
  </si>
  <si>
    <t xml:space="preserve">    + Dec in HTM Investments</t>
  </si>
  <si>
    <t>CF_PROCEEDS_HTM_INVESTMENTS</t>
  </si>
  <si>
    <t xml:space="preserve">    + Dec in AFS Investments</t>
  </si>
  <si>
    <t>CF_PROCEEDS_AFS_INVESTMENTS</t>
  </si>
  <si>
    <t xml:space="preserve">    + Dec in Other Investments</t>
  </si>
  <si>
    <t>CF_PROCEEDS_OTHER_INVESTMENTS</t>
  </si>
  <si>
    <t xml:space="preserve">    + Increase in Investments</t>
  </si>
  <si>
    <t>CF_INCR_INVEST</t>
  </si>
  <si>
    <t xml:space="preserve">    + Inc in HTM Investments</t>
  </si>
  <si>
    <t>CF_PURCHASE_HTM_INVESTMENTS</t>
  </si>
  <si>
    <t xml:space="preserve">    + Inc in AFS Investments</t>
  </si>
  <si>
    <t>CF_PURCHASE_AFS_INVESTMENTS</t>
  </si>
  <si>
    <t xml:space="preserve">    + Inc in Other Investments</t>
  </si>
  <si>
    <t>CF_PURCHASE_OTHER_INVESTMENTS</t>
  </si>
  <si>
    <t xml:space="preserve">  + Net Ch in Loans &amp; Interbank</t>
  </si>
  <si>
    <t>CF_CHANGE_IN_LOANS</t>
  </si>
  <si>
    <t xml:space="preserve">    + Net Ch in Customer Loans</t>
  </si>
  <si>
    <t>CF_NET_CHANGE_IN_LOANS_CUSTOMERS</t>
  </si>
  <si>
    <t xml:space="preserve">    + Net Ch in Interbank Assets</t>
  </si>
  <si>
    <t>CF_NET_CHG_IN_INTERBANK_ASSETS</t>
  </si>
  <si>
    <t xml:space="preserve">    + Net Ch in Loans</t>
  </si>
  <si>
    <t>CF_SALES_PURCHASES_LOANS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</si>
  <si>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</si>
  <si>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</si>
  <si>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</si>
  <si>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</si>
  <si>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</si>
  <si>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</si>
  <si>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</si>
  <si>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</si>
  <si>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</si>
  <si>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</si>
  <si>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</si>
  <si>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</si>
  <si>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</si>
  <si>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</si>
  <si>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</si>
  <si>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</si>
  <si>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</si>
  <si>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</si>
  <si>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Net Ch in Interbank Trans</t>
  </si>
  <si>
    <t>CF_NET_CHANGES_INTERBANK_TRANS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</si>
  <si>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</si>
  <si>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</si>
  <si>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</si>
  <si>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</si>
  <si>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</si>
  <si>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</si>
  <si>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</si>
  <si>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</si>
  <si>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</si>
  <si>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</si>
  <si>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Net Change In Deposits</t>
  </si>
  <si>
    <t>CF_INCR_DECR_DPST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</si>
  <si>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</si>
  <si>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</si>
  <si>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</si>
  <si>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</si>
  <si>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</si>
  <si>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</si>
  <si>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Cash Paid for Taxes</t>
  </si>
  <si>
    <t>CF_CASH_PAID_FOR_TAX</t>
  </si>
  <si>
    <t>Cash Paid for Interest</t>
  </si>
  <si>
    <t>CF_ACT_CASH_PAID_FOR_INT_DEBT</t>
  </si>
  <si>
    <t>Free Cash Flow</t>
  </si>
  <si>
    <t>CF_FREE_CASH_FLOW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</si>
  <si>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</si>
  <si>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</si>
  <si>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</si>
  <si>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</si>
  <si>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</si>
  <si>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Cash Flow to Net Income</t>
  </si>
  <si>
    <t>CASH_FLOW_TO_NET_INC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</si>
  <si>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</si>
  <si>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</si>
  <si>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</si>
  <si>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</si>
  <si>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</si>
  <si>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</si>
  <si>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Amortization - CF</t>
  </si>
  <si>
    <t>ARD_AMORTIZATION_CF</t>
  </si>
  <si>
    <t>Depreciation And Amortization - CF</t>
  </si>
  <si>
    <t>ARD_DEPRECIATION_AND_AMORT_CF</t>
  </si>
  <si>
    <t>Deferred Income Taxes - CF</t>
  </si>
  <si>
    <t>ARD_DEFERRED_INCOME_TAXES_CF</t>
  </si>
  <si>
    <t>Minority Interest - CF</t>
  </si>
  <si>
    <t>ARD_MINORITY_INTEREST_CF</t>
  </si>
  <si>
    <t>Discontinued Operations (Operating)</t>
  </si>
  <si>
    <t>ARD_DISCONTINUED_OPS_OPERATING</t>
  </si>
  <si>
    <t>Other Non-Cash Items</t>
  </si>
  <si>
    <t>ARD_OTHER_NON_CASH_ITEMS</t>
  </si>
  <si>
    <t>Change in Other Current Assets</t>
  </si>
  <si>
    <t>ARD_CHANGE_IN_OTHER_CUR_ASSETS</t>
  </si>
  <si>
    <t>Change in Other Current Liabilities</t>
  </si>
  <si>
    <t>ARD_CHG_IN_OTHER_CURRENT_LIAB</t>
  </si>
  <si>
    <t>Equity In Earnings Of Affiliates/JV-CF</t>
  </si>
  <si>
    <t>ARD_EQY_IN_EARN_OF_AFF_JV_CF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</si>
  <si>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</si>
  <si>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</si>
  <si>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</si>
  <si>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</si>
  <si>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</si>
  <si>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</si>
  <si>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</si>
  <si>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</si>
  <si>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Net Change In Loans</t>
  </si>
  <si>
    <t>ARD_NET_CHANGE_IN_LOANS</t>
  </si>
  <si>
    <t>Increase (Decrease) In Deposits</t>
  </si>
  <si>
    <t>ARD_INCREASE_DECREASE_IN_DEPOSIT</t>
  </si>
  <si>
    <t>Provision For Loan Loss -CF</t>
  </si>
  <si>
    <t>ARD_PROVISION_FOR_LOAN_LOSS_CF</t>
  </si>
  <si>
    <t>Change In Other Assets And Liabilities</t>
  </si>
  <si>
    <t>ARD_CHG_OTH_ASSETS_LIAB</t>
  </si>
  <si>
    <t>Change In Other Provisions</t>
  </si>
  <si>
    <t>ARD_CHANGE_OTHER_PROVISIONS</t>
  </si>
  <si>
    <t>Income Tax Expense</t>
  </si>
  <si>
    <t>ARD_INC_TAX_EXPENSE</t>
  </si>
  <si>
    <t>Interest Expense</t>
  </si>
  <si>
    <t>ARD_INTEREST_EXPENSE</t>
  </si>
  <si>
    <t>Decrease In Interbank Activities &amp; Cash-Assets</t>
  </si>
  <si>
    <t>ARD_DECR_INTERBANK_CASH_ASSETS</t>
  </si>
  <si>
    <t>Change In Other Receivable</t>
  </si>
  <si>
    <t>ARD_CHANGE_IN_OTHER_RECEIVABLE</t>
  </si>
  <si>
    <t>Other Operating Assets</t>
  </si>
  <si>
    <t>ARD_OTHER_OPER_ASSETS</t>
  </si>
  <si>
    <t>Other Operating Liabilities</t>
  </si>
  <si>
    <t>ARD_OTHER_OPERATING_LIABILITIES</t>
  </si>
  <si>
    <t>Profit Before Taxation And Minority Interest</t>
  </si>
  <si>
    <t>ARD_PROF_BEFORE_TAX_MINORITY_INT</t>
  </si>
  <si>
    <t>Tax Paid</t>
  </si>
  <si>
    <t>ARD_TAX_PAID</t>
  </si>
  <si>
    <t>Insurance Payments</t>
  </si>
  <si>
    <t>ARD_INSURANCE_PAYMNTS</t>
  </si>
  <si>
    <t>Change In Other Investments In Securities</t>
  </si>
  <si>
    <t>ARD_CHG_IN_OTH_INVEST_IN_SECS</t>
  </si>
  <si>
    <t>Increase/Decrease In Due To Banks</t>
  </si>
  <si>
    <t>ARD_INCR_DECR_DUE_TO_BANKS</t>
  </si>
  <si>
    <t>Change In Derivatives</t>
  </si>
  <si>
    <t>ARD_CHANGE_IN_DERIVATIVES</t>
  </si>
  <si>
    <t>Secs Sold Under Repurchase Agreements - Invest</t>
  </si>
  <si>
    <t>ARD_SECS_SOLD_UNDER_REPURC_INVST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</si>
  <si>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</si>
  <si>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</si>
  <si>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</si>
  <si>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</si>
  <si>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</si>
  <si>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</si>
  <si>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</si>
  <si>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</si>
  <si>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</si>
  <si>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</si>
  <si>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</si>
  <si>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</si>
  <si>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</si>
  <si>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Divestiture of Business</t>
  </si>
  <si>
    <t>ARD_DIVESTITURE_OF_BUSINESS</t>
  </si>
  <si>
    <t>Proceeds From Sale Of Assocs/Joint Ventures</t>
  </si>
  <si>
    <t>ARD_PROC_FROM_SALE_OF_ASSOC_JV</t>
  </si>
  <si>
    <t>Purchase Of Associates/Joint Ventures</t>
  </si>
  <si>
    <t>ARD_PURCHASE_ASSOC_JOINT_VENTURE</t>
  </si>
  <si>
    <t>Dividend Received From Investing Activities</t>
  </si>
  <si>
    <t>ARD_DIV_REC_INVESTING_ACTIVITIES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</si>
  <si>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</si>
  <si>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</si>
  <si>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</si>
  <si>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</si>
  <si>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</si>
  <si>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Long-Term Borrowings</t>
  </si>
  <si>
    <t>ARD_INCR_IN_LT_BORROW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</si>
  <si>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</si>
  <si>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</si>
  <si>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</si>
  <si>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</si>
  <si>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</si>
  <si>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</si>
  <si>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</si>
  <si>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</si>
  <si>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</si>
  <si>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</si>
  <si>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Sale of Treasury Stock</t>
  </si>
  <si>
    <t>ARD_SALE_OF_TREASURY_STOCK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</si>
  <si>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</si>
  <si>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</si>
  <si>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</si>
  <si>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</si>
  <si>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</si>
  <si>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</si>
  <si>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Increase/Decrease In Subordinated Debts</t>
  </si>
  <si>
    <t>ARD_INCR_DECR_IN_SUBORD_DEBTS</t>
  </si>
  <si>
    <t>Decrease In Borrowings</t>
  </si>
  <si>
    <t>ARD_DECREASE_IN_BORROWINGS</t>
  </si>
  <si>
    <t>Increase In Borrowings</t>
  </si>
  <si>
    <t>ARD_INCREASE_IN_BORROWINGS</t>
  </si>
  <si>
    <t>Return Of Capital To Shareholders</t>
  </si>
  <si>
    <t>ARD_RETURN_OF_CAP_TO_SHAREHOLDER</t>
  </si>
  <si>
    <t>Interest Paid From Financing Activities</t>
  </si>
  <si>
    <t>ARD_INT_PAID_FINANCING_ACTS</t>
  </si>
  <si>
    <t>Total Cash Flows From Financing</t>
  </si>
  <si>
    <t>ARD_TOT_CASHFLOWS_FROM_FINANCING</t>
  </si>
  <si>
    <t>Change In Provisions</t>
  </si>
  <si>
    <t>ARDR_CHANGE_IN_PROVISIONS</t>
  </si>
  <si>
    <t>Grupo Financiero Banorte SAB de CV (GFNORTEO MM) - Profitability</t>
  </si>
  <si>
    <t>Returns</t>
  </si>
  <si>
    <t>Return on Capital</t>
  </si>
  <si>
    <t>RETURN_ON_CAP</t>
  </si>
  <si>
    <t>Margins</t>
  </si>
  <si>
    <t>EBITDA Margin</t>
  </si>
  <si>
    <t>EBITDA_TO_REVENUE</t>
  </si>
  <si>
    <t>Operating Margin</t>
  </si>
  <si>
    <t>OPER_MARGIN</t>
  </si>
  <si>
    <t>Incremental Operating Margin</t>
  </si>
  <si>
    <t>INCREMENTAL_OPERATING_MARGIN</t>
  </si>
  <si>
    <t>Income before XO Margin</t>
  </si>
  <si>
    <t>INC_BEF_XO_ITEMS_TO_NET_SALES</t>
  </si>
  <si>
    <t>Net Income Margin</t>
  </si>
  <si>
    <t>PROF_MARGIN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</si>
  <si>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</si>
  <si>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</si>
  <si>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</si>
  <si>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</si>
  <si>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</si>
  <si>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</si>
  <si>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</si>
  <si>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</si>
  <si>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</si>
  <si>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Grupo Financiero Banorte SAB de CV (GFNORTEO MM) - By Measure</t>
  </si>
  <si>
    <t xml:space="preserve">  Brokerage</t>
  </si>
  <si>
    <t xml:space="preserve">  IXE Solutions</t>
  </si>
  <si>
    <t xml:space="preserve">  Home Mortgage</t>
  </si>
  <si>
    <t xml:space="preserve">  Automotive</t>
  </si>
  <si>
    <t xml:space="preserve">  Funds</t>
  </si>
  <si>
    <t xml:space="preserve">  IXE Bank</t>
  </si>
  <si>
    <t xml:space="preserve">  Creditor</t>
  </si>
  <si>
    <t xml:space="preserve">  Charges</t>
  </si>
  <si>
    <t xml:space="preserve">  IXE Services</t>
  </si>
  <si>
    <t xml:space="preserve">  Warehousing</t>
  </si>
  <si>
    <t xml:space="preserve">  Holding Company</t>
  </si>
  <si>
    <t xml:space="preserve">  Leasing</t>
  </si>
  <si>
    <t xml:space="preserve">  Insurance</t>
  </si>
  <si>
    <t xml:space="preserve">  IXE Stock Exchange</t>
  </si>
  <si>
    <t xml:space="preserve">  Pension Funds</t>
  </si>
  <si>
    <t xml:space="preserve">  Commercial Banking</t>
  </si>
  <si>
    <t>Net Revenues</t>
  </si>
  <si>
    <t xml:space="preserve">  Eliminations</t>
  </si>
  <si>
    <t xml:space="preserve">  Ahorro y Previsin</t>
  </si>
  <si>
    <t xml:space="preserve">  Factoring</t>
  </si>
  <si>
    <t xml:space="preserve">  Small Business Loans</t>
  </si>
  <si>
    <t xml:space="preserve">  Solida Administradora de Portafolios</t>
  </si>
  <si>
    <t>Interest Income</t>
  </si>
  <si>
    <t xml:space="preserve">  Other Credit Organisations</t>
  </si>
  <si>
    <t xml:space="preserve">  Savings</t>
  </si>
  <si>
    <t>Assets</t>
  </si>
  <si>
    <t>Liabilities</t>
  </si>
  <si>
    <t>Grupo Financiero Banorte SAB de CV (GFNORTEO MM) - By Geography</t>
  </si>
  <si>
    <t xml:space="preserve">  Mexico</t>
  </si>
  <si>
    <t>Pretax Income</t>
  </si>
  <si>
    <t>Income Taxes</t>
  </si>
  <si>
    <t>Property/Plant/Equipment</t>
  </si>
  <si>
    <t>Number of Outlets and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</si>
</sst>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"/>
    <numFmt numFmtId="173" formatCode="0.0%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72" fontId="11" fillId="34" borderId="2">
      <alignment horizontal="right"/>
    </xf>
    <xf numFmtId="3" fontId="11" fillId="35" borderId="2">
      <alignment horizontal="right"/>
    </xf>
    <xf numFmtId="172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72" fontId="1" fillId="34" borderId="18">
      <alignment horizontal="right"/>
    </xf>
    <xf numFmtId="173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72" fontId="8" fillId="34" borderId="18">
      <alignment horizontal="right"/>
    </xf>
    <xf numFmtId="173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38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72" fontId="11" fillId="34" borderId="2" xfId="66">
      <alignment horizontal="right"/>
    </xf>
    <xf numFmtId="3" fontId="11" fillId="35" borderId="2" xfId="67">
      <alignment horizontal="right"/>
    </xf>
    <xf numFmtId="172" fontId="11" fillId="35" borderId="2" xfId="68">
      <alignment horizontal="right"/>
    </xf>
    <xf numFmtId="0" fontId="7" fillId="33" borderId="16" xfId="69">
      <alignment horizontal="centerContinuous"/>
    </xf>
    <xf numFmtId="0" fontId="7" fillId="33" borderId="17" xfId="70">
      <alignment horizontal="centerContinuous"/>
    </xf>
    <xf numFmtId="172" fontId="1" fillId="34" borderId="18" xfId="71">
      <alignment horizontal="right"/>
    </xf>
    <xf numFmtId="173" fontId="1" fillId="34" borderId="19" xfId="72">
      <alignment horizontal="right"/>
    </xf>
    <xf numFmtId="4" fontId="1" fillId="34" borderId="18" xfId="73">
      <alignment horizontal="right"/>
    </xf>
    <xf numFmtId="10" fontId="1" fillId="34" borderId="19" xfId="74">
      <alignment horizontal="right"/>
    </xf>
    <xf numFmtId="172" fontId="8" fillId="34" borderId="18" xfId="75">
      <alignment horizontal="right"/>
    </xf>
    <xf numFmtId="173" fontId="8" fillId="34" borderId="19" xfId="76">
      <alignment horizontal="right"/>
    </xf>
    <xf numFmtId="4" fontId="8" fillId="34" borderId="18" xfId="77">
      <alignment horizontal="right"/>
    </xf>
    <xf numFmtId="10" fontId="8" fillId="34" borderId="19" xfId="78">
      <alignment horizontal="right"/>
    </xf>
  </cellXfs>
  <cellStyles count="7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lp_title_header_row_left" xfId="51" xr:uid="{00000000-0005-0000-0000-00001A000000}"/>
    <cellStyle name="Bueno" xfId="38" builtinId="26" customBuiltin="1"/>
    <cellStyle name="Cálculo" xfId="27" builtinId="22" customBuiltin="1"/>
    <cellStyle name="Celda de comprobación" xfId="28" builtinId="23" customBuiltin="1"/>
    <cellStyle name="Celda vinculada" xfId="44" builtinId="24" customBuiltin="1"/>
    <cellStyle name="Encabezado 1" xfId="39" builtinId="16" customBuiltin="1"/>
    <cellStyle name="Encabezado 4" xfId="42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43" builtinId="20" customBuiltin="1"/>
    <cellStyle name="fa_column_header_bottom" xfId="30" xr:uid="{00000000-0005-0000-0000-00001E000000}"/>
    <cellStyle name="fa_column_header_bottom_centered" xfId="70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9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5" xr:uid="{00000000-0005-0000-0000-000027000000}"/>
    <cellStyle name="fa_data_bold_1_percent_single_border" xfId="76" xr:uid="{00000000-0005-0000-0000-000028000000}"/>
    <cellStyle name="fa_data_bold_2_grouped" xfId="61" xr:uid="{00000000-0005-0000-0000-000029000000}"/>
    <cellStyle name="fa_data_bold_2_grouped_single_border" xfId="77" xr:uid="{00000000-0005-0000-0000-00002A000000}"/>
    <cellStyle name="fa_data_bold_2_percent_single_border" xfId="78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0_grouped" xfId="67" xr:uid="{00000000-0005-0000-0000-00002F000000}"/>
    <cellStyle name="fa_data_current_italic_1_grouped" xfId="68" xr:uid="{00000000-0005-0000-0000-000030000000}"/>
    <cellStyle name="fa_data_current_standard_0_grouped" xfId="56" xr:uid="{00000000-0005-0000-0000-000031000000}"/>
    <cellStyle name="fa_data_current_standard_1_grouped" xfId="57" xr:uid="{00000000-0005-0000-0000-000032000000}"/>
    <cellStyle name="fa_data_current_standard_2_grouped" xfId="58" xr:uid="{00000000-0005-0000-0000-000033000000}"/>
    <cellStyle name="fa_data_italic_0_grouped" xfId="65" xr:uid="{00000000-0005-0000-0000-000034000000}"/>
    <cellStyle name="fa_data_italic_1_grouped" xfId="66" xr:uid="{00000000-0005-0000-0000-000035000000}"/>
    <cellStyle name="fa_data_standard_0_grouped" xfId="53" xr:uid="{00000000-0005-0000-0000-000036000000}"/>
    <cellStyle name="fa_data_standard_1_grouped" xfId="54" xr:uid="{00000000-0005-0000-0000-000037000000}"/>
    <cellStyle name="fa_data_standard_1_grouped_single_border" xfId="71" xr:uid="{00000000-0005-0000-0000-000038000000}"/>
    <cellStyle name="fa_data_standard_1_percent_single_border" xfId="72" xr:uid="{00000000-0005-0000-0000-000039000000}"/>
    <cellStyle name="fa_data_standard_2_grouped" xfId="55" xr:uid="{00000000-0005-0000-0000-00003A000000}"/>
    <cellStyle name="fa_data_standard_2_grouped_single_border" xfId="73" xr:uid="{00000000-0005-0000-0000-00003B000000}"/>
    <cellStyle name="fa_data_standard_2_percent_single_border" xfId="74" xr:uid="{00000000-0005-0000-0000-00003C000000}"/>
    <cellStyle name="fa_footer_italic" xfId="34" xr:uid="{00000000-0005-0000-0000-00003D000000}"/>
    <cellStyle name="fa_row_header_bold" xfId="35" xr:uid="{00000000-0005-0000-0000-00003E000000}"/>
    <cellStyle name="fa_row_header_italic" xfId="36" xr:uid="{00000000-0005-0000-0000-00003F000000}"/>
    <cellStyle name="fa_row_header_standard" xfId="37" xr:uid="{00000000-0005-0000-0000-000040000000}"/>
    <cellStyle name="Incorrecto" xfId="25" builtinId="27" customBuiltin="1"/>
    <cellStyle name="Neutral" xfId="45" builtinId="28" customBuiltin="1"/>
    <cellStyle name="Normal" xfId="0" builtinId="0"/>
    <cellStyle name="Notas" xfId="46" builtinId="10" customBuiltin="1"/>
    <cellStyle name="Salida" xfId="47" builtinId="21" customBuiltin="1"/>
    <cellStyle name="Texto de advertencia" xfId="50" builtinId="11" customBuiltin="1"/>
    <cellStyle name="Texto explicativo" xfId="29" builtinId="53" customBuiltin="1"/>
    <cellStyle name="Título" xfId="48" builtinId="15" customBuiltin="1"/>
    <cellStyle name="Título 2" xfId="40" builtinId="17" customBuiltin="1"/>
    <cellStyle name="Título 3" xfId="41" builtinId="18" customBuiltin="1"/>
    <cellStyle name="Total" xfId="4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BDH|12449200788095488687</stp>
        <tr r="W6" s="13"/>
      </tp>
      <tp t="s">
        <v>#N/A N/A</v>
        <stp/>
        <stp>BDH|15630974390678699351</stp>
        <tr r="L6" s="13"/>
      </tp>
      <tp t="s">
        <v>#N/A N/A</v>
        <stp/>
        <stp>BDH|17412612251350065853</stp>
        <tr r="G6" s="13"/>
      </tp>
      <tp t="s">
        <v>#N/A N/A</v>
        <stp/>
        <stp>BDH|11635401290816708688</stp>
        <tr r="U6" s="13"/>
      </tp>
      <tp t="s">
        <v>#N/A N/A</v>
        <stp/>
        <stp>BDH|11683310390074068217</stp>
        <tr r="T6" s="13"/>
      </tp>
      <tp t="s">
        <v>#N/A N/A</v>
        <stp/>
        <stp>BDH|15685676814995460411</stp>
        <tr r="F6" s="13"/>
      </tp>
      <tp t="s">
        <v>#N/A N/A</v>
        <stp/>
        <stp>BDH|10251638372701693077</stp>
        <tr r="J6" s="13"/>
      </tp>
      <tp t="s">
        <v>#N/A N/A</v>
        <stp/>
        <stp>BDH|11723312943957666165</stp>
        <tr r="X6" s="13"/>
      </tp>
      <tp t="s">
        <v>#N/A N/A</v>
        <stp/>
        <stp>BDH|13828746554588603952</stp>
        <tr r="R6" s="13"/>
      </tp>
      <tp t="s">
        <v>#N/A N/A</v>
        <stp/>
        <stp>BDH|18397622288192697010</stp>
        <tr r="N6" s="13"/>
      </tp>
      <tp t="s">
        <v>#N/A N/A</v>
        <stp/>
        <stp>BDH|11194226878002410313</stp>
        <tr r="M6" s="13"/>
      </tp>
    </main>
    <main first="bofaddin.rtdserver">
      <tp t="s">
        <v>#N/A N/A</v>
        <stp/>
        <stp>BDH|9429972551410228966</stp>
        <tr r="I6" s="13"/>
      </tp>
      <tp t="s">
        <v>#N/A N/A</v>
        <stp/>
        <stp>BDH|9238040243638783975</stp>
        <tr r="Q6" s="13"/>
      </tp>
      <tp t="s">
        <v>#N/A N/A</v>
        <stp/>
        <stp>BDH|9929790537591899137</stp>
        <tr r="Z6" s="13"/>
      </tp>
      <tp t="s">
        <v>#N/A N/A</v>
        <stp/>
        <stp>BDH|3236921644367099727</stp>
        <tr r="S6" s="13"/>
      </tp>
    </main>
    <main first="bofaddin.rtdserver">
      <tp t="s">
        <v>#N/A N/A</v>
        <stp/>
        <stp>BDH|8907675710118288809</stp>
        <tr r="H6" s="13"/>
      </tp>
      <tp t="s">
        <v>#N/A N/A</v>
        <stp/>
        <stp>BDH|7320296788822486615</stp>
        <tr r="O6" s="13"/>
      </tp>
      <tp t="s">
        <v>#N/A N/A</v>
        <stp/>
        <stp>BDH|9745666051217414917</stp>
        <tr r="D6" s="13"/>
      </tp>
      <tp t="s">
        <v>#N/A N/A</v>
        <stp/>
        <stp>BDH|5290311288609597046</stp>
        <tr r="C6" s="13"/>
      </tp>
      <tp t="s">
        <v>#N/A N/A</v>
        <stp/>
        <stp>BDH|8044463783332807173</stp>
        <tr r="AA6" s="13"/>
      </tp>
      <tp t="s">
        <v>#N/A N/A</v>
        <stp/>
        <stp>BDH|3214584299091474980</stp>
        <tr r="Y6" s="13"/>
      </tp>
      <tp t="s">
        <v>#N/A N/A</v>
        <stp/>
        <stp>BDH|3843365328853803117</stp>
        <tr r="K6" s="13"/>
      </tp>
      <tp t="s">
        <v>#N/A N/A</v>
        <stp/>
        <stp>BDH|1013191926994222508</stp>
        <tr r="E6" s="13"/>
      </tp>
      <tp t="s">
        <v>#N/A N/A</v>
        <stp/>
        <stp>BDH|214321354507260650</stp>
        <tr r="P6" s="13"/>
      </tp>
    </main>
    <main first="bofaddin.rtdserver">
      <tp t="s">
        <v>#N/A N/A</v>
        <stp/>
        <stp>BDH|569057567782098869</stp>
        <tr r="V6" s="1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opLeftCell="L1" workbookViewId="0">
      <selection activeCell="Z6" sqref="Z6"/>
    </sheetView>
  </sheetViews>
  <sheetFormatPr baseColWidth="10" defaultRowHeight="15" x14ac:dyDescent="0.25"/>
  <cols>
    <col min="1" max="1" width="23.57031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</row>
    <row r="6" spans="1:27" x14ac:dyDescent="0.25">
      <c r="A6" s="6" t="s">
        <v>57</v>
      </c>
      <c r="B6" s="6" t="s">
        <v>58</v>
      </c>
      <c r="C6" s="19">
        <v>12748.1162</v>
      </c>
      <c r="D6" s="19">
        <v>19677.5236</v>
      </c>
      <c r="E6" s="19">
        <v>35391.732600000003</v>
      </c>
      <c r="F6" s="19">
        <v>44963.267500000002</v>
      </c>
      <c r="G6" s="19">
        <v>85264.724000000002</v>
      </c>
      <c r="H6" s="19">
        <v>90984.964000000007</v>
      </c>
      <c r="I6" s="19">
        <v>50108.258999999998</v>
      </c>
      <c r="J6" s="19">
        <v>96533.826700000005</v>
      </c>
      <c r="K6" s="19">
        <v>118799.93670000001</v>
      </c>
      <c r="L6" s="19">
        <v>97879.287400000001</v>
      </c>
      <c r="M6" s="19">
        <v>194138.08</v>
      </c>
      <c r="N6" s="19">
        <v>253407.93290000001</v>
      </c>
      <c r="O6" s="19">
        <v>224870.72579999999</v>
      </c>
      <c r="P6" s="19">
        <v>262026.51930000001</v>
      </c>
      <c r="Q6" s="19">
        <v>281245.21110000001</v>
      </c>
      <c r="R6" s="19">
        <v>299088.071</v>
      </c>
      <c r="S6" s="19">
        <v>273833.76740000001</v>
      </c>
      <c r="T6" s="19">
        <v>302953.83990000002</v>
      </c>
      <c r="U6" s="19">
        <v>312953.58880000003</v>
      </c>
      <c r="V6" s="19">
        <v>380096.47139999998</v>
      </c>
      <c r="W6" s="19">
        <v>399736.92830000003</v>
      </c>
      <c r="X6" s="19">
        <v>489469.23680000001</v>
      </c>
      <c r="Y6" s="19">
        <v>373424.14610000001</v>
      </c>
      <c r="Z6" s="19">
        <v>469628.36180000001</v>
      </c>
      <c r="AA6" s="22">
        <v>540154.19761393999</v>
      </c>
    </row>
    <row r="7" spans="1:27" x14ac:dyDescent="0.25">
      <c r="A7" s="6" t="s">
        <v>59</v>
      </c>
      <c r="B7" s="6" t="s">
        <v>60</v>
      </c>
      <c r="C7" s="19">
        <v>11175.462</v>
      </c>
      <c r="D7" s="19">
        <v>13469.628000000001</v>
      </c>
      <c r="E7" s="19">
        <v>15495</v>
      </c>
      <c r="F7" s="19">
        <v>20495</v>
      </c>
      <c r="G7" s="19">
        <v>26097</v>
      </c>
      <c r="H7" s="19">
        <v>33134.525000000001</v>
      </c>
      <c r="I7" s="19">
        <v>37802</v>
      </c>
      <c r="J7" s="19">
        <v>41366</v>
      </c>
      <c r="K7" s="19">
        <v>46117</v>
      </c>
      <c r="L7" s="19">
        <v>70849</v>
      </c>
      <c r="M7" s="19">
        <v>81881</v>
      </c>
      <c r="N7" s="19">
        <v>106657</v>
      </c>
      <c r="O7" s="19">
        <v>122922</v>
      </c>
      <c r="P7" s="19">
        <v>135452</v>
      </c>
      <c r="Q7" s="19">
        <v>140746</v>
      </c>
      <c r="R7" s="19">
        <v>145752</v>
      </c>
      <c r="S7" s="19">
        <v>172279</v>
      </c>
      <c r="T7" s="19">
        <v>193717</v>
      </c>
      <c r="U7" s="19">
        <v>222242</v>
      </c>
      <c r="V7" s="19">
        <v>234234</v>
      </c>
      <c r="W7" s="19">
        <v>236043</v>
      </c>
      <c r="X7" s="19">
        <v>249353</v>
      </c>
      <c r="Y7" s="19">
        <v>249409</v>
      </c>
      <c r="Z7" s="19">
        <v>249090</v>
      </c>
      <c r="AA7" s="22">
        <v>261132</v>
      </c>
    </row>
    <row r="8" spans="1:27" x14ac:dyDescent="0.25">
      <c r="A8" s="6" t="s">
        <v>61</v>
      </c>
      <c r="B8" s="6" t="s">
        <v>62</v>
      </c>
      <c r="C8" s="19">
        <v>143281.465</v>
      </c>
      <c r="D8" s="19">
        <v>162444.45699999999</v>
      </c>
      <c r="E8" s="19">
        <v>128398</v>
      </c>
      <c r="F8" s="19">
        <v>137438</v>
      </c>
      <c r="G8" s="19">
        <v>169538</v>
      </c>
      <c r="H8" s="19">
        <v>203307.209</v>
      </c>
      <c r="I8" s="19">
        <v>260769</v>
      </c>
      <c r="J8" s="19">
        <v>274908</v>
      </c>
      <c r="K8" s="19">
        <v>292615</v>
      </c>
      <c r="L8" s="19">
        <v>370290</v>
      </c>
      <c r="M8" s="19">
        <v>424325</v>
      </c>
      <c r="N8" s="19">
        <v>443741</v>
      </c>
      <c r="O8" s="19">
        <v>497922</v>
      </c>
      <c r="P8" s="19">
        <v>561462</v>
      </c>
      <c r="Q8" s="19">
        <v>574560</v>
      </c>
      <c r="R8" s="19">
        <v>640821</v>
      </c>
      <c r="S8" s="19">
        <v>756302</v>
      </c>
      <c r="T8" s="19">
        <v>724490</v>
      </c>
      <c r="U8" s="19">
        <v>821712</v>
      </c>
      <c r="V8" s="19">
        <v>799025</v>
      </c>
      <c r="W8" s="19">
        <v>897192</v>
      </c>
      <c r="X8" s="19">
        <v>1056418</v>
      </c>
      <c r="Y8" s="19">
        <v>1133500</v>
      </c>
      <c r="Z8" s="19">
        <v>1242007</v>
      </c>
      <c r="AA8" s="22">
        <v>1243419</v>
      </c>
    </row>
    <row r="9" spans="1:27" x14ac:dyDescent="0.25">
      <c r="A9" s="6" t="s">
        <v>63</v>
      </c>
      <c r="B9" s="6" t="s">
        <v>64</v>
      </c>
      <c r="C9" s="19">
        <v>154730.62599999999</v>
      </c>
      <c r="D9" s="19">
        <v>152498.62100000001</v>
      </c>
      <c r="E9" s="19">
        <v>104117</v>
      </c>
      <c r="F9" s="19">
        <v>116341</v>
      </c>
      <c r="G9" s="19">
        <v>144025</v>
      </c>
      <c r="H9" s="19">
        <v>196531.38500000001</v>
      </c>
      <c r="I9" s="19">
        <v>248295</v>
      </c>
      <c r="J9" s="19">
        <v>245108</v>
      </c>
      <c r="K9" s="19">
        <v>270214</v>
      </c>
      <c r="L9" s="19">
        <v>357507</v>
      </c>
      <c r="M9" s="19">
        <v>409914</v>
      </c>
      <c r="N9" s="19">
        <v>438693</v>
      </c>
      <c r="O9" s="19">
        <v>486061</v>
      </c>
      <c r="P9" s="19">
        <v>530091</v>
      </c>
      <c r="Q9" s="19">
        <v>577117</v>
      </c>
      <c r="R9" s="19">
        <v>622136</v>
      </c>
      <c r="S9" s="19">
        <v>782720</v>
      </c>
      <c r="T9" s="19">
        <v>768059</v>
      </c>
      <c r="U9" s="19">
        <v>799896</v>
      </c>
      <c r="V9" s="19">
        <v>818423</v>
      </c>
      <c r="W9" s="19">
        <v>914762</v>
      </c>
      <c r="X9" s="19">
        <v>1020727</v>
      </c>
      <c r="Y9" s="19">
        <v>1155286</v>
      </c>
      <c r="Z9" s="19">
        <v>1238949</v>
      </c>
      <c r="AA9" s="22">
        <v>1230265</v>
      </c>
    </row>
    <row r="10" spans="1:27" x14ac:dyDescent="0.25">
      <c r="A10" s="6" t="s">
        <v>65</v>
      </c>
      <c r="B10" s="6" t="s">
        <v>66</v>
      </c>
      <c r="C10" s="19">
        <v>199520.74400000001</v>
      </c>
      <c r="D10" s="19">
        <v>213186.59299999999</v>
      </c>
      <c r="E10" s="19">
        <v>176220</v>
      </c>
      <c r="F10" s="19">
        <v>190187</v>
      </c>
      <c r="G10" s="19">
        <v>234437</v>
      </c>
      <c r="H10" s="19">
        <v>287928.28399999999</v>
      </c>
      <c r="I10" s="19">
        <v>577025</v>
      </c>
      <c r="J10" s="19">
        <v>567138</v>
      </c>
      <c r="K10" s="19">
        <v>590558</v>
      </c>
      <c r="L10" s="19">
        <v>829277</v>
      </c>
      <c r="M10" s="19">
        <v>916566</v>
      </c>
      <c r="N10" s="19">
        <v>1006788</v>
      </c>
      <c r="O10" s="19">
        <v>1097982</v>
      </c>
      <c r="P10" s="19">
        <v>1198476</v>
      </c>
      <c r="Q10" s="19">
        <v>1268119</v>
      </c>
      <c r="R10" s="19">
        <v>1354147</v>
      </c>
      <c r="S10" s="19">
        <v>1620470</v>
      </c>
      <c r="T10" s="19">
        <v>1580010</v>
      </c>
      <c r="U10" s="19">
        <v>1787904</v>
      </c>
      <c r="V10" s="19">
        <v>1850879</v>
      </c>
      <c r="W10" s="19">
        <v>2070072</v>
      </c>
      <c r="X10" s="19">
        <v>2274859</v>
      </c>
      <c r="Y10" s="19">
        <v>2471209</v>
      </c>
      <c r="Z10" s="19">
        <v>2598663</v>
      </c>
      <c r="AA10" s="22">
        <v>2635909</v>
      </c>
    </row>
    <row r="11" spans="1:27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21"/>
    </row>
    <row r="12" spans="1:27" x14ac:dyDescent="0.25">
      <c r="A12" s="6" t="s">
        <v>67</v>
      </c>
      <c r="B12" s="6" t="s">
        <v>68</v>
      </c>
      <c r="C12" s="19">
        <v>13838.406000000001</v>
      </c>
      <c r="D12" s="19">
        <v>14652.433999999999</v>
      </c>
      <c r="E12" s="19">
        <v>16762</v>
      </c>
      <c r="F12" s="19">
        <v>7666</v>
      </c>
      <c r="G12" s="19">
        <v>23988</v>
      </c>
      <c r="H12" s="19">
        <v>25282.664000000001</v>
      </c>
      <c r="I12" s="19">
        <v>32202</v>
      </c>
      <c r="J12" s="19">
        <v>33698</v>
      </c>
      <c r="K12" s="19">
        <v>35394</v>
      </c>
      <c r="L12" s="19">
        <v>60296</v>
      </c>
      <c r="M12" s="19">
        <v>70177</v>
      </c>
      <c r="N12" s="19">
        <v>79863</v>
      </c>
      <c r="O12" s="19">
        <v>83910</v>
      </c>
      <c r="P12" s="19">
        <v>85191</v>
      </c>
      <c r="Q12" s="19">
        <v>96708</v>
      </c>
      <c r="R12" s="19">
        <v>116327</v>
      </c>
      <c r="S12" s="19">
        <v>136950</v>
      </c>
      <c r="T12" s="19">
        <v>147974</v>
      </c>
      <c r="U12" s="19">
        <v>154383</v>
      </c>
      <c r="V12" s="19">
        <v>174222</v>
      </c>
      <c r="W12" s="19">
        <v>195022</v>
      </c>
      <c r="X12" s="19">
        <v>214727</v>
      </c>
      <c r="Y12" s="19">
        <v>239231</v>
      </c>
      <c r="Z12" s="19">
        <v>265307</v>
      </c>
      <c r="AA12" s="22">
        <v>269948</v>
      </c>
    </row>
    <row r="13" spans="1:27" x14ac:dyDescent="0.25">
      <c r="A13" s="11" t="s">
        <v>69</v>
      </c>
      <c r="B13" s="11" t="s">
        <v>70</v>
      </c>
      <c r="C13" s="25">
        <v>40.3247</v>
      </c>
      <c r="D13" s="25">
        <v>5.8823999999999996</v>
      </c>
      <c r="E13" s="25">
        <v>14.397399999999999</v>
      </c>
      <c r="F13" s="25">
        <v>-54.265599999999999</v>
      </c>
      <c r="G13" s="25">
        <v>212.91419999999999</v>
      </c>
      <c r="H13" s="25">
        <v>5.3971</v>
      </c>
      <c r="I13" s="25">
        <v>27.367899999999999</v>
      </c>
      <c r="J13" s="25">
        <v>4.6456999999999997</v>
      </c>
      <c r="K13" s="25">
        <v>5.0328999999999997</v>
      </c>
      <c r="L13" s="25">
        <v>70.3566</v>
      </c>
      <c r="M13" s="25">
        <v>16.387499999999999</v>
      </c>
      <c r="N13" s="25">
        <v>13.802199999999999</v>
      </c>
      <c r="O13" s="25">
        <v>5.0674000000000001</v>
      </c>
      <c r="P13" s="25">
        <v>1.5266</v>
      </c>
      <c r="Q13" s="25">
        <v>13.519</v>
      </c>
      <c r="R13" s="25">
        <v>20.286799999999999</v>
      </c>
      <c r="S13" s="25">
        <v>17.7285</v>
      </c>
      <c r="T13" s="25">
        <v>8.0496999999999996</v>
      </c>
      <c r="U13" s="25">
        <v>4.3311999999999999</v>
      </c>
      <c r="V13" s="25">
        <v>12.8505</v>
      </c>
      <c r="W13" s="25">
        <v>11.938800000000001</v>
      </c>
      <c r="X13" s="25">
        <v>10.103999999999999</v>
      </c>
      <c r="Y13" s="25">
        <v>11.4117</v>
      </c>
      <c r="Z13" s="25">
        <v>10.899900000000001</v>
      </c>
      <c r="AA13" s="27">
        <v>10.174762670497699</v>
      </c>
    </row>
    <row r="14" spans="1:27" x14ac:dyDescent="0.25">
      <c r="A14" s="6" t="s">
        <v>71</v>
      </c>
      <c r="B14" s="6" t="s">
        <v>72</v>
      </c>
      <c r="C14" s="19">
        <v>2747.1239999999998</v>
      </c>
      <c r="D14" s="19">
        <v>3330.623</v>
      </c>
      <c r="E14" s="19">
        <v>4525</v>
      </c>
      <c r="F14" s="19">
        <v>-4948</v>
      </c>
      <c r="G14" s="19">
        <v>9187</v>
      </c>
      <c r="H14" s="19">
        <v>10850.429</v>
      </c>
      <c r="I14" s="19">
        <v>15187</v>
      </c>
      <c r="J14" s="19">
        <v>15336</v>
      </c>
      <c r="K14" s="19">
        <v>16155</v>
      </c>
      <c r="L14" s="19">
        <v>18600</v>
      </c>
      <c r="M14" s="19">
        <v>21785</v>
      </c>
      <c r="N14" s="19">
        <v>25646</v>
      </c>
      <c r="O14" s="19">
        <v>31097</v>
      </c>
      <c r="P14" s="19">
        <v>32592</v>
      </c>
      <c r="Q14" s="19">
        <v>38278</v>
      </c>
      <c r="R14" s="19">
        <v>47491</v>
      </c>
      <c r="S14" s="19">
        <v>58649</v>
      </c>
      <c r="T14" s="19">
        <v>64140</v>
      </c>
      <c r="U14" s="19">
        <v>60928</v>
      </c>
      <c r="V14" s="19">
        <v>55044</v>
      </c>
      <c r="W14" s="19">
        <v>72274</v>
      </c>
      <c r="X14" s="19">
        <v>84570</v>
      </c>
      <c r="Y14" s="19">
        <v>93351</v>
      </c>
      <c r="Z14" s="19">
        <v>103139</v>
      </c>
      <c r="AA14" s="22">
        <v>104984</v>
      </c>
    </row>
    <row r="15" spans="1:27" x14ac:dyDescent="0.25">
      <c r="A15" s="11" t="s">
        <v>73</v>
      </c>
      <c r="B15" s="11" t="s">
        <v>72</v>
      </c>
      <c r="C15" s="25">
        <v>19.8514482087026</v>
      </c>
      <c r="D15" s="25">
        <v>22.730851406667298</v>
      </c>
      <c r="E15" s="25">
        <v>26.995585252356499</v>
      </c>
      <c r="F15" s="25">
        <v>-64.544743021132305</v>
      </c>
      <c r="G15" s="25">
        <v>38.298315824578999</v>
      </c>
      <c r="H15" s="25">
        <v>42.916478263524802</v>
      </c>
      <c r="I15" s="25">
        <v>47.161666977206401</v>
      </c>
      <c r="J15" s="25">
        <v>45.510119294913601</v>
      </c>
      <c r="K15" s="25">
        <v>45.643329377860702</v>
      </c>
      <c r="L15" s="25">
        <v>30.847817433992301</v>
      </c>
      <c r="M15" s="25">
        <v>31.042934294711898</v>
      </c>
      <c r="N15" s="25">
        <v>32.112492643652303</v>
      </c>
      <c r="O15" s="25">
        <v>37.059945179358799</v>
      </c>
      <c r="P15" s="25">
        <v>38.2575624185653</v>
      </c>
      <c r="Q15" s="25">
        <v>39.581006741944798</v>
      </c>
      <c r="R15" s="25">
        <v>40.825431757029698</v>
      </c>
      <c r="S15" s="25">
        <v>42.825118656443998</v>
      </c>
      <c r="T15" s="25">
        <v>43.345452579507203</v>
      </c>
      <c r="U15" s="25">
        <v>39.465485189431497</v>
      </c>
      <c r="V15" s="25">
        <v>31.594172951751201</v>
      </c>
      <c r="W15" s="25">
        <v>37.059408682097398</v>
      </c>
      <c r="X15" s="25">
        <v>39.384893376240498</v>
      </c>
      <c r="Y15" s="25">
        <v>39.021280686867499</v>
      </c>
      <c r="Z15" s="25">
        <v>38.875340643104003</v>
      </c>
      <c r="AA15" s="27">
        <v>38.890452976128699</v>
      </c>
    </row>
    <row r="16" spans="1:27" x14ac:dyDescent="0.25">
      <c r="A16" s="6" t="s">
        <v>74</v>
      </c>
      <c r="B16" s="6" t="s">
        <v>75</v>
      </c>
      <c r="C16" s="19">
        <v>1923.3779999999999</v>
      </c>
      <c r="D16" s="19">
        <v>2521.7069999999999</v>
      </c>
      <c r="E16" s="19">
        <v>3332</v>
      </c>
      <c r="F16" s="19">
        <v>6853</v>
      </c>
      <c r="G16" s="19">
        <v>7657</v>
      </c>
      <c r="H16" s="19">
        <v>8204.9519999999993</v>
      </c>
      <c r="I16" s="19">
        <v>8291</v>
      </c>
      <c r="J16" s="19">
        <v>7050</v>
      </c>
      <c r="K16" s="19">
        <v>9266</v>
      </c>
      <c r="L16" s="19">
        <v>13162</v>
      </c>
      <c r="M16" s="19">
        <v>15613</v>
      </c>
      <c r="N16" s="19">
        <v>16704</v>
      </c>
      <c r="O16" s="19">
        <v>19901</v>
      </c>
      <c r="P16" s="19">
        <v>21905</v>
      </c>
      <c r="Q16" s="19">
        <v>24965</v>
      </c>
      <c r="R16" s="19">
        <v>32278</v>
      </c>
      <c r="S16" s="19">
        <v>42570</v>
      </c>
      <c r="T16" s="19">
        <v>48793</v>
      </c>
      <c r="U16" s="19">
        <v>38998</v>
      </c>
      <c r="V16" s="19">
        <v>43693</v>
      </c>
      <c r="W16" s="19">
        <v>60393</v>
      </c>
      <c r="X16" s="19">
        <v>68628</v>
      </c>
      <c r="Y16" s="19">
        <v>75229</v>
      </c>
      <c r="Z16" s="19">
        <v>81550</v>
      </c>
      <c r="AA16" s="22">
        <v>81915</v>
      </c>
    </row>
    <row r="17" spans="1:27" x14ac:dyDescent="0.25">
      <c r="A17" s="11" t="s">
        <v>73</v>
      </c>
      <c r="B17" s="11" t="s">
        <v>75</v>
      </c>
      <c r="C17" s="25">
        <v>13.8988406612727</v>
      </c>
      <c r="D17" s="25">
        <v>17.210157711681202</v>
      </c>
      <c r="E17" s="25">
        <v>19.878296146044601</v>
      </c>
      <c r="F17" s="25">
        <v>89.394729976519699</v>
      </c>
      <c r="G17" s="25">
        <v>31.920126730031701</v>
      </c>
      <c r="H17" s="25">
        <v>32.452877592329699</v>
      </c>
      <c r="I17" s="25">
        <v>25.746848021862</v>
      </c>
      <c r="J17" s="25">
        <v>20.921122915306501</v>
      </c>
      <c r="K17" s="25">
        <v>26.179578459625901</v>
      </c>
      <c r="L17" s="25">
        <v>21.828977046570301</v>
      </c>
      <c r="M17" s="25">
        <v>22.248029981332898</v>
      </c>
      <c r="N17" s="25">
        <v>20.9158183389054</v>
      </c>
      <c r="O17" s="25">
        <v>23.717077821475399</v>
      </c>
      <c r="P17" s="25">
        <v>25.7128100386191</v>
      </c>
      <c r="Q17" s="25">
        <v>25.814824006287001</v>
      </c>
      <c r="R17" s="25">
        <v>27.747642421793699</v>
      </c>
      <c r="S17" s="25">
        <v>31.0843373493976</v>
      </c>
      <c r="T17" s="25">
        <v>32.974035979293703</v>
      </c>
      <c r="U17" s="25">
        <v>25.260553299262199</v>
      </c>
      <c r="V17" s="25">
        <v>25.078922294543698</v>
      </c>
      <c r="W17" s="25">
        <v>30.9672754868681</v>
      </c>
      <c r="X17" s="25">
        <v>31.9605825070904</v>
      </c>
      <c r="Y17" s="25">
        <v>31.44617545385</v>
      </c>
      <c r="Z17" s="25">
        <v>30.737975251312601</v>
      </c>
      <c r="AA17" s="27">
        <v>30.344733059700399</v>
      </c>
    </row>
    <row r="18" spans="1:27" x14ac:dyDescent="0.25">
      <c r="A18" s="6" t="s">
        <v>76</v>
      </c>
      <c r="B18" s="6" t="s">
        <v>77</v>
      </c>
      <c r="C18" s="19">
        <v>2015.8630000000001</v>
      </c>
      <c r="D18" s="19">
        <v>2218.4899999999998</v>
      </c>
      <c r="E18" s="19">
        <v>2621</v>
      </c>
      <c r="F18" s="19">
        <v>5717</v>
      </c>
      <c r="G18" s="19">
        <v>5959</v>
      </c>
      <c r="H18" s="19">
        <v>6810.2650000000003</v>
      </c>
      <c r="I18" s="19">
        <v>7014</v>
      </c>
      <c r="J18" s="19">
        <v>5854</v>
      </c>
      <c r="K18" s="19">
        <v>6705</v>
      </c>
      <c r="L18" s="19">
        <v>8517</v>
      </c>
      <c r="M18" s="19">
        <v>10888</v>
      </c>
      <c r="N18" s="19">
        <v>13508</v>
      </c>
      <c r="O18" s="19">
        <v>15228</v>
      </c>
      <c r="P18" s="19">
        <v>16875</v>
      </c>
      <c r="Q18" s="19">
        <v>19065</v>
      </c>
      <c r="R18" s="19">
        <v>24052.799999999999</v>
      </c>
      <c r="S18" s="19">
        <v>31891.5</v>
      </c>
      <c r="T18" s="19">
        <v>37001.9</v>
      </c>
      <c r="U18" s="19">
        <v>30546.5</v>
      </c>
      <c r="V18" s="19">
        <v>34957.699999999997</v>
      </c>
      <c r="W18" s="19">
        <v>44967.7</v>
      </c>
      <c r="X18" s="19">
        <v>51764.9</v>
      </c>
      <c r="Y18" s="19">
        <v>56781.2</v>
      </c>
      <c r="Z18" s="19">
        <v>60734.2</v>
      </c>
      <c r="AA18" s="22">
        <v>60763.1</v>
      </c>
    </row>
    <row r="19" spans="1:27" x14ac:dyDescent="0.25">
      <c r="A19" s="11" t="s">
        <v>73</v>
      </c>
      <c r="B19" s="11" t="s">
        <v>77</v>
      </c>
      <c r="C19" s="25">
        <v>14.5671618537569</v>
      </c>
      <c r="D19" s="25">
        <v>15.140760913852301</v>
      </c>
      <c r="E19" s="25">
        <v>15.636558883188201</v>
      </c>
      <c r="F19" s="25">
        <v>74.576050091312297</v>
      </c>
      <c r="G19" s="25">
        <v>24.841587460396902</v>
      </c>
      <c r="H19" s="25">
        <v>26.936500837095299</v>
      </c>
      <c r="I19" s="25">
        <v>21.781255822619698</v>
      </c>
      <c r="J19" s="25">
        <v>17.371950857617701</v>
      </c>
      <c r="K19" s="25">
        <v>18.943888794711</v>
      </c>
      <c r="L19" s="25">
        <v>14.125315112113601</v>
      </c>
      <c r="M19" s="25">
        <v>15.5150547900309</v>
      </c>
      <c r="N19" s="25">
        <v>16.913965165345701</v>
      </c>
      <c r="O19" s="25">
        <v>18.1480157311405</v>
      </c>
      <c r="P19" s="25">
        <v>19.808430468007199</v>
      </c>
      <c r="Q19" s="25">
        <v>19.713984365305901</v>
      </c>
      <c r="R19" s="25">
        <v>20.676884988007899</v>
      </c>
      <c r="S19" s="25">
        <v>23.286966046002199</v>
      </c>
      <c r="T19" s="25">
        <v>25.005676672928999</v>
      </c>
      <c r="U19" s="25">
        <v>19.786181120978299</v>
      </c>
      <c r="V19" s="25">
        <v>20.065031970703998</v>
      </c>
      <c r="W19" s="25">
        <v>23.0577575863236</v>
      </c>
      <c r="X19" s="25">
        <v>24.1073083496719</v>
      </c>
      <c r="Y19" s="25">
        <v>23.734883857025199</v>
      </c>
      <c r="Z19" s="25">
        <v>22.892045818617699</v>
      </c>
      <c r="AA19" s="27">
        <v>22.509186954524601</v>
      </c>
    </row>
    <row r="20" spans="1:27" x14ac:dyDescent="0.25">
      <c r="A20" s="6" t="s">
        <v>78</v>
      </c>
      <c r="B20" s="6" t="s">
        <v>79</v>
      </c>
      <c r="C20" s="20">
        <v>0.80259999999999998</v>
      </c>
      <c r="D20" s="20">
        <v>1.1047</v>
      </c>
      <c r="E20" s="20" t="s">
        <v>80</v>
      </c>
      <c r="F20" s="20">
        <v>2.8330000000000002</v>
      </c>
      <c r="G20" s="20">
        <v>2.952</v>
      </c>
      <c r="H20" s="20">
        <v>3.5358000000000001</v>
      </c>
      <c r="I20" s="20">
        <v>3.4775</v>
      </c>
      <c r="J20" s="20">
        <v>2.9020999999999999</v>
      </c>
      <c r="K20" s="20">
        <v>3.3222</v>
      </c>
      <c r="L20" s="20">
        <v>3.7867999999999999</v>
      </c>
      <c r="M20" s="20">
        <v>4.68</v>
      </c>
      <c r="N20" s="20">
        <v>5.35</v>
      </c>
      <c r="O20" s="20">
        <v>5.49</v>
      </c>
      <c r="P20" s="20">
        <v>6.0838999999999999</v>
      </c>
      <c r="Q20" s="20">
        <v>6.8734000000000002</v>
      </c>
      <c r="R20" s="20">
        <v>8.6722000000000001</v>
      </c>
      <c r="S20" s="20">
        <v>11.0602</v>
      </c>
      <c r="T20" s="20">
        <v>12.914999999999999</v>
      </c>
      <c r="U20" s="20">
        <v>10.73</v>
      </c>
      <c r="V20" s="20">
        <v>12.2339</v>
      </c>
      <c r="W20" s="20">
        <v>15.5951</v>
      </c>
      <c r="X20" s="20">
        <v>17.952400000000001</v>
      </c>
      <c r="Y20" s="20">
        <v>19.927800000000001</v>
      </c>
      <c r="Z20" s="20">
        <v>21.4755</v>
      </c>
      <c r="AA20" s="23">
        <v>21.483595000000001</v>
      </c>
    </row>
    <row r="21" spans="1:27" x14ac:dyDescent="0.25">
      <c r="A21" s="11" t="s">
        <v>69</v>
      </c>
      <c r="B21" s="11" t="s">
        <v>79</v>
      </c>
      <c r="C21" s="25" t="s">
        <v>80</v>
      </c>
      <c r="D21" s="25">
        <v>37.636799928236101</v>
      </c>
      <c r="E21" s="25" t="s">
        <v>80</v>
      </c>
      <c r="F21" s="25" t="s">
        <v>80</v>
      </c>
      <c r="G21" s="25">
        <v>4.20049417578538</v>
      </c>
      <c r="H21" s="25">
        <v>19.775846883468802</v>
      </c>
      <c r="I21" s="25">
        <v>-1.6483760457019001</v>
      </c>
      <c r="J21" s="25">
        <v>-16.546369518332099</v>
      </c>
      <c r="K21" s="25">
        <v>14.4757244753799</v>
      </c>
      <c r="L21" s="25">
        <v>13.9847089278189</v>
      </c>
      <c r="M21" s="25">
        <v>23.587197633886099</v>
      </c>
      <c r="N21" s="25">
        <v>14.316239316239299</v>
      </c>
      <c r="O21" s="25">
        <v>2.6168224299065499</v>
      </c>
      <c r="P21" s="25">
        <v>10.8172131147541</v>
      </c>
      <c r="Q21" s="25">
        <v>12.977786324976</v>
      </c>
      <c r="R21" s="25">
        <v>26.1702187092997</v>
      </c>
      <c r="S21" s="25">
        <v>27.535756769559399</v>
      </c>
      <c r="T21" s="25">
        <v>16.770741402408099</v>
      </c>
      <c r="U21" s="25">
        <v>-16.918897297350899</v>
      </c>
      <c r="V21" s="25">
        <v>14.016634372328401</v>
      </c>
      <c r="W21" s="25">
        <v>27.473904744747198</v>
      </c>
      <c r="X21" s="25">
        <v>15.1157414072027</v>
      </c>
      <c r="Y21" s="25">
        <v>11.003807462376701</v>
      </c>
      <c r="Z21" s="25">
        <v>7.7662275385639301</v>
      </c>
      <c r="AA21" s="27">
        <v>4.8727603002549502</v>
      </c>
    </row>
    <row r="22" spans="1:27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1"/>
    </row>
    <row r="23" spans="1:27" x14ac:dyDescent="0.25">
      <c r="A23" s="6" t="s">
        <v>81</v>
      </c>
      <c r="B23" s="6" t="s">
        <v>82</v>
      </c>
      <c r="C23" s="20" t="s">
        <v>80</v>
      </c>
      <c r="D23" s="20" t="s">
        <v>80</v>
      </c>
      <c r="E23" s="20" t="s">
        <v>80</v>
      </c>
      <c r="F23" s="20" t="s">
        <v>80</v>
      </c>
      <c r="G23" s="20" t="s">
        <v>80</v>
      </c>
      <c r="H23" s="20" t="s">
        <v>80</v>
      </c>
      <c r="I23" s="20" t="s">
        <v>80</v>
      </c>
      <c r="J23" s="20" t="s">
        <v>80</v>
      </c>
      <c r="K23" s="20" t="s">
        <v>80</v>
      </c>
      <c r="L23" s="20" t="s">
        <v>80</v>
      </c>
      <c r="M23" s="20" t="s">
        <v>80</v>
      </c>
      <c r="N23" s="20" t="s">
        <v>80</v>
      </c>
      <c r="O23" s="20">
        <v>13.7354</v>
      </c>
      <c r="P23" s="20">
        <v>11.206099999999999</v>
      </c>
      <c r="Q23" s="20">
        <v>12.0876</v>
      </c>
      <c r="R23" s="20">
        <v>11.93</v>
      </c>
      <c r="S23" s="20">
        <v>12.71</v>
      </c>
      <c r="T23" s="20">
        <v>12.74</v>
      </c>
      <c r="U23" s="20">
        <v>13.91</v>
      </c>
      <c r="V23" s="20">
        <v>15.32</v>
      </c>
      <c r="W23" s="20">
        <v>15.15</v>
      </c>
      <c r="X23" s="20">
        <v>14.71</v>
      </c>
      <c r="Y23" s="20">
        <v>13.21</v>
      </c>
      <c r="Z23" s="20">
        <v>12.61</v>
      </c>
      <c r="AA23" s="23">
        <v>12.74</v>
      </c>
    </row>
    <row r="24" spans="1:27" x14ac:dyDescent="0.25">
      <c r="A24" s="6" t="s">
        <v>83</v>
      </c>
      <c r="B24" s="6" t="s">
        <v>84</v>
      </c>
      <c r="C24" s="20" t="s">
        <v>80</v>
      </c>
      <c r="D24" s="20" t="s">
        <v>80</v>
      </c>
      <c r="E24" s="20">
        <v>16.2</v>
      </c>
      <c r="F24" s="20">
        <v>16.100000000000001</v>
      </c>
      <c r="G24" s="20">
        <v>17.399999999999999</v>
      </c>
      <c r="H24" s="20">
        <v>16</v>
      </c>
      <c r="I24" s="20">
        <v>9.4</v>
      </c>
      <c r="J24" s="20" t="s">
        <v>80</v>
      </c>
      <c r="K24" s="20" t="s">
        <v>80</v>
      </c>
      <c r="L24" s="20">
        <v>10.76</v>
      </c>
      <c r="M24" s="20">
        <v>11.74</v>
      </c>
      <c r="N24" s="20">
        <v>12.73</v>
      </c>
      <c r="O24" s="20">
        <v>13.7</v>
      </c>
      <c r="P24" s="20">
        <v>13.2</v>
      </c>
      <c r="Q24" s="20">
        <v>12.68</v>
      </c>
      <c r="R24" s="20">
        <v>15.12</v>
      </c>
      <c r="S24" s="20">
        <v>15.23</v>
      </c>
      <c r="T24" s="20">
        <v>17.45</v>
      </c>
      <c r="U24" s="20">
        <v>19.239999999999998</v>
      </c>
      <c r="V24" s="20">
        <v>23.78</v>
      </c>
      <c r="W24" s="20">
        <v>22.47</v>
      </c>
      <c r="X24" s="20">
        <v>20.45</v>
      </c>
      <c r="Y24" s="20">
        <v>21.56</v>
      </c>
      <c r="Z24" s="20">
        <v>19.66</v>
      </c>
      <c r="AA24" s="23">
        <v>19.329999999999998</v>
      </c>
    </row>
    <row r="25" spans="1:27" x14ac:dyDescent="0.25">
      <c r="A25" s="6" t="s">
        <v>85</v>
      </c>
      <c r="B25" s="6" t="s">
        <v>86</v>
      </c>
      <c r="C25" s="20" t="s">
        <v>80</v>
      </c>
      <c r="D25" s="20" t="s">
        <v>80</v>
      </c>
      <c r="E25" s="20">
        <v>20.8</v>
      </c>
      <c r="F25" s="20">
        <v>21.2</v>
      </c>
      <c r="G25" s="20">
        <v>24</v>
      </c>
      <c r="H25" s="20">
        <v>13.8</v>
      </c>
      <c r="I25" s="20">
        <v>14.3</v>
      </c>
      <c r="J25" s="20">
        <v>24.42</v>
      </c>
      <c r="K25" s="20">
        <v>23.68</v>
      </c>
      <c r="L25" s="20">
        <v>12.9</v>
      </c>
      <c r="M25" s="20">
        <v>14.65</v>
      </c>
      <c r="N25" s="20">
        <v>15.12</v>
      </c>
      <c r="O25" s="20">
        <v>13.7</v>
      </c>
      <c r="P25" s="20">
        <v>13.2</v>
      </c>
      <c r="Q25" s="20">
        <v>12.68</v>
      </c>
      <c r="R25" s="20">
        <v>17.23</v>
      </c>
      <c r="S25" s="20">
        <v>17.170000000000002</v>
      </c>
      <c r="T25" s="20">
        <v>18.55</v>
      </c>
      <c r="U25" s="20">
        <v>20.2</v>
      </c>
      <c r="V25" s="20">
        <v>24.69</v>
      </c>
      <c r="W25" s="20">
        <v>22.86</v>
      </c>
      <c r="X25" s="20">
        <v>20.69</v>
      </c>
      <c r="Y25" s="20">
        <v>21.78</v>
      </c>
      <c r="Z25" s="20">
        <v>20.059999999999999</v>
      </c>
      <c r="AA25" s="23">
        <v>19.739999999999998</v>
      </c>
    </row>
    <row r="26" spans="1:27" x14ac:dyDescent="0.25">
      <c r="A26" s="7" t="s">
        <v>87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6"/>
  <sheetViews>
    <sheetView tabSelected="1" workbookViewId="0">
      <selection activeCell="H16" sqref="H16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90</v>
      </c>
      <c r="D4" s="4" t="s">
        <v>7</v>
      </c>
      <c r="E4" s="4" t="s">
        <v>8</v>
      </c>
      <c r="F4" s="4" t="s">
        <v>9</v>
      </c>
      <c r="G4" s="4" t="s">
        <v>4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31</v>
      </c>
      <c r="B5" s="9"/>
      <c r="C5" s="5" t="s">
        <v>91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  <c r="AA5" s="5" t="s">
        <v>55</v>
      </c>
    </row>
    <row r="6" spans="1:27" x14ac:dyDescent="0.25">
      <c r="A6" s="10" t="s">
        <v>92</v>
      </c>
      <c r="B6" s="10" t="s">
        <v>93</v>
      </c>
      <c r="C6" s="13">
        <v>5988.1005999999998</v>
      </c>
      <c r="D6" s="13">
        <v>8525.17</v>
      </c>
      <c r="E6" s="13">
        <v>8709.5149999999994</v>
      </c>
      <c r="F6" s="13">
        <v>9514</v>
      </c>
      <c r="G6" s="13">
        <v>0</v>
      </c>
      <c r="H6" s="13">
        <v>14284</v>
      </c>
      <c r="I6" s="13">
        <v>17383.526000000002</v>
      </c>
      <c r="J6" s="13">
        <v>22627</v>
      </c>
      <c r="K6" s="13">
        <v>23183</v>
      </c>
      <c r="L6" s="13">
        <v>22732</v>
      </c>
      <c r="M6" s="13">
        <v>28375</v>
      </c>
      <c r="N6" s="13">
        <v>32420</v>
      </c>
      <c r="O6" s="13">
        <v>36792</v>
      </c>
      <c r="P6" s="13">
        <v>44718</v>
      </c>
      <c r="Q6" s="13">
        <v>45660</v>
      </c>
      <c r="R6" s="13">
        <v>52881</v>
      </c>
      <c r="S6" s="13">
        <v>65874</v>
      </c>
      <c r="T6" s="13">
        <v>76829</v>
      </c>
      <c r="U6" s="13">
        <v>81821</v>
      </c>
      <c r="V6" s="13">
        <v>85695</v>
      </c>
      <c r="W6" s="13">
        <v>93953</v>
      </c>
      <c r="X6" s="13">
        <v>116159</v>
      </c>
      <c r="Y6" s="13">
        <v>127482</v>
      </c>
      <c r="Z6" s="13">
        <v>138316</v>
      </c>
      <c r="AA6" s="13">
        <v>146578</v>
      </c>
    </row>
    <row r="7" spans="1:27" x14ac:dyDescent="0.25">
      <c r="A7" s="10" t="s">
        <v>94</v>
      </c>
      <c r="B7" s="10" t="s">
        <v>95</v>
      </c>
      <c r="C7" s="13">
        <v>3873.6001000000001</v>
      </c>
      <c r="D7" s="13">
        <v>5313.2359999999999</v>
      </c>
      <c r="E7" s="13">
        <v>5942.9189999999999</v>
      </c>
      <c r="F7" s="13">
        <v>7248</v>
      </c>
      <c r="G7" s="13">
        <v>7666</v>
      </c>
      <c r="H7" s="13">
        <v>9704</v>
      </c>
      <c r="I7" s="13">
        <v>7899.1379999999999</v>
      </c>
      <c r="J7" s="13">
        <v>9575</v>
      </c>
      <c r="K7" s="13">
        <v>10515</v>
      </c>
      <c r="L7" s="13">
        <v>12662</v>
      </c>
      <c r="M7" s="13">
        <v>31921</v>
      </c>
      <c r="N7" s="13">
        <v>37757</v>
      </c>
      <c r="O7" s="13">
        <v>43071</v>
      </c>
      <c r="P7" s="13">
        <v>39192</v>
      </c>
      <c r="Q7" s="13">
        <v>39531</v>
      </c>
      <c r="R7" s="13">
        <v>43827</v>
      </c>
      <c r="S7" s="13">
        <v>50453</v>
      </c>
      <c r="T7" s="13">
        <v>60121</v>
      </c>
      <c r="U7" s="13">
        <v>66153</v>
      </c>
      <c r="V7" s="13">
        <v>68688</v>
      </c>
      <c r="W7" s="13">
        <v>80269</v>
      </c>
      <c r="X7" s="13">
        <v>78863</v>
      </c>
      <c r="Y7" s="13">
        <v>87245</v>
      </c>
      <c r="Z7" s="13">
        <v>100915</v>
      </c>
      <c r="AA7" s="13">
        <v>118729</v>
      </c>
    </row>
    <row r="8" spans="1:27" x14ac:dyDescent="0.25">
      <c r="A8" s="10" t="s">
        <v>96</v>
      </c>
      <c r="B8" s="10" t="s">
        <v>68</v>
      </c>
      <c r="C8" s="13">
        <v>9861.7006000000001</v>
      </c>
      <c r="D8" s="13">
        <v>13838.406000000001</v>
      </c>
      <c r="E8" s="13">
        <v>14652.433999999999</v>
      </c>
      <c r="F8" s="13">
        <v>16762</v>
      </c>
      <c r="G8" s="13">
        <v>7666</v>
      </c>
      <c r="H8" s="13">
        <v>23988</v>
      </c>
      <c r="I8" s="13">
        <v>25282.664000000001</v>
      </c>
      <c r="J8" s="13">
        <v>32202</v>
      </c>
      <c r="K8" s="13">
        <v>33698</v>
      </c>
      <c r="L8" s="13">
        <v>35394</v>
      </c>
      <c r="M8" s="13">
        <v>60296</v>
      </c>
      <c r="N8" s="13">
        <v>70177</v>
      </c>
      <c r="O8" s="13">
        <v>79863</v>
      </c>
      <c r="P8" s="13">
        <v>83910</v>
      </c>
      <c r="Q8" s="13">
        <v>85191</v>
      </c>
      <c r="R8" s="13">
        <v>96708</v>
      </c>
      <c r="S8" s="13">
        <v>116327</v>
      </c>
      <c r="T8" s="13">
        <v>136950</v>
      </c>
      <c r="U8" s="13">
        <v>147974</v>
      </c>
      <c r="V8" s="13">
        <v>154383</v>
      </c>
      <c r="W8" s="13">
        <v>174222</v>
      </c>
      <c r="X8" s="13">
        <v>195022</v>
      </c>
      <c r="Y8" s="13">
        <v>214727</v>
      </c>
      <c r="Z8" s="13">
        <v>239231</v>
      </c>
      <c r="AA8" s="13">
        <v>265307</v>
      </c>
    </row>
    <row r="9" spans="1:27" x14ac:dyDescent="0.25">
      <c r="A9" s="10" t="s">
        <v>97</v>
      </c>
      <c r="B9" s="10" t="s">
        <v>98</v>
      </c>
      <c r="C9" s="13" t="s">
        <v>80</v>
      </c>
      <c r="D9" s="13" t="s">
        <v>80</v>
      </c>
      <c r="E9" s="13" t="s">
        <v>80</v>
      </c>
      <c r="F9" s="13" t="s">
        <v>80</v>
      </c>
      <c r="G9" s="13">
        <v>0</v>
      </c>
      <c r="H9" s="13">
        <v>22294</v>
      </c>
      <c r="I9" s="13">
        <v>25282.664000000001</v>
      </c>
      <c r="J9" s="13">
        <v>30994</v>
      </c>
      <c r="K9" s="13">
        <v>32360</v>
      </c>
      <c r="L9" s="13">
        <v>33846</v>
      </c>
      <c r="M9" s="13">
        <v>57417</v>
      </c>
      <c r="N9" s="13">
        <v>66411</v>
      </c>
      <c r="O9" s="13">
        <v>75569</v>
      </c>
      <c r="P9" s="13">
        <v>79643</v>
      </c>
      <c r="Q9" s="13">
        <v>80344</v>
      </c>
      <c r="R9" s="13">
        <v>90652</v>
      </c>
      <c r="S9" s="13">
        <v>108769</v>
      </c>
      <c r="T9" s="13">
        <v>127424</v>
      </c>
      <c r="U9" s="13">
        <v>137922</v>
      </c>
      <c r="V9" s="13">
        <v>143599</v>
      </c>
      <c r="W9" s="13">
        <v>160595</v>
      </c>
      <c r="X9" s="13">
        <v>179717</v>
      </c>
      <c r="Y9" s="13">
        <v>196608</v>
      </c>
      <c r="Z9" s="13">
        <v>218380</v>
      </c>
      <c r="AA9" s="13">
        <v>244842</v>
      </c>
    </row>
    <row r="10" spans="1:27" x14ac:dyDescent="0.25">
      <c r="A10" s="10" t="s">
        <v>99</v>
      </c>
      <c r="B10" s="10" t="s">
        <v>100</v>
      </c>
      <c r="C10" s="13">
        <v>1049</v>
      </c>
      <c r="D10" s="13">
        <v>823.74599999999998</v>
      </c>
      <c r="E10" s="13">
        <v>808.91600000000005</v>
      </c>
      <c r="F10" s="13">
        <v>1193</v>
      </c>
      <c r="G10" s="13">
        <v>1446</v>
      </c>
      <c r="H10" s="13">
        <v>1530</v>
      </c>
      <c r="I10" s="13">
        <v>2645.4769999999999</v>
      </c>
      <c r="J10" s="13">
        <v>6896</v>
      </c>
      <c r="K10" s="13">
        <v>8286</v>
      </c>
      <c r="L10" s="13">
        <v>6889</v>
      </c>
      <c r="M10" s="13">
        <v>5438</v>
      </c>
      <c r="N10" s="13">
        <v>6172</v>
      </c>
      <c r="O10" s="13">
        <v>8942</v>
      </c>
      <c r="P10" s="13">
        <v>11196</v>
      </c>
      <c r="Q10" s="13">
        <v>10687</v>
      </c>
      <c r="R10" s="13">
        <v>13313</v>
      </c>
      <c r="S10" s="13">
        <v>15213</v>
      </c>
      <c r="T10" s="13">
        <v>16079</v>
      </c>
      <c r="U10" s="13">
        <v>15347</v>
      </c>
      <c r="V10" s="13">
        <v>21930</v>
      </c>
      <c r="W10" s="13">
        <v>11351</v>
      </c>
      <c r="X10" s="13">
        <v>11881</v>
      </c>
      <c r="Y10" s="13">
        <v>15942</v>
      </c>
      <c r="Z10" s="13">
        <v>18122</v>
      </c>
      <c r="AA10" s="13">
        <v>21589</v>
      </c>
    </row>
    <row r="11" spans="1:27" x14ac:dyDescent="0.25">
      <c r="A11" s="10" t="s">
        <v>101</v>
      </c>
      <c r="B11" s="10" t="s">
        <v>102</v>
      </c>
      <c r="C11" s="13">
        <v>2891.8998999999999</v>
      </c>
      <c r="D11" s="13" t="s">
        <v>80</v>
      </c>
      <c r="E11" s="13" t="s">
        <v>80</v>
      </c>
      <c r="F11" s="13">
        <v>4698</v>
      </c>
      <c r="G11" s="13">
        <v>4365</v>
      </c>
      <c r="H11" s="13">
        <v>4785</v>
      </c>
      <c r="I11" s="13">
        <v>14432.235000000001</v>
      </c>
      <c r="J11" s="13" t="s">
        <v>80</v>
      </c>
      <c r="K11" s="13" t="s">
        <v>80</v>
      </c>
      <c r="L11" s="13" t="s">
        <v>80</v>
      </c>
      <c r="M11" s="13" t="s">
        <v>80</v>
      </c>
      <c r="N11" s="13">
        <v>10398</v>
      </c>
      <c r="O11" s="13">
        <v>13077</v>
      </c>
      <c r="P11" s="13">
        <v>12986</v>
      </c>
      <c r="Q11" s="13">
        <v>12404</v>
      </c>
      <c r="R11" s="13">
        <v>12876</v>
      </c>
      <c r="S11" s="13">
        <v>13447</v>
      </c>
      <c r="T11" s="13">
        <v>15022</v>
      </c>
      <c r="U11" s="13">
        <v>15862</v>
      </c>
      <c r="V11" s="13">
        <v>16517</v>
      </c>
      <c r="W11" s="13">
        <v>17348</v>
      </c>
      <c r="X11" s="13">
        <v>19580</v>
      </c>
      <c r="Y11" s="13">
        <v>22013</v>
      </c>
      <c r="Z11" s="13">
        <v>0</v>
      </c>
      <c r="AA11" s="13">
        <v>0</v>
      </c>
    </row>
    <row r="12" spans="1:27" x14ac:dyDescent="0.25">
      <c r="A12" s="10" t="s">
        <v>103</v>
      </c>
      <c r="B12" s="10" t="s">
        <v>104</v>
      </c>
      <c r="C12" s="13">
        <v>7722.3001999999997</v>
      </c>
      <c r="D12" s="13">
        <v>11091.281999999999</v>
      </c>
      <c r="E12" s="13">
        <v>11321.811</v>
      </c>
      <c r="F12" s="13">
        <v>12237</v>
      </c>
      <c r="G12" s="13">
        <v>12614</v>
      </c>
      <c r="H12" s="13">
        <v>14801</v>
      </c>
      <c r="I12" s="13">
        <v>14432.235000000001</v>
      </c>
      <c r="J12" s="13">
        <v>17015</v>
      </c>
      <c r="K12" s="13">
        <v>18362</v>
      </c>
      <c r="L12" s="13">
        <v>19239</v>
      </c>
      <c r="M12" s="13">
        <v>41696</v>
      </c>
      <c r="N12" s="13">
        <v>48392</v>
      </c>
      <c r="O12" s="13">
        <v>54217</v>
      </c>
      <c r="P12" s="13">
        <v>52813</v>
      </c>
      <c r="Q12" s="13">
        <v>52599</v>
      </c>
      <c r="R12" s="13">
        <v>58430</v>
      </c>
      <c r="S12" s="13">
        <v>69170</v>
      </c>
      <c r="T12" s="13">
        <v>78206</v>
      </c>
      <c r="U12" s="13">
        <v>84511</v>
      </c>
      <c r="V12" s="13">
        <v>93510</v>
      </c>
      <c r="W12" s="13">
        <v>119049</v>
      </c>
      <c r="X12" s="13">
        <v>122119</v>
      </c>
      <c r="Y12" s="13">
        <v>129224</v>
      </c>
      <c r="Z12" s="13">
        <v>145266</v>
      </c>
      <c r="AA12" s="13">
        <v>161824</v>
      </c>
    </row>
    <row r="13" spans="1:27" x14ac:dyDescent="0.25">
      <c r="A13" s="10" t="s">
        <v>105</v>
      </c>
      <c r="B13" s="10" t="s">
        <v>77</v>
      </c>
      <c r="C13" s="13">
        <v>1504</v>
      </c>
      <c r="D13" s="13">
        <v>2015.8630000000001</v>
      </c>
      <c r="E13" s="13">
        <v>2218.4899999999998</v>
      </c>
      <c r="F13" s="13">
        <v>2621</v>
      </c>
      <c r="G13" s="13">
        <v>5717</v>
      </c>
      <c r="H13" s="13">
        <v>5959</v>
      </c>
      <c r="I13" s="13">
        <v>6810.2650000000003</v>
      </c>
      <c r="J13" s="13">
        <v>7014</v>
      </c>
      <c r="K13" s="13">
        <v>5854</v>
      </c>
      <c r="L13" s="13">
        <v>6705</v>
      </c>
      <c r="M13" s="13">
        <v>8517</v>
      </c>
      <c r="N13" s="13">
        <v>10888</v>
      </c>
      <c r="O13" s="13">
        <v>13508</v>
      </c>
      <c r="P13" s="13">
        <v>15228</v>
      </c>
      <c r="Q13" s="13">
        <v>17108</v>
      </c>
      <c r="R13" s="13">
        <v>19308</v>
      </c>
      <c r="S13" s="13">
        <v>23908</v>
      </c>
      <c r="T13" s="13">
        <v>31958</v>
      </c>
      <c r="U13" s="13">
        <v>36528</v>
      </c>
      <c r="V13" s="13">
        <v>30508</v>
      </c>
      <c r="W13" s="13">
        <v>35048</v>
      </c>
      <c r="X13" s="13">
        <v>45408</v>
      </c>
      <c r="Y13" s="13">
        <v>52418</v>
      </c>
      <c r="Z13" s="13">
        <v>56188</v>
      </c>
      <c r="AA13" s="13">
        <v>58788</v>
      </c>
    </row>
    <row r="14" spans="1:27" x14ac:dyDescent="0.25">
      <c r="A14" s="10" t="s">
        <v>106</v>
      </c>
      <c r="B14" s="10" t="s">
        <v>107</v>
      </c>
      <c r="C14" s="14">
        <v>0.75180000000000002</v>
      </c>
      <c r="D14" s="14">
        <v>1.0081</v>
      </c>
      <c r="E14" s="14">
        <v>1.1051</v>
      </c>
      <c r="F14" s="14">
        <v>1.2975000000000001</v>
      </c>
      <c r="G14" s="14">
        <v>2.8330000000000002</v>
      </c>
      <c r="H14" s="14">
        <v>2.952</v>
      </c>
      <c r="I14" s="14">
        <v>3.3742999999999999</v>
      </c>
      <c r="J14" s="14">
        <v>3.4775</v>
      </c>
      <c r="K14" s="14">
        <v>2.9020999999999999</v>
      </c>
      <c r="L14" s="14">
        <v>3.3222</v>
      </c>
      <c r="M14" s="14">
        <v>3.7867999999999999</v>
      </c>
      <c r="N14" s="14">
        <v>4.68</v>
      </c>
      <c r="O14" s="14">
        <v>5.35</v>
      </c>
      <c r="P14" s="14">
        <v>5.49</v>
      </c>
      <c r="Q14" s="14">
        <v>6.1707999999999998</v>
      </c>
      <c r="R14" s="14">
        <v>6.9610000000000003</v>
      </c>
      <c r="S14" s="14">
        <v>8.6999999999999993</v>
      </c>
      <c r="T14" s="14">
        <v>11.0832</v>
      </c>
      <c r="U14" s="14">
        <v>12.749599999999999</v>
      </c>
      <c r="V14" s="14">
        <v>10.7164</v>
      </c>
      <c r="W14" s="14">
        <v>12.265499999999999</v>
      </c>
      <c r="X14" s="14">
        <v>15.8954</v>
      </c>
      <c r="Y14" s="14">
        <v>18.178899999999999</v>
      </c>
      <c r="Z14" s="14">
        <v>19.72</v>
      </c>
      <c r="AA14" s="14">
        <v>20.786999999999999</v>
      </c>
    </row>
    <row r="15" spans="1:27" x14ac:dyDescent="0.25">
      <c r="A15" s="10" t="s">
        <v>108</v>
      </c>
      <c r="B15" s="10" t="s">
        <v>109</v>
      </c>
      <c r="C15" s="14" t="s">
        <v>80</v>
      </c>
      <c r="D15" s="14">
        <v>1.0081</v>
      </c>
      <c r="E15" s="14">
        <v>1.1051</v>
      </c>
      <c r="F15" s="14" t="s">
        <v>80</v>
      </c>
      <c r="G15" s="14">
        <v>2.8330000000000002</v>
      </c>
      <c r="H15" s="14">
        <v>2.952</v>
      </c>
      <c r="I15" s="14">
        <v>3.3742999999999999</v>
      </c>
      <c r="J15" s="14">
        <v>3.4775</v>
      </c>
      <c r="K15" s="14">
        <v>2.9020999999999999</v>
      </c>
      <c r="L15" s="14">
        <v>3.3222</v>
      </c>
      <c r="M15" s="14">
        <v>3.7867999999999999</v>
      </c>
      <c r="N15" s="14">
        <v>4.68</v>
      </c>
      <c r="O15" s="14">
        <v>5.35</v>
      </c>
      <c r="P15" s="14">
        <v>5.49</v>
      </c>
      <c r="Q15" s="14">
        <v>6.1707999999999998</v>
      </c>
      <c r="R15" s="14">
        <v>6.9610000000000003</v>
      </c>
      <c r="S15" s="14">
        <v>8.6199999999999992</v>
      </c>
      <c r="T15" s="14">
        <v>11.0832</v>
      </c>
      <c r="U15" s="14">
        <v>12.749599999999999</v>
      </c>
      <c r="V15" s="14">
        <v>10.7164</v>
      </c>
      <c r="W15" s="14">
        <v>12.265499999999999</v>
      </c>
      <c r="X15" s="14">
        <v>15.7478</v>
      </c>
      <c r="Y15" s="14">
        <v>18.178899999999999</v>
      </c>
      <c r="Z15" s="14">
        <v>19.72</v>
      </c>
      <c r="AA15" s="14">
        <v>20.786999999999999</v>
      </c>
    </row>
    <row r="16" spans="1:27" x14ac:dyDescent="0.25">
      <c r="A16" s="10" t="s">
        <v>110</v>
      </c>
      <c r="B16" s="10" t="s">
        <v>111</v>
      </c>
      <c r="C16" s="13">
        <v>2000.4</v>
      </c>
      <c r="D16" s="13">
        <v>1999.7045000000001</v>
      </c>
      <c r="E16" s="13">
        <v>2007.57</v>
      </c>
      <c r="F16" s="13">
        <v>2018.4</v>
      </c>
      <c r="G16" s="13">
        <v>2018.1</v>
      </c>
      <c r="H16" s="13">
        <v>2018.327</v>
      </c>
      <c r="I16" s="13">
        <v>2018.3</v>
      </c>
      <c r="J16" s="13">
        <v>2016.9592</v>
      </c>
      <c r="K16" s="13">
        <v>2017.1321</v>
      </c>
      <c r="L16" s="13">
        <v>2018.2575999999999</v>
      </c>
      <c r="M16" s="13">
        <v>2249.1039999999998</v>
      </c>
      <c r="N16" s="13">
        <v>2326.4</v>
      </c>
      <c r="O16" s="13">
        <v>2526.1</v>
      </c>
      <c r="P16" s="13">
        <v>2772.5</v>
      </c>
      <c r="Q16" s="13">
        <v>2773.73</v>
      </c>
      <c r="R16" s="13">
        <v>2773.73</v>
      </c>
      <c r="S16" s="13">
        <v>2749.03</v>
      </c>
      <c r="T16" s="13">
        <v>2883.4569999999999</v>
      </c>
      <c r="U16" s="13">
        <v>2865.0257999999999</v>
      </c>
      <c r="V16" s="13">
        <v>2846.8443000000002</v>
      </c>
      <c r="W16" s="13">
        <v>2857.4385000000002</v>
      </c>
      <c r="X16" s="13">
        <v>2856.6812</v>
      </c>
      <c r="Y16" s="13">
        <v>2883.4566</v>
      </c>
      <c r="Z16" s="13">
        <v>2849.3429999999998</v>
      </c>
      <c r="AA16" s="13">
        <v>2828.0742</v>
      </c>
    </row>
    <row r="17" spans="1:27" x14ac:dyDescent="0.25">
      <c r="A17" s="10" t="s">
        <v>112</v>
      </c>
      <c r="B17" s="10" t="s">
        <v>113</v>
      </c>
      <c r="C17" s="13" t="s">
        <v>80</v>
      </c>
      <c r="D17" s="13">
        <v>1999.7045000000001</v>
      </c>
      <c r="E17" s="13">
        <v>2007.57</v>
      </c>
      <c r="F17" s="13" t="s">
        <v>80</v>
      </c>
      <c r="G17" s="13">
        <v>2018.1</v>
      </c>
      <c r="H17" s="13">
        <v>2018.327</v>
      </c>
      <c r="I17" s="13">
        <v>2018.3</v>
      </c>
      <c r="J17" s="13">
        <v>2016.9592</v>
      </c>
      <c r="K17" s="13">
        <v>2017.1321</v>
      </c>
      <c r="L17" s="13">
        <v>2018.2575999999999</v>
      </c>
      <c r="M17" s="13">
        <v>2249.1039999999998</v>
      </c>
      <c r="N17" s="13">
        <v>2326.4</v>
      </c>
      <c r="O17" s="13">
        <v>2526.1</v>
      </c>
      <c r="P17" s="13">
        <v>2773</v>
      </c>
      <c r="Q17" s="13">
        <v>2773.73</v>
      </c>
      <c r="R17" s="13">
        <v>2773.73</v>
      </c>
      <c r="S17" s="13">
        <v>2773.73</v>
      </c>
      <c r="T17" s="13">
        <v>2883.4569999999999</v>
      </c>
      <c r="U17" s="13">
        <v>2865.0257999999999</v>
      </c>
      <c r="V17" s="13">
        <v>2846.8443000000002</v>
      </c>
      <c r="W17" s="13">
        <v>2857.4385000000002</v>
      </c>
      <c r="X17" s="13">
        <v>2883.4566</v>
      </c>
      <c r="Y17" s="13">
        <v>2883.4566</v>
      </c>
      <c r="Z17" s="13">
        <v>2849.3429999999998</v>
      </c>
      <c r="AA17" s="13">
        <v>2828.0742</v>
      </c>
    </row>
    <row r="18" spans="1:27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x14ac:dyDescent="0.25">
      <c r="A19" s="10" t="s">
        <v>63</v>
      </c>
      <c r="B19" s="10" t="s">
        <v>64</v>
      </c>
      <c r="C19" s="13">
        <v>83703</v>
      </c>
      <c r="D19" s="13">
        <v>154730.62599999999</v>
      </c>
      <c r="E19" s="13">
        <v>152498.62100000001</v>
      </c>
      <c r="F19" s="13">
        <v>104117</v>
      </c>
      <c r="G19" s="13">
        <v>116341</v>
      </c>
      <c r="H19" s="13">
        <v>144025</v>
      </c>
      <c r="I19" s="13">
        <v>196531.38500000001</v>
      </c>
      <c r="J19" s="13">
        <v>248295</v>
      </c>
      <c r="K19" s="13">
        <v>245108</v>
      </c>
      <c r="L19" s="13">
        <v>270214</v>
      </c>
      <c r="M19" s="13">
        <v>357507</v>
      </c>
      <c r="N19" s="13">
        <v>409914</v>
      </c>
      <c r="O19" s="13">
        <v>438693</v>
      </c>
      <c r="P19" s="13">
        <v>486061</v>
      </c>
      <c r="Q19" s="13">
        <v>530091</v>
      </c>
      <c r="R19" s="13">
        <v>577117</v>
      </c>
      <c r="S19" s="13">
        <v>622136</v>
      </c>
      <c r="T19" s="13">
        <v>782720</v>
      </c>
      <c r="U19" s="13">
        <v>768059</v>
      </c>
      <c r="V19" s="13">
        <v>799896</v>
      </c>
      <c r="W19" s="13">
        <v>818423</v>
      </c>
      <c r="X19" s="13">
        <v>914762</v>
      </c>
      <c r="Y19" s="13">
        <v>1020727</v>
      </c>
      <c r="Z19" s="13">
        <v>1155286</v>
      </c>
      <c r="AA19" s="13">
        <v>1238949</v>
      </c>
    </row>
    <row r="20" spans="1:27" x14ac:dyDescent="0.25">
      <c r="A20" s="10" t="s">
        <v>114</v>
      </c>
      <c r="B20" s="10" t="s">
        <v>115</v>
      </c>
      <c r="C20" s="13">
        <v>79209</v>
      </c>
      <c r="D20" s="13">
        <v>149121.899</v>
      </c>
      <c r="E20" s="13">
        <v>148182.47</v>
      </c>
      <c r="F20" s="13">
        <v>101365</v>
      </c>
      <c r="G20" s="13">
        <v>113274</v>
      </c>
      <c r="H20" s="13">
        <v>140492</v>
      </c>
      <c r="I20" s="13">
        <v>192745.323</v>
      </c>
      <c r="J20" s="13">
        <v>241605</v>
      </c>
      <c r="K20" s="13">
        <v>237573</v>
      </c>
      <c r="L20" s="13">
        <v>261969</v>
      </c>
      <c r="M20" s="13">
        <v>347563</v>
      </c>
      <c r="N20" s="13">
        <v>398180</v>
      </c>
      <c r="O20" s="13">
        <v>424404</v>
      </c>
      <c r="P20" s="13">
        <v>470775</v>
      </c>
      <c r="Q20" s="13">
        <v>516278</v>
      </c>
      <c r="R20" s="13">
        <v>562733</v>
      </c>
      <c r="S20" s="13">
        <v>606014</v>
      </c>
      <c r="T20" s="13">
        <v>763876</v>
      </c>
      <c r="U20" s="13">
        <v>750420</v>
      </c>
      <c r="V20" s="13">
        <v>779892</v>
      </c>
      <c r="W20" s="13">
        <v>802172</v>
      </c>
      <c r="X20" s="13">
        <v>896863</v>
      </c>
      <c r="Y20" s="13">
        <v>1000870</v>
      </c>
      <c r="Z20" s="13">
        <v>1134852</v>
      </c>
      <c r="AA20" s="13">
        <v>1214852</v>
      </c>
    </row>
    <row r="21" spans="1:27" x14ac:dyDescent="0.25">
      <c r="A21" s="10" t="s">
        <v>116</v>
      </c>
      <c r="B21" s="10" t="s">
        <v>117</v>
      </c>
      <c r="C21" s="13">
        <v>93404</v>
      </c>
      <c r="D21" s="13">
        <v>168647.43900000001</v>
      </c>
      <c r="E21" s="13">
        <v>173470.95800000001</v>
      </c>
      <c r="F21" s="13">
        <v>125947</v>
      </c>
      <c r="G21" s="13">
        <v>141475</v>
      </c>
      <c r="H21" s="13">
        <v>169697</v>
      </c>
      <c r="I21" s="13">
        <v>218583.606</v>
      </c>
      <c r="J21" s="13">
        <v>488562</v>
      </c>
      <c r="K21" s="13">
        <v>471608</v>
      </c>
      <c r="L21" s="13">
        <v>489762</v>
      </c>
      <c r="M21" s="13">
        <v>696007</v>
      </c>
      <c r="N21" s="13">
        <v>766678</v>
      </c>
      <c r="O21" s="13">
        <v>853784</v>
      </c>
      <c r="P21" s="13">
        <v>919452</v>
      </c>
      <c r="Q21" s="13">
        <v>972602</v>
      </c>
      <c r="R21" s="13">
        <v>1035901</v>
      </c>
      <c r="S21" s="13">
        <v>1132305</v>
      </c>
      <c r="T21" s="13">
        <v>1392603</v>
      </c>
      <c r="U21" s="13">
        <v>1362571</v>
      </c>
      <c r="V21" s="13">
        <v>1481005</v>
      </c>
      <c r="W21" s="13">
        <v>1588670</v>
      </c>
      <c r="X21" s="13">
        <v>1791145</v>
      </c>
      <c r="Y21" s="13">
        <v>2025884</v>
      </c>
      <c r="Z21" s="13">
        <v>2179194</v>
      </c>
      <c r="AA21" s="13">
        <v>2316293</v>
      </c>
    </row>
    <row r="22" spans="1:27" x14ac:dyDescent="0.25">
      <c r="A22" s="10" t="s">
        <v>65</v>
      </c>
      <c r="B22" s="10" t="s">
        <v>66</v>
      </c>
      <c r="C22" s="13">
        <v>105408</v>
      </c>
      <c r="D22" s="13">
        <v>199520.74400000001</v>
      </c>
      <c r="E22" s="13">
        <v>213186.59299999999</v>
      </c>
      <c r="F22" s="13">
        <v>176220</v>
      </c>
      <c r="G22" s="13">
        <v>190187</v>
      </c>
      <c r="H22" s="13">
        <v>234437</v>
      </c>
      <c r="I22" s="13">
        <v>287928.28399999999</v>
      </c>
      <c r="J22" s="13">
        <v>577025</v>
      </c>
      <c r="K22" s="13">
        <v>567138</v>
      </c>
      <c r="L22" s="13">
        <v>590558</v>
      </c>
      <c r="M22" s="13">
        <v>829277</v>
      </c>
      <c r="N22" s="13">
        <v>916566</v>
      </c>
      <c r="O22" s="13">
        <v>1006788</v>
      </c>
      <c r="P22" s="13">
        <v>1097982</v>
      </c>
      <c r="Q22" s="13">
        <v>1198476</v>
      </c>
      <c r="R22" s="13">
        <v>1268119</v>
      </c>
      <c r="S22" s="13">
        <v>1354147</v>
      </c>
      <c r="T22" s="13">
        <v>1620470</v>
      </c>
      <c r="U22" s="13">
        <v>1580010</v>
      </c>
      <c r="V22" s="13">
        <v>1787904</v>
      </c>
      <c r="W22" s="13">
        <v>1850879</v>
      </c>
      <c r="X22" s="13">
        <v>2070072</v>
      </c>
      <c r="Y22" s="13">
        <v>2274859</v>
      </c>
      <c r="Z22" s="13">
        <v>2471209</v>
      </c>
      <c r="AA22" s="13">
        <v>2598663</v>
      </c>
    </row>
    <row r="23" spans="1:27" x14ac:dyDescent="0.25">
      <c r="A23" s="10" t="s">
        <v>61</v>
      </c>
      <c r="B23" s="10" t="s">
        <v>62</v>
      </c>
      <c r="C23" s="13">
        <v>75555</v>
      </c>
      <c r="D23" s="13">
        <v>143281.465</v>
      </c>
      <c r="E23" s="13">
        <v>162444.45699999999</v>
      </c>
      <c r="F23" s="13">
        <v>128398</v>
      </c>
      <c r="G23" s="13">
        <v>137438</v>
      </c>
      <c r="H23" s="13">
        <v>169538</v>
      </c>
      <c r="I23" s="13">
        <v>203307.209</v>
      </c>
      <c r="J23" s="13">
        <v>260769</v>
      </c>
      <c r="K23" s="13">
        <v>274908</v>
      </c>
      <c r="L23" s="13">
        <v>292615</v>
      </c>
      <c r="M23" s="13">
        <v>370290</v>
      </c>
      <c r="N23" s="13">
        <v>424325</v>
      </c>
      <c r="O23" s="13">
        <v>443741</v>
      </c>
      <c r="P23" s="13">
        <v>497922</v>
      </c>
      <c r="Q23" s="13">
        <v>561462</v>
      </c>
      <c r="R23" s="13">
        <v>574560</v>
      </c>
      <c r="S23" s="13">
        <v>640821</v>
      </c>
      <c r="T23" s="13">
        <v>756302</v>
      </c>
      <c r="U23" s="13">
        <v>724490</v>
      </c>
      <c r="V23" s="13">
        <v>821712</v>
      </c>
      <c r="W23" s="13">
        <v>799025</v>
      </c>
      <c r="X23" s="13">
        <v>897192</v>
      </c>
      <c r="Y23" s="13">
        <v>1056418</v>
      </c>
      <c r="Z23" s="13">
        <v>1133500</v>
      </c>
      <c r="AA23" s="13">
        <v>1242007</v>
      </c>
    </row>
    <row r="24" spans="1:27" x14ac:dyDescent="0.25">
      <c r="A24" s="10" t="s">
        <v>118</v>
      </c>
      <c r="B24" s="10" t="s">
        <v>119</v>
      </c>
      <c r="C24" s="13">
        <v>17610</v>
      </c>
      <c r="D24" s="13">
        <v>40179.432000000001</v>
      </c>
      <c r="E24" s="13">
        <v>32262.424999999999</v>
      </c>
      <c r="F24" s="13">
        <v>27729</v>
      </c>
      <c r="G24" s="13">
        <v>24904</v>
      </c>
      <c r="H24" s="13">
        <v>28216</v>
      </c>
      <c r="I24" s="13">
        <v>33760.398999999998</v>
      </c>
      <c r="J24" s="13">
        <v>250023</v>
      </c>
      <c r="K24" s="13">
        <v>224618</v>
      </c>
      <c r="L24" s="13">
        <v>223008</v>
      </c>
      <c r="M24" s="13">
        <v>295778</v>
      </c>
      <c r="N24" s="13">
        <v>299427</v>
      </c>
      <c r="O24" s="13">
        <v>352089</v>
      </c>
      <c r="P24" s="13">
        <v>353308</v>
      </c>
      <c r="Q24" s="13">
        <v>363574</v>
      </c>
      <c r="R24" s="13">
        <v>369330</v>
      </c>
      <c r="S24" s="13">
        <v>368056</v>
      </c>
      <c r="T24" s="13">
        <v>461778</v>
      </c>
      <c r="U24" s="13">
        <v>431176</v>
      </c>
      <c r="V24" s="13">
        <v>410373</v>
      </c>
      <c r="W24" s="13">
        <v>462771</v>
      </c>
      <c r="X24" s="13">
        <v>551758</v>
      </c>
      <c r="Y24" s="13">
        <v>561667</v>
      </c>
      <c r="Z24" s="13">
        <v>638712</v>
      </c>
      <c r="AA24" s="13">
        <v>635948</v>
      </c>
    </row>
    <row r="25" spans="1:27" x14ac:dyDescent="0.25">
      <c r="A25" s="10" t="s">
        <v>120</v>
      </c>
      <c r="B25" s="10" t="s">
        <v>121</v>
      </c>
      <c r="C25" s="13">
        <v>95549</v>
      </c>
      <c r="D25" s="13">
        <v>187529.87899999999</v>
      </c>
      <c r="E25" s="13">
        <v>198825.97500000001</v>
      </c>
      <c r="F25" s="13">
        <v>159851</v>
      </c>
      <c r="G25" s="13">
        <v>168713</v>
      </c>
      <c r="H25" s="13">
        <v>206932</v>
      </c>
      <c r="I25" s="13">
        <v>253126.88699999999</v>
      </c>
      <c r="J25" s="13">
        <v>537279</v>
      </c>
      <c r="K25" s="13">
        <v>522164</v>
      </c>
      <c r="L25" s="13">
        <v>540331</v>
      </c>
      <c r="M25" s="13">
        <v>752195</v>
      </c>
      <c r="N25" s="13">
        <v>828057</v>
      </c>
      <c r="O25" s="13">
        <v>898097</v>
      </c>
      <c r="P25" s="13">
        <v>973310</v>
      </c>
      <c r="Q25" s="13">
        <v>1061124</v>
      </c>
      <c r="R25" s="13">
        <v>1125418</v>
      </c>
      <c r="S25" s="13">
        <v>1206563</v>
      </c>
      <c r="T25" s="13">
        <v>1446006</v>
      </c>
      <c r="U25" s="13">
        <v>1384012</v>
      </c>
      <c r="V25" s="13">
        <v>1562800</v>
      </c>
      <c r="W25" s="13">
        <v>1613639</v>
      </c>
      <c r="X25" s="13">
        <v>1831040</v>
      </c>
      <c r="Y25" s="13">
        <v>2025654</v>
      </c>
      <c r="Z25" s="13">
        <v>2222781</v>
      </c>
      <c r="AA25" s="13">
        <v>2346450</v>
      </c>
    </row>
    <row r="26" spans="1:27" x14ac:dyDescent="0.25">
      <c r="A26" s="10" t="s">
        <v>122</v>
      </c>
      <c r="B26" s="10" t="s">
        <v>123</v>
      </c>
      <c r="C26" s="13">
        <v>9859</v>
      </c>
      <c r="D26" s="13">
        <v>11990.865</v>
      </c>
      <c r="E26" s="13">
        <v>14360.618</v>
      </c>
      <c r="F26" s="13">
        <v>16369</v>
      </c>
      <c r="G26" s="13">
        <v>21474</v>
      </c>
      <c r="H26" s="13">
        <v>27505</v>
      </c>
      <c r="I26" s="13">
        <v>34801.396999999997</v>
      </c>
      <c r="J26" s="13">
        <v>39746</v>
      </c>
      <c r="K26" s="13">
        <v>44974</v>
      </c>
      <c r="L26" s="13">
        <v>50227</v>
      </c>
      <c r="M26" s="13">
        <v>77082</v>
      </c>
      <c r="N26" s="13">
        <v>88509</v>
      </c>
      <c r="O26" s="13">
        <v>108691</v>
      </c>
      <c r="P26" s="13">
        <v>124672</v>
      </c>
      <c r="Q26" s="13">
        <v>137352</v>
      </c>
      <c r="R26" s="13">
        <v>142701</v>
      </c>
      <c r="S26" s="13">
        <v>147584</v>
      </c>
      <c r="T26" s="13">
        <v>174464</v>
      </c>
      <c r="U26" s="13">
        <v>195998</v>
      </c>
      <c r="V26" s="13">
        <v>225104</v>
      </c>
      <c r="W26" s="13">
        <v>237240</v>
      </c>
      <c r="X26" s="13">
        <v>239032</v>
      </c>
      <c r="Y26" s="13">
        <v>249205</v>
      </c>
      <c r="Z26" s="13">
        <v>248428</v>
      </c>
      <c r="AA26" s="13">
        <v>252213</v>
      </c>
    </row>
    <row r="27" spans="1:27" x14ac:dyDescent="0.25">
      <c r="A27" s="10" t="s">
        <v>124</v>
      </c>
      <c r="B27" s="10" t="s">
        <v>125</v>
      </c>
      <c r="C27" s="13">
        <v>2000.4880000000001</v>
      </c>
      <c r="D27" s="13">
        <v>1999.7045000000001</v>
      </c>
      <c r="E27" s="13">
        <v>2018.2075</v>
      </c>
      <c r="F27" s="13">
        <v>2018.348</v>
      </c>
      <c r="G27" s="13">
        <v>2018.1</v>
      </c>
      <c r="H27" s="13">
        <v>2018.1</v>
      </c>
      <c r="I27" s="13">
        <v>2018.3</v>
      </c>
      <c r="J27" s="13">
        <v>2013.9974999999999</v>
      </c>
      <c r="K27" s="13">
        <v>2017.8475000000001</v>
      </c>
      <c r="L27" s="13">
        <v>2018.3475000000001</v>
      </c>
      <c r="M27" s="13">
        <v>2312.8375999999998</v>
      </c>
      <c r="N27" s="13">
        <v>2326.4</v>
      </c>
      <c r="O27" s="13">
        <v>2773.7296000000001</v>
      </c>
      <c r="P27" s="13">
        <v>2769.3438999999998</v>
      </c>
      <c r="Q27" s="13">
        <v>2758.4643000000001</v>
      </c>
      <c r="R27" s="13">
        <v>2749.2201</v>
      </c>
      <c r="S27" s="13">
        <v>2773.7</v>
      </c>
      <c r="T27" s="13">
        <v>2858.9868999999999</v>
      </c>
      <c r="U27" s="13">
        <v>2867.5232999999998</v>
      </c>
      <c r="V27" s="13">
        <v>2846.8443000000002</v>
      </c>
      <c r="W27" s="13">
        <v>2857.4385000000002</v>
      </c>
      <c r="X27" s="13">
        <v>2857.1005</v>
      </c>
      <c r="Y27" s="13">
        <v>2866.4162000000001</v>
      </c>
      <c r="Z27" s="13">
        <v>2787.3714</v>
      </c>
      <c r="AA27" s="13">
        <v>2813.1565999999998</v>
      </c>
    </row>
    <row r="28" spans="1:27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x14ac:dyDescent="0.25">
      <c r="A29" s="10" t="s">
        <v>126</v>
      </c>
      <c r="B29" s="10" t="s">
        <v>127</v>
      </c>
      <c r="C29" s="13">
        <v>-2696.6001000000001</v>
      </c>
      <c r="D29" s="13">
        <v>19703.196</v>
      </c>
      <c r="E29" s="13">
        <v>-12006.117</v>
      </c>
      <c r="F29" s="13">
        <v>6611</v>
      </c>
      <c r="G29" s="13">
        <v>-93</v>
      </c>
      <c r="H29" s="13">
        <v>3025</v>
      </c>
      <c r="I29" s="13">
        <v>1525.3969999999999</v>
      </c>
      <c r="J29" s="13">
        <v>2884</v>
      </c>
      <c r="K29" s="13">
        <v>2425</v>
      </c>
      <c r="L29" s="13">
        <v>19771</v>
      </c>
      <c r="M29" s="13">
        <v>12955</v>
      </c>
      <c r="N29" s="13">
        <v>12103</v>
      </c>
      <c r="O29" s="13">
        <v>619</v>
      </c>
      <c r="P29" s="13">
        <v>9642</v>
      </c>
      <c r="Q29" s="13">
        <v>23241</v>
      </c>
      <c r="R29" s="13">
        <v>-7497</v>
      </c>
      <c r="S29" s="13">
        <v>-933</v>
      </c>
      <c r="T29" s="13">
        <v>24591</v>
      </c>
      <c r="U29" s="13">
        <v>24248</v>
      </c>
      <c r="V29" s="13">
        <v>-10631</v>
      </c>
      <c r="W29" s="13">
        <v>53972</v>
      </c>
      <c r="X29" s="13">
        <v>79995</v>
      </c>
      <c r="Y29" s="13">
        <v>5304</v>
      </c>
      <c r="Z29" s="13">
        <v>104091</v>
      </c>
      <c r="AA29" s="13">
        <v>73606</v>
      </c>
    </row>
    <row r="30" spans="1:27" x14ac:dyDescent="0.25">
      <c r="A30" s="10" t="s">
        <v>128</v>
      </c>
      <c r="B30" s="10" t="s">
        <v>129</v>
      </c>
      <c r="C30" s="13">
        <v>-1128.5999999999999</v>
      </c>
      <c r="D30" s="13">
        <v>-68466.548999999999</v>
      </c>
      <c r="E30" s="13">
        <v>4861.6350000000002</v>
      </c>
      <c r="F30" s="13">
        <v>-902</v>
      </c>
      <c r="G30" s="13">
        <v>-786</v>
      </c>
      <c r="H30" s="13">
        <v>-5913</v>
      </c>
      <c r="I30" s="13">
        <v>-2536.7710000000002</v>
      </c>
      <c r="J30" s="13">
        <v>-58380</v>
      </c>
      <c r="K30" s="13">
        <v>-9538</v>
      </c>
      <c r="L30" s="13">
        <v>-34074</v>
      </c>
      <c r="M30" s="13">
        <v>-91533</v>
      </c>
      <c r="N30" s="13">
        <v>-54885</v>
      </c>
      <c r="O30" s="13">
        <v>-53699</v>
      </c>
      <c r="P30" s="13">
        <v>-46483</v>
      </c>
      <c r="Q30" s="13">
        <v>-46160</v>
      </c>
      <c r="R30" s="13">
        <v>-65729</v>
      </c>
      <c r="S30" s="13">
        <v>-50045</v>
      </c>
      <c r="T30" s="13">
        <v>-35328</v>
      </c>
      <c r="U30" s="13">
        <v>10597</v>
      </c>
      <c r="V30" s="13">
        <v>-37947</v>
      </c>
      <c r="W30" s="13">
        <v>-25022</v>
      </c>
      <c r="X30" s="13">
        <v>-111482</v>
      </c>
      <c r="Y30" s="13">
        <v>-116882</v>
      </c>
      <c r="Z30" s="13">
        <v>-157061</v>
      </c>
      <c r="AA30" s="13">
        <v>-107761</v>
      </c>
    </row>
    <row r="31" spans="1:27" x14ac:dyDescent="0.25">
      <c r="A31" s="10" t="s">
        <v>130</v>
      </c>
      <c r="B31" s="10" t="s">
        <v>131</v>
      </c>
      <c r="C31" s="13">
        <v>1505.4</v>
      </c>
      <c r="D31" s="13">
        <v>64183.389000000003</v>
      </c>
      <c r="E31" s="13">
        <v>13329.057000000001</v>
      </c>
      <c r="F31" s="13">
        <v>1240</v>
      </c>
      <c r="G31" s="13">
        <v>-843</v>
      </c>
      <c r="H31" s="13">
        <v>5889</v>
      </c>
      <c r="I31" s="13">
        <v>-2432.5880000000002</v>
      </c>
      <c r="J31" s="13">
        <v>68288</v>
      </c>
      <c r="K31" s="13">
        <v>11985</v>
      </c>
      <c r="L31" s="13">
        <v>17532</v>
      </c>
      <c r="M31" s="13">
        <v>73209</v>
      </c>
      <c r="N31" s="13">
        <v>57294</v>
      </c>
      <c r="O31" s="13">
        <v>46578</v>
      </c>
      <c r="P31" s="13">
        <v>48701</v>
      </c>
      <c r="Q31" s="13">
        <v>56929</v>
      </c>
      <c r="R31" s="13">
        <v>31264</v>
      </c>
      <c r="S31" s="13">
        <v>61361</v>
      </c>
      <c r="T31" s="13">
        <v>10105</v>
      </c>
      <c r="U31" s="13">
        <v>-47685</v>
      </c>
      <c r="V31" s="13">
        <v>95087</v>
      </c>
      <c r="W31" s="13">
        <v>-39414</v>
      </c>
      <c r="X31" s="13">
        <v>40899</v>
      </c>
      <c r="Y31" s="13">
        <v>103554</v>
      </c>
      <c r="Z31" s="13">
        <v>51444</v>
      </c>
      <c r="AA31" s="13">
        <v>35746</v>
      </c>
    </row>
    <row r="32" spans="1:27" x14ac:dyDescent="0.25">
      <c r="A32" s="10" t="s">
        <v>132</v>
      </c>
      <c r="B32" s="10" t="s">
        <v>133</v>
      </c>
      <c r="C32" s="13">
        <v>-2319.8000000000002</v>
      </c>
      <c r="D32" s="13">
        <v>15420.036</v>
      </c>
      <c r="E32" s="13">
        <v>6184.5749999999998</v>
      </c>
      <c r="F32" s="13">
        <v>6949</v>
      </c>
      <c r="G32" s="13">
        <v>-1722</v>
      </c>
      <c r="H32" s="13">
        <v>3001</v>
      </c>
      <c r="I32" s="13">
        <v>-3443.962</v>
      </c>
      <c r="J32" s="13">
        <v>12792</v>
      </c>
      <c r="K32" s="13">
        <v>4872</v>
      </c>
      <c r="L32" s="13">
        <v>3229</v>
      </c>
      <c r="M32" s="13">
        <v>-5369</v>
      </c>
      <c r="N32" s="13">
        <v>14512</v>
      </c>
      <c r="O32" s="13">
        <v>-6502</v>
      </c>
      <c r="P32" s="13">
        <v>11860</v>
      </c>
      <c r="Q32" s="13">
        <v>34010</v>
      </c>
      <c r="R32" s="13">
        <v>-41962</v>
      </c>
      <c r="S32" s="13">
        <v>10383</v>
      </c>
      <c r="T32" s="13">
        <v>-632</v>
      </c>
      <c r="U32" s="13">
        <v>-12840</v>
      </c>
      <c r="V32" s="13">
        <v>46509</v>
      </c>
      <c r="W32" s="13">
        <v>-10464</v>
      </c>
      <c r="X32" s="13">
        <v>9412</v>
      </c>
      <c r="Y32" s="13">
        <v>-8024</v>
      </c>
      <c r="Z32" s="13">
        <v>-1526</v>
      </c>
      <c r="AA32" s="13">
        <v>1591</v>
      </c>
    </row>
    <row r="33" spans="1:27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10" t="s">
        <v>134</v>
      </c>
      <c r="B34" s="10" t="s">
        <v>135</v>
      </c>
      <c r="C34" s="14">
        <v>4.5308999999999999</v>
      </c>
      <c r="D34" s="14">
        <v>5.5885999999999996</v>
      </c>
      <c r="E34" s="14">
        <v>6.6741000000000001</v>
      </c>
      <c r="F34" s="14">
        <v>7.6771000000000003</v>
      </c>
      <c r="G34" s="14">
        <v>10.1556</v>
      </c>
      <c r="H34" s="14">
        <v>12.9315</v>
      </c>
      <c r="I34" s="14">
        <v>16.417000000000002</v>
      </c>
      <c r="J34" s="14">
        <v>18.769600000000001</v>
      </c>
      <c r="K34" s="14">
        <v>20.5001</v>
      </c>
      <c r="L34" s="14">
        <v>22.8489</v>
      </c>
      <c r="M34" s="14">
        <v>30.632899999999999</v>
      </c>
      <c r="N34" s="14">
        <v>35.196399999999997</v>
      </c>
      <c r="O34" s="14">
        <v>38.452599999999997</v>
      </c>
      <c r="P34" s="14">
        <v>44.386699999999998</v>
      </c>
      <c r="Q34" s="14">
        <v>49.104100000000003</v>
      </c>
      <c r="R34" s="14">
        <v>51.194899999999997</v>
      </c>
      <c r="S34" s="14">
        <v>52.547899999999998</v>
      </c>
      <c r="T34" s="14">
        <v>60.258800000000001</v>
      </c>
      <c r="U34" s="14">
        <v>67.555499999999995</v>
      </c>
      <c r="V34" s="14">
        <v>78.066100000000006</v>
      </c>
      <c r="W34" s="14">
        <v>81.973399999999998</v>
      </c>
      <c r="X34" s="14">
        <v>82.616299999999995</v>
      </c>
      <c r="Y34" s="14">
        <v>86.991200000000006</v>
      </c>
      <c r="Z34" s="14">
        <v>89.478200000000001</v>
      </c>
      <c r="AA34" s="14">
        <v>88.544700000000006</v>
      </c>
    </row>
    <row r="35" spans="1:27" x14ac:dyDescent="0.25">
      <c r="A35" s="10" t="s">
        <v>136</v>
      </c>
      <c r="B35" s="10" t="s">
        <v>137</v>
      </c>
      <c r="C35" s="14" t="s">
        <v>80</v>
      </c>
      <c r="D35" s="14" t="s">
        <v>80</v>
      </c>
      <c r="E35" s="14" t="s">
        <v>80</v>
      </c>
      <c r="F35" s="14" t="s">
        <v>80</v>
      </c>
      <c r="G35" s="14" t="s">
        <v>80</v>
      </c>
      <c r="H35" s="14" t="s">
        <v>80</v>
      </c>
      <c r="I35" s="14" t="s">
        <v>80</v>
      </c>
      <c r="J35" s="14">
        <v>16.099799999999998</v>
      </c>
      <c r="K35" s="14">
        <v>18.953399999999998</v>
      </c>
      <c r="L35" s="14">
        <v>21.3873</v>
      </c>
      <c r="M35" s="14">
        <v>23.849499999999999</v>
      </c>
      <c r="N35" s="14">
        <v>26.2883</v>
      </c>
      <c r="O35" s="14">
        <v>30.388999999999999</v>
      </c>
      <c r="P35" s="14">
        <v>35.468699999999998</v>
      </c>
      <c r="Q35" s="14">
        <v>38.641800000000003</v>
      </c>
      <c r="R35" s="14">
        <v>41.623100000000001</v>
      </c>
      <c r="S35" s="14">
        <v>47.9893</v>
      </c>
      <c r="T35" s="14">
        <v>44.731200000000001</v>
      </c>
      <c r="U35" s="14">
        <v>58.244300000000003</v>
      </c>
      <c r="V35" s="14">
        <v>68.680300000000003</v>
      </c>
      <c r="W35" s="14">
        <v>72.618200000000002</v>
      </c>
      <c r="X35" s="14">
        <v>66.925899999999999</v>
      </c>
      <c r="Y35" s="14">
        <v>71.607900000000001</v>
      </c>
      <c r="Z35" s="14">
        <v>74.063999999999993</v>
      </c>
      <c r="AA35" s="14">
        <v>74.6571</v>
      </c>
    </row>
    <row r="36" spans="1:27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5">
      <c r="A37" s="10" t="s">
        <v>138</v>
      </c>
      <c r="B37" s="10" t="s">
        <v>139</v>
      </c>
      <c r="C37" s="13" t="s">
        <v>80</v>
      </c>
      <c r="D37" s="13" t="s">
        <v>80</v>
      </c>
      <c r="E37" s="13" t="s">
        <v>80</v>
      </c>
      <c r="F37" s="13">
        <v>355364</v>
      </c>
      <c r="G37" s="13">
        <v>401046</v>
      </c>
      <c r="H37" s="13">
        <v>525557</v>
      </c>
      <c r="I37" s="13" t="s">
        <v>80</v>
      </c>
      <c r="J37" s="13" t="s">
        <v>80</v>
      </c>
      <c r="K37" s="13" t="s">
        <v>80</v>
      </c>
      <c r="L37" s="13" t="s">
        <v>80</v>
      </c>
      <c r="M37" s="13" t="s">
        <v>80</v>
      </c>
      <c r="N37" s="13" t="s">
        <v>80</v>
      </c>
      <c r="O37" s="13" t="s">
        <v>80</v>
      </c>
      <c r="P37" s="13" t="s">
        <v>80</v>
      </c>
      <c r="Q37" s="13">
        <v>2105565</v>
      </c>
      <c r="R37" s="13">
        <v>2184877</v>
      </c>
      <c r="S37" s="13">
        <v>2423321</v>
      </c>
      <c r="T37" s="13">
        <v>2607083</v>
      </c>
      <c r="U37" s="13">
        <v>2771604</v>
      </c>
      <c r="V37" s="13">
        <v>2975753</v>
      </c>
      <c r="W37" s="13">
        <v>3144794</v>
      </c>
      <c r="X37" s="13">
        <v>3214060</v>
      </c>
      <c r="Y37" s="13">
        <v>3957801</v>
      </c>
      <c r="Z37" s="13">
        <v>4495930</v>
      </c>
      <c r="AA37" s="13">
        <v>5196669</v>
      </c>
    </row>
    <row r="38" spans="1:27" x14ac:dyDescent="0.25">
      <c r="A38" s="10" t="s">
        <v>140</v>
      </c>
      <c r="B38" s="10" t="s">
        <v>141</v>
      </c>
      <c r="C38" s="13" t="s">
        <v>80</v>
      </c>
      <c r="D38" s="13">
        <v>617.74599999999998</v>
      </c>
      <c r="E38" s="13">
        <v>2082.4499999999998</v>
      </c>
      <c r="F38" s="13">
        <v>2754</v>
      </c>
      <c r="G38" s="13">
        <v>1131</v>
      </c>
      <c r="H38" s="13">
        <v>2059</v>
      </c>
      <c r="I38" s="13" t="s">
        <v>80</v>
      </c>
      <c r="J38" s="13" t="s">
        <v>80</v>
      </c>
      <c r="K38" s="13" t="s">
        <v>80</v>
      </c>
      <c r="L38" s="13" t="s">
        <v>80</v>
      </c>
      <c r="M38" s="13" t="s">
        <v>80</v>
      </c>
      <c r="N38" s="13" t="s">
        <v>80</v>
      </c>
      <c r="O38" s="13">
        <v>9175</v>
      </c>
      <c r="P38" s="13">
        <v>7953</v>
      </c>
      <c r="Q38" s="13">
        <v>9728</v>
      </c>
      <c r="R38" s="13">
        <v>11006</v>
      </c>
      <c r="S38" s="13">
        <v>13966</v>
      </c>
      <c r="T38" s="13">
        <v>16802</v>
      </c>
      <c r="U38" s="13">
        <v>19385</v>
      </c>
      <c r="V38" s="13">
        <v>4282</v>
      </c>
      <c r="W38" s="13">
        <v>4457</v>
      </c>
      <c r="X38" s="13">
        <v>2782</v>
      </c>
      <c r="Y38" s="13">
        <v>1738</v>
      </c>
      <c r="Z38" s="13">
        <v>0</v>
      </c>
      <c r="AA38" s="13">
        <v>0</v>
      </c>
    </row>
    <row r="39" spans="1:27" x14ac:dyDescent="0.25">
      <c r="A39" s="10" t="s">
        <v>142</v>
      </c>
      <c r="B39" s="10" t="s">
        <v>143</v>
      </c>
      <c r="C39" s="13">
        <v>4518</v>
      </c>
      <c r="D39" s="13" t="s">
        <v>80</v>
      </c>
      <c r="E39" s="13" t="s">
        <v>80</v>
      </c>
      <c r="F39" s="13">
        <v>1804</v>
      </c>
      <c r="G39" s="13">
        <v>1851</v>
      </c>
      <c r="H39" s="13">
        <v>2059</v>
      </c>
      <c r="I39" s="13">
        <v>2894</v>
      </c>
      <c r="J39" s="13">
        <v>4948</v>
      </c>
      <c r="K39" s="13">
        <v>6154</v>
      </c>
      <c r="L39" s="13">
        <v>6664</v>
      </c>
      <c r="M39" s="13">
        <v>6949</v>
      </c>
      <c r="N39" s="13">
        <v>8481</v>
      </c>
      <c r="O39" s="13">
        <v>13655</v>
      </c>
      <c r="P39" s="13">
        <v>14293</v>
      </c>
      <c r="Q39" s="13">
        <v>11903</v>
      </c>
      <c r="R39" s="13">
        <v>10312</v>
      </c>
      <c r="S39" s="13">
        <v>12482</v>
      </c>
      <c r="T39" s="13">
        <v>13263</v>
      </c>
      <c r="U39" s="13">
        <v>12806</v>
      </c>
      <c r="V39" s="13">
        <v>8931</v>
      </c>
      <c r="W39" s="13">
        <v>8506</v>
      </c>
      <c r="X39" s="13">
        <v>9973</v>
      </c>
      <c r="Y39" s="13">
        <v>10890</v>
      </c>
      <c r="Z39" s="13">
        <v>11125</v>
      </c>
      <c r="AA39" s="13">
        <v>17839</v>
      </c>
    </row>
    <row r="40" spans="1:27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5">
      <c r="A41" s="10" t="s">
        <v>144</v>
      </c>
      <c r="B41" s="10" t="s">
        <v>145</v>
      </c>
      <c r="C41" s="14">
        <v>6.6261999999999999</v>
      </c>
      <c r="D41" s="14">
        <v>6.5065</v>
      </c>
      <c r="E41" s="14">
        <v>5.0914999999999999</v>
      </c>
      <c r="F41" s="14">
        <v>6.3550000000000004</v>
      </c>
      <c r="G41" s="14">
        <v>0</v>
      </c>
      <c r="H41" s="14">
        <v>9.1807999999999996</v>
      </c>
      <c r="I41" s="14">
        <v>8.9541000000000004</v>
      </c>
      <c r="J41" s="14">
        <v>6.3994999999999997</v>
      </c>
      <c r="K41" s="14">
        <v>4.8289</v>
      </c>
      <c r="L41" s="14">
        <v>4.7290999999999999</v>
      </c>
      <c r="M41" s="14">
        <v>4.7858999999999998</v>
      </c>
      <c r="N41" s="14">
        <v>4.4329000000000001</v>
      </c>
      <c r="O41" s="14">
        <v>4.5408999999999997</v>
      </c>
      <c r="P41" s="14">
        <v>5.0437000000000003</v>
      </c>
      <c r="Q41" s="14">
        <v>4.8265000000000002</v>
      </c>
      <c r="R41" s="14">
        <v>5.2656999999999998</v>
      </c>
      <c r="S41" s="14">
        <v>6.0763999999999996</v>
      </c>
      <c r="T41" s="14">
        <v>6.0857000000000001</v>
      </c>
      <c r="U41" s="14">
        <v>5.9394</v>
      </c>
      <c r="V41" s="14">
        <v>6.0273000000000003</v>
      </c>
      <c r="W41" s="14">
        <v>6.1214000000000004</v>
      </c>
      <c r="X41" s="14">
        <v>6.8737000000000004</v>
      </c>
      <c r="Y41" s="14">
        <v>6.6795999999999998</v>
      </c>
      <c r="Z41" s="14">
        <v>6.5785</v>
      </c>
      <c r="AA41" s="14">
        <v>6.5210999999999997</v>
      </c>
    </row>
    <row r="42" spans="1:27" x14ac:dyDescent="0.25">
      <c r="A42" s="10" t="s">
        <v>146</v>
      </c>
      <c r="B42" s="10" t="s">
        <v>147</v>
      </c>
      <c r="C42" s="14" t="s">
        <v>80</v>
      </c>
      <c r="D42" s="14">
        <v>0.51819999999999999</v>
      </c>
      <c r="E42" s="14">
        <v>1.3555999999999999</v>
      </c>
      <c r="F42" s="14">
        <v>2.1463999999999999</v>
      </c>
      <c r="G42" s="14">
        <v>1.026</v>
      </c>
      <c r="H42" s="14">
        <v>1.5815999999999999</v>
      </c>
      <c r="I42" s="14" t="s">
        <v>80</v>
      </c>
      <c r="J42" s="14" t="s">
        <v>80</v>
      </c>
      <c r="K42" s="14" t="s">
        <v>80</v>
      </c>
      <c r="L42" s="14" t="s">
        <v>80</v>
      </c>
      <c r="M42" s="14" t="s">
        <v>80</v>
      </c>
      <c r="N42" s="14" t="s">
        <v>80</v>
      </c>
      <c r="O42" s="14">
        <v>2.1623999999999999</v>
      </c>
      <c r="P42" s="14">
        <v>1.72</v>
      </c>
      <c r="Q42" s="14">
        <v>1.9147000000000001</v>
      </c>
      <c r="R42" s="14">
        <v>1.9881</v>
      </c>
      <c r="S42" s="14">
        <v>2.3290999999999999</v>
      </c>
      <c r="T42" s="14">
        <v>2.3919999999999999</v>
      </c>
      <c r="U42" s="14">
        <v>2.5</v>
      </c>
      <c r="V42" s="14">
        <v>0.54620000000000002</v>
      </c>
      <c r="W42" s="14">
        <v>0.55079999999999996</v>
      </c>
      <c r="X42" s="14">
        <v>0.32100000000000001</v>
      </c>
      <c r="Y42" s="14">
        <v>0.17960000000000001</v>
      </c>
      <c r="Z42" s="14">
        <v>0</v>
      </c>
      <c r="AA42" s="14">
        <v>0</v>
      </c>
    </row>
    <row r="43" spans="1:27" x14ac:dyDescent="0.25">
      <c r="A43" s="10" t="s">
        <v>148</v>
      </c>
      <c r="B43" s="10" t="s">
        <v>149</v>
      </c>
      <c r="C43" s="14">
        <v>76.7547</v>
      </c>
      <c r="D43" s="14">
        <v>78.361900000000006</v>
      </c>
      <c r="E43" s="14">
        <v>75.930800000000005</v>
      </c>
      <c r="F43" s="14">
        <v>71.192999999999998</v>
      </c>
      <c r="G43" s="14">
        <v>57.2547</v>
      </c>
      <c r="H43" s="14">
        <v>58.791600000000003</v>
      </c>
      <c r="I43" s="14">
        <v>57.083500000000001</v>
      </c>
      <c r="J43" s="14">
        <v>51.0002</v>
      </c>
      <c r="K43" s="14">
        <v>52.608199999999997</v>
      </c>
      <c r="L43" s="14">
        <v>52.269100000000002</v>
      </c>
      <c r="M43" s="14">
        <v>67.605400000000003</v>
      </c>
      <c r="N43" s="14">
        <v>67.196700000000007</v>
      </c>
      <c r="O43" s="14">
        <v>66.062799999999996</v>
      </c>
      <c r="P43" s="14">
        <v>60.954500000000003</v>
      </c>
      <c r="Q43" s="14">
        <v>59.434399999999997</v>
      </c>
      <c r="R43" s="14">
        <v>57.774799999999999</v>
      </c>
      <c r="S43" s="14">
        <v>56.644799999999996</v>
      </c>
      <c r="T43" s="14">
        <v>53.898800000000001</v>
      </c>
      <c r="U43" s="14">
        <v>53.9863</v>
      </c>
      <c r="V43" s="14">
        <v>57.609000000000002</v>
      </c>
      <c r="W43" s="14">
        <v>65.644599999999997</v>
      </c>
      <c r="X43" s="14">
        <v>59.434600000000003</v>
      </c>
      <c r="Y43" s="14">
        <v>56.510899999999999</v>
      </c>
      <c r="Z43" s="14">
        <v>56.971800000000002</v>
      </c>
      <c r="AA43" s="14">
        <v>57.7348</v>
      </c>
    </row>
    <row r="44" spans="1:27" x14ac:dyDescent="0.25">
      <c r="A44" s="10" t="s">
        <v>150</v>
      </c>
      <c r="B44" s="10" t="s">
        <v>151</v>
      </c>
      <c r="C44" s="14">
        <v>110.7842</v>
      </c>
      <c r="D44" s="14">
        <v>107.9907</v>
      </c>
      <c r="E44" s="14">
        <v>93.877399999999994</v>
      </c>
      <c r="F44" s="14">
        <v>81.089299999999994</v>
      </c>
      <c r="G44" s="14">
        <v>84.649799999999999</v>
      </c>
      <c r="H44" s="14">
        <v>84.951499999999996</v>
      </c>
      <c r="I44" s="14">
        <v>96.667199999999994</v>
      </c>
      <c r="J44" s="14">
        <v>95.216499999999996</v>
      </c>
      <c r="K44" s="14">
        <v>89.16</v>
      </c>
      <c r="L44" s="14">
        <v>92.344499999999996</v>
      </c>
      <c r="M44" s="14">
        <v>96.547799999999995</v>
      </c>
      <c r="N44" s="14">
        <v>96.603800000000007</v>
      </c>
      <c r="O44" s="14">
        <v>98.862399999999994</v>
      </c>
      <c r="P44" s="14">
        <v>97.617900000000006</v>
      </c>
      <c r="Q44" s="14">
        <v>94.412599999999998</v>
      </c>
      <c r="R44" s="14">
        <v>100.44499999999999</v>
      </c>
      <c r="S44" s="14">
        <v>97.084199999999996</v>
      </c>
      <c r="T44" s="14">
        <v>103.49299999999999</v>
      </c>
      <c r="U44" s="14">
        <v>106.0137</v>
      </c>
      <c r="V44" s="14">
        <v>97.345100000000002</v>
      </c>
      <c r="W44" s="14">
        <v>102.4277</v>
      </c>
      <c r="X44" s="14">
        <v>101.95829999999999</v>
      </c>
      <c r="Y44" s="14">
        <v>96.621499999999997</v>
      </c>
      <c r="Z44" s="14">
        <v>101.922</v>
      </c>
      <c r="AA44" s="14">
        <v>99.753799999999998</v>
      </c>
    </row>
    <row r="45" spans="1:27" x14ac:dyDescent="0.25">
      <c r="A45" s="10" t="s">
        <v>152</v>
      </c>
      <c r="B45" s="10" t="s">
        <v>153</v>
      </c>
      <c r="C45" s="14">
        <v>4.2862</v>
      </c>
      <c r="D45" s="14" t="s">
        <v>80</v>
      </c>
      <c r="E45" s="14" t="s">
        <v>80</v>
      </c>
      <c r="F45" s="14">
        <v>1.0237000000000001</v>
      </c>
      <c r="G45" s="14">
        <v>0.97330000000000005</v>
      </c>
      <c r="H45" s="14">
        <v>0.87829999999999997</v>
      </c>
      <c r="I45" s="14">
        <v>1.0051000000000001</v>
      </c>
      <c r="J45" s="14">
        <v>0.85750000000000004</v>
      </c>
      <c r="K45" s="14">
        <v>1.0851</v>
      </c>
      <c r="L45" s="14">
        <v>1.1284000000000001</v>
      </c>
      <c r="M45" s="14">
        <v>0.83799999999999997</v>
      </c>
      <c r="N45" s="14">
        <v>0.92530000000000001</v>
      </c>
      <c r="O45" s="14">
        <v>1.3563000000000001</v>
      </c>
      <c r="P45" s="14">
        <v>1.3018000000000001</v>
      </c>
      <c r="Q45" s="14">
        <v>0.99319999999999997</v>
      </c>
      <c r="R45" s="14">
        <v>0.81320000000000003</v>
      </c>
      <c r="S45" s="14">
        <v>0.92179999999999995</v>
      </c>
      <c r="T45" s="14">
        <v>0.81850000000000001</v>
      </c>
      <c r="U45" s="14">
        <v>0.8105</v>
      </c>
      <c r="V45" s="14">
        <v>0.4995</v>
      </c>
      <c r="W45" s="14">
        <v>0.45960000000000001</v>
      </c>
      <c r="X45" s="14">
        <v>0.48180000000000001</v>
      </c>
      <c r="Y45" s="14">
        <v>0.47870000000000001</v>
      </c>
      <c r="Z45" s="14">
        <v>0.45019999999999999</v>
      </c>
      <c r="AA45" s="14">
        <v>0.6865</v>
      </c>
    </row>
    <row r="46" spans="1:27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5">
      <c r="A47" s="10" t="s">
        <v>154</v>
      </c>
      <c r="B47" s="10" t="s">
        <v>155</v>
      </c>
      <c r="C47" s="14">
        <v>1.4424999999999999</v>
      </c>
      <c r="D47" s="14">
        <v>1.3222</v>
      </c>
      <c r="E47" s="14">
        <v>1.0750999999999999</v>
      </c>
      <c r="F47" s="14">
        <v>1.3462000000000001</v>
      </c>
      <c r="G47" s="14">
        <v>3.1206</v>
      </c>
      <c r="H47" s="14">
        <v>2.8067000000000002</v>
      </c>
      <c r="I47" s="14">
        <v>2.6074999999999999</v>
      </c>
      <c r="J47" s="14">
        <v>1.6217999999999999</v>
      </c>
      <c r="K47" s="14">
        <v>1.0233000000000001</v>
      </c>
      <c r="L47" s="14">
        <v>1.1583000000000001</v>
      </c>
      <c r="M47" s="14">
        <v>1.1997</v>
      </c>
      <c r="N47" s="14">
        <v>1.2473000000000001</v>
      </c>
      <c r="O47" s="14">
        <v>1.4046000000000001</v>
      </c>
      <c r="P47" s="14">
        <v>1.4470000000000001</v>
      </c>
      <c r="Q47" s="14">
        <v>1.4899</v>
      </c>
      <c r="R47" s="14">
        <v>1.5656000000000001</v>
      </c>
      <c r="S47" s="14">
        <v>1.8234999999999999</v>
      </c>
      <c r="T47" s="14">
        <v>2.1486999999999998</v>
      </c>
      <c r="U47" s="14">
        <v>2.2827000000000002</v>
      </c>
      <c r="V47" s="14">
        <v>1.8117000000000001</v>
      </c>
      <c r="W47" s="14">
        <v>1.9263999999999999</v>
      </c>
      <c r="X47" s="14">
        <v>2.3161999999999998</v>
      </c>
      <c r="Y47" s="14">
        <v>2.4127999999999998</v>
      </c>
      <c r="Z47" s="14">
        <v>2.3677999999999999</v>
      </c>
      <c r="AA47" s="14">
        <v>2.3191000000000002</v>
      </c>
    </row>
    <row r="48" spans="1:27" x14ac:dyDescent="0.25">
      <c r="A48" s="10" t="s">
        <v>156</v>
      </c>
      <c r="B48" s="10" t="s">
        <v>157</v>
      </c>
      <c r="C48" s="14">
        <v>18.1555</v>
      </c>
      <c r="D48" s="14">
        <v>19.920100000000001</v>
      </c>
      <c r="E48" s="14">
        <v>18.003499999999999</v>
      </c>
      <c r="F48" s="14">
        <v>18.097899999999999</v>
      </c>
      <c r="G48" s="14">
        <v>31.7699</v>
      </c>
      <c r="H48" s="14">
        <v>25.579499999999999</v>
      </c>
      <c r="I48" s="14">
        <v>22.9954</v>
      </c>
      <c r="J48" s="14">
        <v>19.775400000000001</v>
      </c>
      <c r="K48" s="14">
        <v>14.7888</v>
      </c>
      <c r="L48" s="14">
        <v>15.3287</v>
      </c>
      <c r="M48" s="14">
        <v>14.5632</v>
      </c>
      <c r="N48" s="14">
        <v>14.2578</v>
      </c>
      <c r="O48" s="14">
        <v>14.3292</v>
      </c>
      <c r="P48" s="14">
        <v>13.266</v>
      </c>
      <c r="Q48" s="14">
        <v>13.242800000000001</v>
      </c>
      <c r="R48" s="14">
        <v>13.981299999999999</v>
      </c>
      <c r="S48" s="14">
        <v>16.689800000000002</v>
      </c>
      <c r="T48" s="14">
        <v>20.0974</v>
      </c>
      <c r="U48" s="14">
        <v>19.960899999999999</v>
      </c>
      <c r="V48" s="14">
        <v>14.668799999999999</v>
      </c>
      <c r="W48" s="14">
        <v>15.3559</v>
      </c>
      <c r="X48" s="14">
        <v>19.311199999999999</v>
      </c>
      <c r="Y48" s="14">
        <v>21.597999999999999</v>
      </c>
      <c r="Z48" s="14">
        <v>22.530999999999999</v>
      </c>
      <c r="AA48" s="14">
        <v>23.585999999999999</v>
      </c>
    </row>
    <row r="49" spans="1:27" x14ac:dyDescent="0.25">
      <c r="A49" s="10" t="s">
        <v>158</v>
      </c>
      <c r="B49" s="10" t="s">
        <v>159</v>
      </c>
      <c r="C49" s="14">
        <v>18.1555</v>
      </c>
      <c r="D49" s="14">
        <v>19.920100000000001</v>
      </c>
      <c r="E49" s="14">
        <v>18.003499999999999</v>
      </c>
      <c r="F49" s="14">
        <v>18.097899999999999</v>
      </c>
      <c r="G49" s="14">
        <v>31.7699</v>
      </c>
      <c r="H49" s="14">
        <v>25.579499999999999</v>
      </c>
      <c r="I49" s="14">
        <v>22.9954</v>
      </c>
      <c r="J49" s="14">
        <v>19.775400000000001</v>
      </c>
      <c r="K49" s="14">
        <v>14.7888</v>
      </c>
      <c r="L49" s="14">
        <v>15.3287</v>
      </c>
      <c r="M49" s="14">
        <v>14.5632</v>
      </c>
      <c r="N49" s="14">
        <v>14.2578</v>
      </c>
      <c r="O49" s="14">
        <v>14.3292</v>
      </c>
      <c r="P49" s="14">
        <v>13.266</v>
      </c>
      <c r="Q49" s="14">
        <v>13.242800000000001</v>
      </c>
      <c r="R49" s="14">
        <v>13.981299999999999</v>
      </c>
      <c r="S49" s="14">
        <v>16.689800000000002</v>
      </c>
      <c r="T49" s="14">
        <v>20.0974</v>
      </c>
      <c r="U49" s="14">
        <v>19.960899999999999</v>
      </c>
      <c r="V49" s="14">
        <v>14.668799999999999</v>
      </c>
      <c r="W49" s="14">
        <v>15.3559</v>
      </c>
      <c r="X49" s="14">
        <v>19.311199999999999</v>
      </c>
      <c r="Y49" s="14">
        <v>21.597999999999999</v>
      </c>
      <c r="Z49" s="14">
        <v>22.530999999999999</v>
      </c>
      <c r="AA49" s="14">
        <v>23.585999999999999</v>
      </c>
    </row>
    <row r="50" spans="1:27" x14ac:dyDescent="0.25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5">
      <c r="A51" s="10" t="s">
        <v>160</v>
      </c>
      <c r="B51" s="10" t="s">
        <v>161</v>
      </c>
      <c r="C51" s="14" t="s">
        <v>80</v>
      </c>
      <c r="D51" s="14" t="s">
        <v>80</v>
      </c>
      <c r="E51" s="14" t="s">
        <v>80</v>
      </c>
      <c r="F51" s="14" t="s">
        <v>80</v>
      </c>
      <c r="G51" s="14" t="s">
        <v>80</v>
      </c>
      <c r="H51" s="14" t="s">
        <v>80</v>
      </c>
      <c r="I51" s="14" t="s">
        <v>80</v>
      </c>
      <c r="J51" s="14">
        <v>5.6722000000000001</v>
      </c>
      <c r="K51" s="14">
        <v>6.7808000000000002</v>
      </c>
      <c r="L51" s="14">
        <v>7.3461999999999996</v>
      </c>
      <c r="M51" s="14">
        <v>6.7797999999999998</v>
      </c>
      <c r="N51" s="14">
        <v>6.8268000000000004</v>
      </c>
      <c r="O51" s="14">
        <v>8.5625</v>
      </c>
      <c r="P51" s="14">
        <v>9.1517999999999997</v>
      </c>
      <c r="Q51" s="14">
        <v>9.1134000000000004</v>
      </c>
      <c r="R51" s="14">
        <v>9.2149000000000001</v>
      </c>
      <c r="S51" s="14">
        <v>9.9222999999999999</v>
      </c>
      <c r="T51" s="14">
        <v>8.1142000000000003</v>
      </c>
      <c r="U51" s="14">
        <v>10.7523</v>
      </c>
      <c r="V51" s="14">
        <v>11.101699999999999</v>
      </c>
      <c r="W51" s="14">
        <v>11.375299999999999</v>
      </c>
      <c r="X51" s="14">
        <v>9.4414999999999996</v>
      </c>
      <c r="Y51" s="14">
        <v>9.2012</v>
      </c>
      <c r="Z51" s="14">
        <v>8.5017999999999994</v>
      </c>
      <c r="AA51" s="14">
        <v>8.2052999999999994</v>
      </c>
    </row>
    <row r="52" spans="1:27" x14ac:dyDescent="0.25">
      <c r="A52" s="10" t="s">
        <v>162</v>
      </c>
      <c r="B52" s="10" t="s">
        <v>163</v>
      </c>
      <c r="C52" s="14" t="s">
        <v>80</v>
      </c>
      <c r="D52" s="14" t="s">
        <v>80</v>
      </c>
      <c r="E52" s="14" t="s">
        <v>80</v>
      </c>
      <c r="F52" s="14" t="s">
        <v>80</v>
      </c>
      <c r="G52" s="14" t="s">
        <v>80</v>
      </c>
      <c r="H52" s="14" t="s">
        <v>80</v>
      </c>
      <c r="I52" s="14" t="s">
        <v>80</v>
      </c>
      <c r="J52" s="14" t="s">
        <v>80</v>
      </c>
      <c r="K52" s="14" t="s">
        <v>80</v>
      </c>
      <c r="L52" s="14">
        <v>19.4285</v>
      </c>
      <c r="M52" s="14">
        <v>14.132300000000001</v>
      </c>
      <c r="N52" s="14">
        <v>15.501300000000001</v>
      </c>
      <c r="O52" s="14">
        <v>18.964700000000001</v>
      </c>
      <c r="P52" s="14">
        <v>19.739599999999999</v>
      </c>
      <c r="Q52" s="14">
        <v>17.476500000000001</v>
      </c>
      <c r="R52" s="14">
        <v>17.843499999999999</v>
      </c>
      <c r="S52" s="14">
        <v>21.119399999999999</v>
      </c>
      <c r="T52" s="14">
        <v>17.111899999999999</v>
      </c>
      <c r="U52" s="14">
        <v>20.873899999999999</v>
      </c>
      <c r="V52" s="14">
        <v>20.938300000000002</v>
      </c>
      <c r="W52" s="14">
        <v>24.133800000000001</v>
      </c>
      <c r="X52" s="14">
        <v>22.4267</v>
      </c>
      <c r="Y52" s="14">
        <v>21.683900000000001</v>
      </c>
      <c r="Z52" s="14">
        <v>20.1309</v>
      </c>
      <c r="AA52" s="14">
        <v>20.066099999999999</v>
      </c>
    </row>
    <row r="53" spans="1:27" x14ac:dyDescent="0.25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5">
      <c r="A54" s="10" t="s">
        <v>164</v>
      </c>
      <c r="B54" s="10" t="s">
        <v>165</v>
      </c>
      <c r="C54" s="13" t="s">
        <v>80</v>
      </c>
      <c r="D54" s="13" t="s">
        <v>80</v>
      </c>
      <c r="E54" s="13" t="s">
        <v>80</v>
      </c>
      <c r="F54" s="13" t="s">
        <v>80</v>
      </c>
      <c r="G54" s="13" t="s">
        <v>80</v>
      </c>
      <c r="H54" s="13" t="s">
        <v>80</v>
      </c>
      <c r="I54" s="13" t="s">
        <v>80</v>
      </c>
      <c r="J54" s="13">
        <v>32425</v>
      </c>
      <c r="K54" s="13">
        <v>38245</v>
      </c>
      <c r="L54" s="13">
        <v>43167</v>
      </c>
      <c r="M54" s="13">
        <v>55160</v>
      </c>
      <c r="N54" s="13">
        <v>61157</v>
      </c>
      <c r="O54" s="13">
        <v>84291</v>
      </c>
      <c r="P54" s="13">
        <v>98225</v>
      </c>
      <c r="Q54" s="13">
        <v>106592</v>
      </c>
      <c r="R54" s="13">
        <v>114431</v>
      </c>
      <c r="S54" s="13">
        <v>133108</v>
      </c>
      <c r="T54" s="13">
        <v>127886</v>
      </c>
      <c r="U54" s="13">
        <v>167017</v>
      </c>
      <c r="V54" s="13">
        <v>195522</v>
      </c>
      <c r="W54" s="13">
        <v>207502</v>
      </c>
      <c r="X54" s="13">
        <v>191214</v>
      </c>
      <c r="Y54" s="13">
        <v>205258</v>
      </c>
      <c r="Z54" s="13">
        <v>206444</v>
      </c>
      <c r="AA54" s="13">
        <v>210022</v>
      </c>
    </row>
    <row r="55" spans="1:27" x14ac:dyDescent="0.25">
      <c r="A55" s="10" t="s">
        <v>166</v>
      </c>
      <c r="B55" s="10" t="s">
        <v>167</v>
      </c>
      <c r="C55" s="13" t="s">
        <v>80</v>
      </c>
      <c r="D55" s="13" t="s">
        <v>80</v>
      </c>
      <c r="E55" s="13" t="s">
        <v>80</v>
      </c>
      <c r="F55" s="13" t="s">
        <v>80</v>
      </c>
      <c r="G55" s="13" t="s">
        <v>80</v>
      </c>
      <c r="H55" s="13" t="s">
        <v>80</v>
      </c>
      <c r="I55" s="13" t="s">
        <v>80</v>
      </c>
      <c r="J55" s="13" t="s">
        <v>80</v>
      </c>
      <c r="K55" s="13" t="s">
        <v>80</v>
      </c>
      <c r="L55" s="13">
        <v>222184</v>
      </c>
      <c r="M55" s="13">
        <v>390312</v>
      </c>
      <c r="N55" s="13">
        <v>394529</v>
      </c>
      <c r="O55" s="13">
        <v>444462</v>
      </c>
      <c r="P55" s="13">
        <v>497603</v>
      </c>
      <c r="Q55" s="13">
        <v>609916.66669999994</v>
      </c>
      <c r="R55" s="13">
        <v>641302</v>
      </c>
      <c r="S55" s="13">
        <v>630264</v>
      </c>
      <c r="T55" s="13">
        <v>747352</v>
      </c>
      <c r="U55" s="13">
        <v>800125</v>
      </c>
      <c r="V55" s="13">
        <v>933801</v>
      </c>
      <c r="W55" s="13">
        <v>859798</v>
      </c>
      <c r="X55" s="13">
        <v>852616</v>
      </c>
      <c r="Y55" s="13">
        <v>946593</v>
      </c>
      <c r="Z55" s="13">
        <v>1025506</v>
      </c>
      <c r="AA55" s="13">
        <v>1046653</v>
      </c>
    </row>
    <row r="56" spans="1:27" x14ac:dyDescent="0.25">
      <c r="A56" s="7" t="s">
        <v>87</v>
      </c>
      <c r="B56" s="7"/>
      <c r="C56" s="7" t="s">
        <v>3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workbookViewId="0">
      <selection activeCell="F7" sqref="F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169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170</v>
      </c>
    </row>
    <row r="6" spans="1:27" x14ac:dyDescent="0.25">
      <c r="A6" s="6" t="s">
        <v>57</v>
      </c>
      <c r="B6" s="6" t="s">
        <v>58</v>
      </c>
      <c r="C6" s="19">
        <v>12748.1162</v>
      </c>
      <c r="D6" s="19">
        <v>19677.5236</v>
      </c>
      <c r="E6" s="19">
        <v>35391.732600000003</v>
      </c>
      <c r="F6" s="19">
        <v>44963.267500000002</v>
      </c>
      <c r="G6" s="19">
        <v>85264.724000000002</v>
      </c>
      <c r="H6" s="19">
        <v>90984.964000000007</v>
      </c>
      <c r="I6" s="19">
        <v>50108.258999999998</v>
      </c>
      <c r="J6" s="19">
        <v>96533.826700000005</v>
      </c>
      <c r="K6" s="19">
        <v>118799.93670000001</v>
      </c>
      <c r="L6" s="19">
        <v>97879.287400000001</v>
      </c>
      <c r="M6" s="19">
        <v>194138.08</v>
      </c>
      <c r="N6" s="19">
        <v>253407.93290000001</v>
      </c>
      <c r="O6" s="19">
        <v>224870.72579999999</v>
      </c>
      <c r="P6" s="19">
        <v>262026.51930000001</v>
      </c>
      <c r="Q6" s="19">
        <v>281245.21110000001</v>
      </c>
      <c r="R6" s="19">
        <v>299088.071</v>
      </c>
      <c r="S6" s="19">
        <v>273833.76740000001</v>
      </c>
      <c r="T6" s="19">
        <v>302953.83990000002</v>
      </c>
      <c r="U6" s="19">
        <v>312953.58880000003</v>
      </c>
      <c r="V6" s="19">
        <v>380096.47139999998</v>
      </c>
      <c r="W6" s="19">
        <v>399736.92830000003</v>
      </c>
      <c r="X6" s="19">
        <v>489469.23680000001</v>
      </c>
      <c r="Y6" s="19">
        <v>373424.14610000001</v>
      </c>
      <c r="Z6" s="19">
        <v>469628.36180000001</v>
      </c>
      <c r="AA6" s="22">
        <v>540154.19761393999</v>
      </c>
    </row>
    <row r="7" spans="1:27" x14ac:dyDescent="0.25">
      <c r="A7" s="10" t="s">
        <v>171</v>
      </c>
      <c r="B7" s="10" t="s">
        <v>172</v>
      </c>
      <c r="C7" s="13">
        <v>23525.329000000002</v>
      </c>
      <c r="D7" s="13">
        <v>30743.161</v>
      </c>
      <c r="E7" s="13">
        <v>39365</v>
      </c>
      <c r="F7" s="13">
        <v>38788</v>
      </c>
      <c r="G7" s="13">
        <v>43403</v>
      </c>
      <c r="H7" s="13">
        <v>41609.885000000002</v>
      </c>
      <c r="I7" s="13">
        <v>54402</v>
      </c>
      <c r="J7" s="13">
        <v>59272</v>
      </c>
      <c r="K7" s="13">
        <v>63080</v>
      </c>
      <c r="L7" s="13">
        <v>57798</v>
      </c>
      <c r="M7" s="13">
        <v>74175</v>
      </c>
      <c r="N7" s="13">
        <v>62180</v>
      </c>
      <c r="O7" s="13">
        <v>74709</v>
      </c>
      <c r="P7" s="13">
        <v>108341</v>
      </c>
      <c r="Q7" s="13">
        <v>65886</v>
      </c>
      <c r="R7" s="13">
        <v>82891</v>
      </c>
      <c r="S7" s="13">
        <v>84393</v>
      </c>
      <c r="T7" s="13">
        <v>70186</v>
      </c>
      <c r="U7" s="13">
        <v>124514</v>
      </c>
      <c r="V7" s="13">
        <v>114245</v>
      </c>
      <c r="W7" s="13">
        <v>149361</v>
      </c>
      <c r="X7" s="13">
        <v>167429</v>
      </c>
      <c r="Y7" s="13">
        <v>142013</v>
      </c>
      <c r="Z7" s="13">
        <v>151967</v>
      </c>
      <c r="AA7" s="16">
        <v>135783</v>
      </c>
    </row>
    <row r="8" spans="1:27" x14ac:dyDescent="0.25">
      <c r="A8" s="10" t="s">
        <v>173</v>
      </c>
      <c r="B8" s="10" t="s">
        <v>174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</row>
    <row r="9" spans="1:27" x14ac:dyDescent="0.25">
      <c r="A9" s="10" t="s">
        <v>175</v>
      </c>
      <c r="B9" s="10" t="s">
        <v>176</v>
      </c>
      <c r="C9" s="13">
        <v>815.40300000000002</v>
      </c>
      <c r="D9" s="13">
        <v>890.99</v>
      </c>
      <c r="E9" s="13">
        <v>874</v>
      </c>
      <c r="F9" s="13">
        <v>979</v>
      </c>
      <c r="G9" s="13">
        <v>1408</v>
      </c>
      <c r="H9" s="13">
        <v>1666.8720000000001</v>
      </c>
      <c r="I9" s="13">
        <v>1944</v>
      </c>
      <c r="J9" s="13">
        <v>3608</v>
      </c>
      <c r="K9" s="13">
        <v>4110</v>
      </c>
      <c r="L9" s="13">
        <v>6233</v>
      </c>
      <c r="M9" s="13">
        <v>6628</v>
      </c>
      <c r="N9" s="13">
        <v>2034</v>
      </c>
      <c r="O9" s="13">
        <v>1750</v>
      </c>
      <c r="P9" s="13">
        <v>1900</v>
      </c>
      <c r="Q9" s="13">
        <v>1955</v>
      </c>
      <c r="R9" s="13">
        <v>1832</v>
      </c>
      <c r="S9" s="13">
        <v>2185</v>
      </c>
      <c r="T9" s="13">
        <v>2281</v>
      </c>
      <c r="U9" s="13">
        <v>2862</v>
      </c>
      <c r="V9" s="13">
        <v>3006</v>
      </c>
      <c r="W9" s="13">
        <v>2989</v>
      </c>
      <c r="X9" s="13">
        <v>-148</v>
      </c>
      <c r="Y9" s="13">
        <v>-981</v>
      </c>
      <c r="Z9" s="13">
        <v>3123</v>
      </c>
      <c r="AA9" s="16">
        <v>3299</v>
      </c>
    </row>
    <row r="10" spans="1:27" x14ac:dyDescent="0.25">
      <c r="A10" s="10" t="s">
        <v>177</v>
      </c>
      <c r="B10" s="10" t="s">
        <v>119</v>
      </c>
      <c r="C10" s="13">
        <v>40179.432000000001</v>
      </c>
      <c r="D10" s="13">
        <v>32262.424999999999</v>
      </c>
      <c r="E10" s="13">
        <v>27729</v>
      </c>
      <c r="F10" s="13">
        <v>24904</v>
      </c>
      <c r="G10" s="13">
        <v>28216</v>
      </c>
      <c r="H10" s="13">
        <v>33760.398999999998</v>
      </c>
      <c r="I10" s="13">
        <v>250023</v>
      </c>
      <c r="J10" s="13">
        <v>224618</v>
      </c>
      <c r="K10" s="13">
        <v>223008</v>
      </c>
      <c r="L10" s="13">
        <v>295778</v>
      </c>
      <c r="M10" s="13">
        <v>299427</v>
      </c>
      <c r="N10" s="13">
        <v>352089</v>
      </c>
      <c r="O10" s="13">
        <v>353308</v>
      </c>
      <c r="P10" s="13">
        <v>363574</v>
      </c>
      <c r="Q10" s="13">
        <v>369330</v>
      </c>
      <c r="R10" s="13">
        <v>368056</v>
      </c>
      <c r="S10" s="13">
        <v>461778</v>
      </c>
      <c r="T10" s="13">
        <v>431176</v>
      </c>
      <c r="U10" s="13">
        <v>410373</v>
      </c>
      <c r="V10" s="13">
        <v>462771</v>
      </c>
      <c r="W10" s="13">
        <v>551758</v>
      </c>
      <c r="X10" s="13">
        <v>561667</v>
      </c>
      <c r="Y10" s="13">
        <v>638712</v>
      </c>
      <c r="Z10" s="13">
        <v>635948</v>
      </c>
      <c r="AA10" s="16">
        <v>625553</v>
      </c>
    </row>
    <row r="11" spans="1:27" x14ac:dyDescent="0.25">
      <c r="A11" s="6" t="s">
        <v>178</v>
      </c>
      <c r="B11" s="6" t="s">
        <v>179</v>
      </c>
      <c r="C11" s="19">
        <v>30217.622200000002</v>
      </c>
      <c r="D11" s="19">
        <v>22087.777600000001</v>
      </c>
      <c r="E11" s="19">
        <v>24629.732599999999</v>
      </c>
      <c r="F11" s="19">
        <v>32058.267500000002</v>
      </c>
      <c r="G11" s="19">
        <v>71485.724000000002</v>
      </c>
      <c r="H11" s="19">
        <v>84802.35</v>
      </c>
      <c r="I11" s="19">
        <v>247673.25899999999</v>
      </c>
      <c r="J11" s="19">
        <v>265487.82669999998</v>
      </c>
      <c r="K11" s="19">
        <v>282837.93670000002</v>
      </c>
      <c r="L11" s="19">
        <v>342092.28739999997</v>
      </c>
      <c r="M11" s="19">
        <v>426018.08</v>
      </c>
      <c r="N11" s="19">
        <v>545350.93290000001</v>
      </c>
      <c r="O11" s="19">
        <v>505219.72580000001</v>
      </c>
      <c r="P11" s="19">
        <v>519159.51929999999</v>
      </c>
      <c r="Q11" s="19">
        <v>586644.21109999996</v>
      </c>
      <c r="R11" s="19">
        <v>586085.071</v>
      </c>
      <c r="S11" s="19">
        <v>653403.76740000001</v>
      </c>
      <c r="T11" s="19">
        <v>666224.83990000002</v>
      </c>
      <c r="U11" s="19">
        <v>601674.58880000003</v>
      </c>
      <c r="V11" s="19">
        <v>731628.47140000004</v>
      </c>
      <c r="W11" s="19">
        <v>805122.92830000003</v>
      </c>
      <c r="X11" s="19">
        <v>883559.23679999996</v>
      </c>
      <c r="Y11" s="19">
        <v>869142.14610000001</v>
      </c>
      <c r="Z11" s="19">
        <v>956732.36179999996</v>
      </c>
      <c r="AA11" s="22">
        <v>1033223.19761394</v>
      </c>
    </row>
    <row r="12" spans="1:27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1"/>
    </row>
    <row r="13" spans="1:27" x14ac:dyDescent="0.25">
      <c r="A13" s="6" t="s">
        <v>180</v>
      </c>
      <c r="B13" s="6" t="s">
        <v>181</v>
      </c>
      <c r="C13" s="19">
        <v>52170.296999999999</v>
      </c>
      <c r="D13" s="19">
        <v>46623.042999999998</v>
      </c>
      <c r="E13" s="19">
        <v>44098</v>
      </c>
      <c r="F13" s="19">
        <v>46378</v>
      </c>
      <c r="G13" s="19">
        <v>55721</v>
      </c>
      <c r="H13" s="19">
        <v>68561.796000000002</v>
      </c>
      <c r="I13" s="19">
        <v>289769</v>
      </c>
      <c r="J13" s="19">
        <v>269592</v>
      </c>
      <c r="K13" s="19">
        <v>273235</v>
      </c>
      <c r="L13" s="19">
        <v>372860</v>
      </c>
      <c r="M13" s="19">
        <v>387936</v>
      </c>
      <c r="N13" s="19">
        <v>460780</v>
      </c>
      <c r="O13" s="19">
        <v>477980</v>
      </c>
      <c r="P13" s="19">
        <v>500926</v>
      </c>
      <c r="Q13" s="19">
        <v>512031</v>
      </c>
      <c r="R13" s="19">
        <v>515640</v>
      </c>
      <c r="S13" s="19">
        <v>636242</v>
      </c>
      <c r="T13" s="19">
        <v>627174</v>
      </c>
      <c r="U13" s="19">
        <v>635477</v>
      </c>
      <c r="V13" s="19">
        <v>700011</v>
      </c>
      <c r="W13" s="19">
        <v>790790</v>
      </c>
      <c r="X13" s="19">
        <v>810872</v>
      </c>
      <c r="Y13" s="19">
        <v>887140</v>
      </c>
      <c r="Z13" s="19">
        <v>888161</v>
      </c>
      <c r="AA13" s="22">
        <v>889984</v>
      </c>
    </row>
    <row r="14" spans="1:27" x14ac:dyDescent="0.25">
      <c r="A14" s="10" t="s">
        <v>182</v>
      </c>
      <c r="B14" s="10" t="s">
        <v>183</v>
      </c>
      <c r="C14" s="14">
        <v>77.015900000000002</v>
      </c>
      <c r="D14" s="14">
        <v>69.198499999999996</v>
      </c>
      <c r="E14" s="14">
        <v>62.880400000000002</v>
      </c>
      <c r="F14" s="14">
        <v>53.697899999999997</v>
      </c>
      <c r="G14" s="14">
        <v>50.637999999999998</v>
      </c>
      <c r="H14" s="14">
        <v>49.2408</v>
      </c>
      <c r="I14" s="14">
        <v>86.283600000000007</v>
      </c>
      <c r="J14" s="14">
        <v>83.317800000000005</v>
      </c>
      <c r="K14" s="14">
        <v>81.617699999999999</v>
      </c>
      <c r="L14" s="14">
        <v>79.326800000000006</v>
      </c>
      <c r="M14" s="14">
        <v>77.184600000000003</v>
      </c>
      <c r="N14" s="14">
        <v>76.411500000000004</v>
      </c>
      <c r="O14" s="14">
        <v>73.916899999999998</v>
      </c>
      <c r="P14" s="14">
        <v>72.580399999999997</v>
      </c>
      <c r="Q14" s="14">
        <v>72.130399999999995</v>
      </c>
      <c r="R14" s="14">
        <v>71.378500000000003</v>
      </c>
      <c r="S14" s="14">
        <v>72.578999999999994</v>
      </c>
      <c r="T14" s="14">
        <v>68.748999999999995</v>
      </c>
      <c r="U14" s="14">
        <v>64.577200000000005</v>
      </c>
      <c r="V14" s="14">
        <v>66.109099999999998</v>
      </c>
      <c r="W14" s="14">
        <v>69.772999999999996</v>
      </c>
      <c r="X14" s="14">
        <v>69.266999999999996</v>
      </c>
      <c r="Y14" s="14">
        <v>71.996799999999993</v>
      </c>
      <c r="Z14" s="14">
        <v>71.602800000000002</v>
      </c>
      <c r="AA14" s="17">
        <v>70.288117539191703</v>
      </c>
    </row>
    <row r="15" spans="1:27" x14ac:dyDescent="0.25">
      <c r="A15" s="10" t="s">
        <v>184</v>
      </c>
      <c r="B15" s="10" t="s">
        <v>185</v>
      </c>
      <c r="C15" s="14">
        <v>1.3297000000000001</v>
      </c>
      <c r="D15" s="14">
        <v>1.4605999999999999</v>
      </c>
      <c r="E15" s="14">
        <v>1.1257999999999999</v>
      </c>
      <c r="F15" s="14">
        <v>0.77680000000000005</v>
      </c>
      <c r="G15" s="14">
        <v>0.3947</v>
      </c>
      <c r="H15" s="14">
        <v>0.39810000000000001</v>
      </c>
      <c r="I15" s="14">
        <v>1.0095000000000001</v>
      </c>
      <c r="J15" s="14">
        <v>0.84609999999999996</v>
      </c>
      <c r="K15" s="14">
        <v>0.78849999999999998</v>
      </c>
      <c r="L15" s="14">
        <v>0.86460000000000004</v>
      </c>
      <c r="M15" s="14">
        <v>0.70289999999999997</v>
      </c>
      <c r="N15" s="14">
        <v>0.64559999999999995</v>
      </c>
      <c r="O15" s="14">
        <v>0.69930000000000003</v>
      </c>
      <c r="P15" s="14">
        <v>0.70030000000000003</v>
      </c>
      <c r="Q15" s="14">
        <v>0.62960000000000005</v>
      </c>
      <c r="R15" s="14">
        <v>0.628</v>
      </c>
      <c r="S15" s="14">
        <v>0.70669999999999999</v>
      </c>
      <c r="T15" s="14">
        <v>0.6472</v>
      </c>
      <c r="U15" s="14">
        <v>0.68210000000000004</v>
      </c>
      <c r="V15" s="14">
        <v>0.63249999999999995</v>
      </c>
      <c r="W15" s="14">
        <v>0.68530000000000002</v>
      </c>
      <c r="X15" s="14">
        <v>0.63570000000000004</v>
      </c>
      <c r="Y15" s="14">
        <v>0.7349</v>
      </c>
      <c r="Z15" s="14">
        <v>0.66469999999999996</v>
      </c>
      <c r="AA15" s="17">
        <v>0.60543840038107199</v>
      </c>
    </row>
    <row r="16" spans="1:27" x14ac:dyDescent="0.25">
      <c r="A16" s="10" t="s">
        <v>186</v>
      </c>
      <c r="B16" s="10" t="s">
        <v>187</v>
      </c>
      <c r="C16" s="14">
        <v>2.3704000000000001</v>
      </c>
      <c r="D16" s="14">
        <v>1.1225000000000001</v>
      </c>
      <c r="E16" s="14">
        <v>0.69589999999999996</v>
      </c>
      <c r="F16" s="14">
        <v>0.71299999999999997</v>
      </c>
      <c r="G16" s="14">
        <v>0.83840000000000003</v>
      </c>
      <c r="H16" s="14">
        <v>0.93200000000000005</v>
      </c>
      <c r="I16" s="14">
        <v>4.9428000000000001</v>
      </c>
      <c r="J16" s="14">
        <v>2.7502</v>
      </c>
      <c r="K16" s="14">
        <v>2.3807999999999998</v>
      </c>
      <c r="L16" s="14">
        <v>3.4950000000000001</v>
      </c>
      <c r="M16" s="14">
        <v>2.1943999999999999</v>
      </c>
      <c r="N16" s="14">
        <v>2.1520999999999999</v>
      </c>
      <c r="O16" s="14">
        <v>2.2467000000000001</v>
      </c>
      <c r="P16" s="14">
        <v>1.9813000000000001</v>
      </c>
      <c r="Q16" s="14">
        <v>2.0859000000000001</v>
      </c>
      <c r="R16" s="14">
        <v>1.9596</v>
      </c>
      <c r="S16" s="14">
        <v>2.3860999999999999</v>
      </c>
      <c r="T16" s="14">
        <v>2.1991000000000001</v>
      </c>
      <c r="U16" s="14">
        <v>1.9226000000000001</v>
      </c>
      <c r="V16" s="14">
        <v>1.9248000000000001</v>
      </c>
      <c r="W16" s="14">
        <v>2.0141</v>
      </c>
      <c r="X16" s="14">
        <v>1.8050999999999999</v>
      </c>
      <c r="Y16" s="14">
        <v>2.3275000000000001</v>
      </c>
      <c r="Z16" s="14">
        <v>2.0371999999999999</v>
      </c>
      <c r="AA16" s="17">
        <v>1.9128300810732699</v>
      </c>
    </row>
    <row r="17" spans="1:27" x14ac:dyDescent="0.25">
      <c r="A17" s="6" t="s">
        <v>188</v>
      </c>
      <c r="B17" s="6" t="s">
        <v>189</v>
      </c>
      <c r="C17" s="20">
        <v>1.5652999999999999</v>
      </c>
      <c r="D17" s="20">
        <v>1.2289000000000001</v>
      </c>
      <c r="E17" s="20">
        <v>1.1787000000000001</v>
      </c>
      <c r="F17" s="20">
        <v>1.0323</v>
      </c>
      <c r="G17" s="20">
        <v>2.3411</v>
      </c>
      <c r="H17" s="20">
        <v>2.6183999999999998</v>
      </c>
      <c r="I17" s="20">
        <v>6.6616</v>
      </c>
      <c r="J17" s="20">
        <v>8.7700999999999993</v>
      </c>
      <c r="K17" s="20">
        <v>9.6882000000000001</v>
      </c>
      <c r="L17" s="20">
        <v>8.6812000000000005</v>
      </c>
      <c r="M17" s="20">
        <v>8.9974000000000007</v>
      </c>
      <c r="N17" s="20">
        <v>11.129799999999999</v>
      </c>
      <c r="O17" s="20">
        <v>10.3056</v>
      </c>
      <c r="P17" s="20">
        <v>11.0761</v>
      </c>
      <c r="Q17" s="20">
        <v>10.961600000000001</v>
      </c>
      <c r="R17" s="20">
        <v>7.4882999999999997</v>
      </c>
      <c r="S17" s="20">
        <v>6.1853999999999996</v>
      </c>
      <c r="T17" s="20">
        <v>5.6033999999999997</v>
      </c>
      <c r="U17" s="20">
        <v>6.7507000000000001</v>
      </c>
      <c r="V17" s="20">
        <v>8.3917999999999999</v>
      </c>
      <c r="W17" s="20">
        <v>3.6956000000000002</v>
      </c>
      <c r="X17" s="20">
        <v>2.7435</v>
      </c>
      <c r="Y17" s="20">
        <v>2.5019999999999998</v>
      </c>
      <c r="Z17" s="20">
        <v>2.7660999999999998</v>
      </c>
      <c r="AA17" s="23">
        <v>3.20839902748423</v>
      </c>
    </row>
    <row r="18" spans="1:27" x14ac:dyDescent="0.25">
      <c r="A18" s="6" t="s">
        <v>190</v>
      </c>
      <c r="B18" s="6" t="s">
        <v>191</v>
      </c>
      <c r="C18" s="20">
        <v>15.710699999999999</v>
      </c>
      <c r="D18" s="20">
        <v>8.7591000000000001</v>
      </c>
      <c r="E18" s="20">
        <v>7.3918999999999997</v>
      </c>
      <c r="F18" s="20">
        <v>4.6779999999999999</v>
      </c>
      <c r="G18" s="20">
        <v>9.3360000000000003</v>
      </c>
      <c r="H18" s="20">
        <v>10.3355</v>
      </c>
      <c r="I18" s="20">
        <v>29.872499999999999</v>
      </c>
      <c r="J18" s="20">
        <v>37.657800000000002</v>
      </c>
      <c r="K18" s="20">
        <v>30.5243</v>
      </c>
      <c r="L18" s="20">
        <v>25.9909</v>
      </c>
      <c r="M18" s="20">
        <v>27.286100000000001</v>
      </c>
      <c r="N18" s="20">
        <v>32.6479</v>
      </c>
      <c r="O18" s="20">
        <v>25.386700000000001</v>
      </c>
      <c r="P18" s="20">
        <v>23.700500000000002</v>
      </c>
      <c r="Q18" s="20">
        <v>23.498699999999999</v>
      </c>
      <c r="R18" s="20">
        <v>18.347300000000001</v>
      </c>
      <c r="S18" s="20">
        <v>15.3147</v>
      </c>
      <c r="T18" s="20">
        <v>13.8462</v>
      </c>
      <c r="U18" s="20">
        <v>15.450100000000001</v>
      </c>
      <c r="V18" s="20">
        <v>16.695499999999999</v>
      </c>
      <c r="W18" s="20">
        <v>13.194000000000001</v>
      </c>
      <c r="X18" s="20">
        <v>12.7019</v>
      </c>
      <c r="Y18" s="20">
        <v>11.4598</v>
      </c>
      <c r="Z18" s="20">
        <v>11.682600000000001</v>
      </c>
      <c r="AA18" s="23">
        <v>12.6030494207746</v>
      </c>
    </row>
    <row r="19" spans="1:27" x14ac:dyDescent="0.25">
      <c r="A19" s="6" t="s">
        <v>192</v>
      </c>
      <c r="B19" s="6" t="s">
        <v>193</v>
      </c>
      <c r="C19" s="20">
        <v>2.7039</v>
      </c>
      <c r="D19" s="20">
        <v>1.6397999999999999</v>
      </c>
      <c r="E19" s="20">
        <v>1.5894999999999999</v>
      </c>
      <c r="F19" s="20">
        <v>1.5642</v>
      </c>
      <c r="G19" s="20">
        <v>2.7391999999999999</v>
      </c>
      <c r="H19" s="20">
        <v>2.5592999999999999</v>
      </c>
      <c r="I19" s="20">
        <v>6.5518999999999998</v>
      </c>
      <c r="J19" s="20">
        <v>6.4180000000000001</v>
      </c>
      <c r="K19" s="20">
        <v>6.1330999999999998</v>
      </c>
      <c r="L19" s="20">
        <v>4.8285</v>
      </c>
      <c r="M19" s="20">
        <v>5.2028999999999996</v>
      </c>
      <c r="N19" s="20">
        <v>5.1131000000000002</v>
      </c>
      <c r="O19" s="20">
        <v>4.1101000000000001</v>
      </c>
      <c r="P19" s="20">
        <v>3.8328000000000002</v>
      </c>
      <c r="Q19" s="20">
        <v>4.1680999999999999</v>
      </c>
      <c r="R19" s="20">
        <v>4.0210999999999997</v>
      </c>
      <c r="S19" s="20">
        <v>3.7927</v>
      </c>
      <c r="T19" s="20">
        <v>3.4392</v>
      </c>
      <c r="U19" s="20">
        <v>2.7073</v>
      </c>
      <c r="V19" s="20">
        <v>3.1234999999999999</v>
      </c>
      <c r="W19" s="20">
        <v>3.4108999999999998</v>
      </c>
      <c r="X19" s="20">
        <v>3.5434000000000001</v>
      </c>
      <c r="Y19" s="20">
        <v>3.4847999999999999</v>
      </c>
      <c r="Z19" s="20">
        <v>3.8409</v>
      </c>
      <c r="AA19" s="23">
        <v>3.9567084754604598</v>
      </c>
    </row>
    <row r="20" spans="1:27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1"/>
    </row>
    <row r="21" spans="1:27" x14ac:dyDescent="0.25">
      <c r="A21" s="6" t="s">
        <v>194</v>
      </c>
      <c r="B21" s="6" t="s">
        <v>195</v>
      </c>
      <c r="C21" s="19">
        <v>12748.1162</v>
      </c>
      <c r="D21" s="19">
        <v>19573.808000000001</v>
      </c>
      <c r="E21" s="19" t="s">
        <v>80</v>
      </c>
      <c r="F21" s="19">
        <v>44963.267500000002</v>
      </c>
      <c r="G21" s="19">
        <v>85274.316800000001</v>
      </c>
      <c r="H21" s="19">
        <v>90984.964000000007</v>
      </c>
      <c r="I21" s="19">
        <v>50181.945699999997</v>
      </c>
      <c r="J21" s="19">
        <v>96499.601299999995</v>
      </c>
      <c r="K21" s="19">
        <v>118794.64</v>
      </c>
      <c r="L21" s="19">
        <v>95182.081300000005</v>
      </c>
      <c r="M21" s="19">
        <v>194138.08</v>
      </c>
      <c r="N21" s="19">
        <v>230784.49600000001</v>
      </c>
      <c r="O21" s="19">
        <v>225167.6</v>
      </c>
      <c r="P21" s="19">
        <v>263476.6127</v>
      </c>
      <c r="Q21" s="19">
        <v>283752.57900000003</v>
      </c>
      <c r="R21" s="19">
        <v>299091.30589999998</v>
      </c>
      <c r="S21" s="19">
        <v>276177.51150000002</v>
      </c>
      <c r="T21" s="19">
        <v>302689.97899999999</v>
      </c>
      <c r="U21" s="19">
        <v>312953.58880000003</v>
      </c>
      <c r="V21" s="19">
        <v>380096.47139999998</v>
      </c>
      <c r="W21" s="19">
        <v>403424.41210000002</v>
      </c>
      <c r="X21" s="19">
        <v>492379.04800000001</v>
      </c>
      <c r="Y21" s="19">
        <v>381726.47639999999</v>
      </c>
      <c r="Z21" s="19">
        <v>472118.71309999999</v>
      </c>
      <c r="AA21" s="22">
        <v>540154.18216080905</v>
      </c>
    </row>
    <row r="22" spans="1:27" x14ac:dyDescent="0.25">
      <c r="A22" s="6" t="s">
        <v>196</v>
      </c>
      <c r="B22" s="6" t="s">
        <v>197</v>
      </c>
      <c r="C22" s="19">
        <v>30217.622200000002</v>
      </c>
      <c r="D22" s="19">
        <v>22087.777600000001</v>
      </c>
      <c r="E22" s="19" t="s">
        <v>80</v>
      </c>
      <c r="F22" s="19">
        <v>32058.267500000002</v>
      </c>
      <c r="G22" s="19">
        <v>71485.724000000002</v>
      </c>
      <c r="H22" s="19">
        <v>84802.35</v>
      </c>
      <c r="I22" s="19">
        <v>247673.25899999999</v>
      </c>
      <c r="J22" s="19">
        <v>265487.82669999998</v>
      </c>
      <c r="K22" s="19">
        <v>282837.93670000002</v>
      </c>
      <c r="L22" s="19">
        <v>342092.28739999997</v>
      </c>
      <c r="M22" s="19">
        <v>426018.08</v>
      </c>
      <c r="N22" s="19">
        <v>545350.93290000001</v>
      </c>
      <c r="O22" s="19">
        <v>505260.27960000001</v>
      </c>
      <c r="P22" s="19">
        <v>519159.51929999999</v>
      </c>
      <c r="Q22" s="19">
        <v>586644.21109999996</v>
      </c>
      <c r="R22" s="19">
        <v>588772.37360000005</v>
      </c>
      <c r="S22" s="19">
        <v>653403.76740000001</v>
      </c>
      <c r="T22" s="19">
        <v>666224.83990000002</v>
      </c>
      <c r="U22" s="19">
        <v>601674.58880000003</v>
      </c>
      <c r="V22" s="19">
        <v>731628.47140000004</v>
      </c>
      <c r="W22" s="19">
        <v>808869.63009999995</v>
      </c>
      <c r="X22" s="19">
        <v>883559.23679999996</v>
      </c>
      <c r="Y22" s="19">
        <v>869142.14610000001</v>
      </c>
      <c r="Z22" s="19">
        <v>956732.36179999996</v>
      </c>
      <c r="AA22" s="22">
        <v>1033223.18216081</v>
      </c>
    </row>
    <row r="23" spans="1:27" x14ac:dyDescent="0.25">
      <c r="A23" s="6" t="s">
        <v>198</v>
      </c>
      <c r="B23" s="6" t="s">
        <v>199</v>
      </c>
      <c r="C23" s="20">
        <v>15.111000000000001</v>
      </c>
      <c r="D23" s="20">
        <v>10.9443</v>
      </c>
      <c r="E23" s="20">
        <v>12.2029</v>
      </c>
      <c r="F23" s="20">
        <v>15.885400000000001</v>
      </c>
      <c r="G23" s="20">
        <v>35.4223</v>
      </c>
      <c r="H23" s="20">
        <v>42.0167</v>
      </c>
      <c r="I23" s="20">
        <v>122.9759</v>
      </c>
      <c r="J23" s="20">
        <v>131.56979999999999</v>
      </c>
      <c r="K23" s="20">
        <v>140.13339999999999</v>
      </c>
      <c r="L23" s="20">
        <v>147.9102</v>
      </c>
      <c r="M23" s="20">
        <v>183.1233</v>
      </c>
      <c r="N23" s="20">
        <v>196.6129</v>
      </c>
      <c r="O23" s="20">
        <v>182.43299999999999</v>
      </c>
      <c r="P23" s="20">
        <v>188.20599999999999</v>
      </c>
      <c r="Q23" s="20">
        <v>213.38570000000001</v>
      </c>
      <c r="R23" s="20">
        <v>211.30080000000001</v>
      </c>
      <c r="S23" s="20">
        <v>228.5438</v>
      </c>
      <c r="T23" s="20">
        <v>232.33459999999999</v>
      </c>
      <c r="U23" s="20">
        <v>211.34790000000001</v>
      </c>
      <c r="V23" s="20">
        <v>256.04349999999999</v>
      </c>
      <c r="W23" s="20">
        <v>281.79719999999998</v>
      </c>
      <c r="X23" s="20">
        <v>308.24529999999999</v>
      </c>
      <c r="Y23" s="20">
        <v>311.8143</v>
      </c>
      <c r="Z23" s="20">
        <v>340.09210000000002</v>
      </c>
      <c r="AA23" s="23">
        <v>374.05250386687902</v>
      </c>
    </row>
    <row r="24" spans="1:27" x14ac:dyDescent="0.25">
      <c r="A24" s="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21"/>
    </row>
    <row r="25" spans="1:27" x14ac:dyDescent="0.25">
      <c r="A25" s="6" t="s">
        <v>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21"/>
    </row>
    <row r="26" spans="1:27" x14ac:dyDescent="0.25">
      <c r="A26" s="11" t="s">
        <v>200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6"/>
    </row>
    <row r="27" spans="1:27" x14ac:dyDescent="0.25">
      <c r="A27" s="10" t="s">
        <v>201</v>
      </c>
      <c r="B27" s="10" t="s">
        <v>202</v>
      </c>
      <c r="C27" s="12" t="s">
        <v>203</v>
      </c>
      <c r="D27" s="12" t="s">
        <v>203</v>
      </c>
      <c r="E27" s="12" t="s">
        <v>203</v>
      </c>
      <c r="F27" s="12" t="s">
        <v>203</v>
      </c>
      <c r="G27" s="12" t="s">
        <v>203</v>
      </c>
      <c r="H27" s="12" t="s">
        <v>203</v>
      </c>
      <c r="I27" s="12" t="s">
        <v>203</v>
      </c>
      <c r="J27" s="12" t="s">
        <v>203</v>
      </c>
      <c r="K27" s="12" t="s">
        <v>203</v>
      </c>
      <c r="L27" s="12" t="s">
        <v>203</v>
      </c>
      <c r="M27" s="12" t="s">
        <v>203</v>
      </c>
      <c r="N27" s="12" t="s">
        <v>203</v>
      </c>
      <c r="O27" s="12" t="s">
        <v>203</v>
      </c>
      <c r="P27" s="12" t="s">
        <v>203</v>
      </c>
      <c r="Q27" s="12" t="s">
        <v>203</v>
      </c>
      <c r="R27" s="12" t="s">
        <v>203</v>
      </c>
      <c r="S27" s="12" t="s">
        <v>203</v>
      </c>
      <c r="T27" s="12" t="s">
        <v>203</v>
      </c>
      <c r="U27" s="12" t="s">
        <v>204</v>
      </c>
      <c r="V27" s="12" t="s">
        <v>204</v>
      </c>
      <c r="W27" s="12" t="s">
        <v>204</v>
      </c>
      <c r="X27" s="12" t="s">
        <v>204</v>
      </c>
      <c r="Y27" s="12" t="s">
        <v>204</v>
      </c>
      <c r="Z27" s="12" t="s">
        <v>204</v>
      </c>
      <c r="AA27" s="15" t="s">
        <v>204</v>
      </c>
    </row>
    <row r="28" spans="1:27" x14ac:dyDescent="0.25">
      <c r="A28" s="10" t="s">
        <v>205</v>
      </c>
      <c r="B28" s="10" t="s">
        <v>206</v>
      </c>
      <c r="C28" s="13">
        <v>19304.699000000001</v>
      </c>
      <c r="D28" s="13">
        <v>17973.254000000001</v>
      </c>
      <c r="E28" s="13">
        <v>20896</v>
      </c>
      <c r="F28" s="13">
        <v>31054</v>
      </c>
      <c r="G28" s="13">
        <v>30535</v>
      </c>
      <c r="H28" s="13">
        <v>32386.701000000001</v>
      </c>
      <c r="I28" s="13">
        <v>37179</v>
      </c>
      <c r="J28" s="13">
        <v>30272</v>
      </c>
      <c r="K28" s="13">
        <v>29194</v>
      </c>
      <c r="L28" s="13">
        <v>39406</v>
      </c>
      <c r="M28" s="13">
        <v>47349</v>
      </c>
      <c r="N28" s="13">
        <v>48999</v>
      </c>
      <c r="O28" s="13">
        <v>49024</v>
      </c>
      <c r="P28" s="13">
        <v>46872</v>
      </c>
      <c r="Q28" s="13">
        <v>53518</v>
      </c>
      <c r="R28" s="13">
        <v>78267</v>
      </c>
      <c r="S28" s="13">
        <v>105636</v>
      </c>
      <c r="T28" s="13">
        <v>118896</v>
      </c>
      <c r="U28" s="13">
        <v>89128</v>
      </c>
      <c r="V28" s="13">
        <v>87184</v>
      </c>
      <c r="W28" s="13">
        <v>217859</v>
      </c>
      <c r="X28" s="13">
        <v>322061</v>
      </c>
      <c r="Y28" s="13">
        <v>347383</v>
      </c>
      <c r="Z28" s="13">
        <v>345878</v>
      </c>
      <c r="AA28" s="16">
        <v>322037</v>
      </c>
    </row>
    <row r="29" spans="1:27" x14ac:dyDescent="0.25">
      <c r="A29" s="10" t="s">
        <v>207</v>
      </c>
      <c r="B29" s="10" t="s">
        <v>208</v>
      </c>
      <c r="C29" s="13">
        <v>1923.3779999999999</v>
      </c>
      <c r="D29" s="13">
        <v>2521.7069999999999</v>
      </c>
      <c r="E29" s="13">
        <v>3332</v>
      </c>
      <c r="F29" s="13">
        <v>6853</v>
      </c>
      <c r="G29" s="13">
        <v>7657</v>
      </c>
      <c r="H29" s="13">
        <v>8204.9519999999993</v>
      </c>
      <c r="I29" s="13">
        <v>8291</v>
      </c>
      <c r="J29" s="13">
        <v>7050</v>
      </c>
      <c r="K29" s="13">
        <v>9266</v>
      </c>
      <c r="L29" s="13">
        <v>13162</v>
      </c>
      <c r="M29" s="13">
        <v>15613</v>
      </c>
      <c r="N29" s="13">
        <v>16704</v>
      </c>
      <c r="O29" s="13">
        <v>19901</v>
      </c>
      <c r="P29" s="13">
        <v>21905</v>
      </c>
      <c r="Q29" s="13">
        <v>24965</v>
      </c>
      <c r="R29" s="13">
        <v>31944</v>
      </c>
      <c r="S29" s="13">
        <v>42665</v>
      </c>
      <c r="T29" s="13">
        <v>48116</v>
      </c>
      <c r="U29" s="13">
        <v>38943</v>
      </c>
      <c r="V29" s="13">
        <v>43822</v>
      </c>
      <c r="W29" s="13">
        <v>61022</v>
      </c>
      <c r="X29" s="13">
        <v>69561</v>
      </c>
      <c r="Y29" s="13">
        <v>75843</v>
      </c>
      <c r="Z29" s="13">
        <v>81894</v>
      </c>
      <c r="AA29" s="16">
        <v>81982</v>
      </c>
    </row>
    <row r="30" spans="1:27" x14ac:dyDescent="0.25">
      <c r="A30" s="10" t="s">
        <v>209</v>
      </c>
      <c r="B30" s="10" t="s">
        <v>60</v>
      </c>
      <c r="C30" s="13">
        <v>11175.462</v>
      </c>
      <c r="D30" s="13">
        <v>13469.628000000001</v>
      </c>
      <c r="E30" s="13">
        <v>15495</v>
      </c>
      <c r="F30" s="13">
        <v>20495</v>
      </c>
      <c r="G30" s="13">
        <v>26097</v>
      </c>
      <c r="H30" s="13">
        <v>33134.525000000001</v>
      </c>
      <c r="I30" s="13">
        <v>37802</v>
      </c>
      <c r="J30" s="13">
        <v>41366</v>
      </c>
      <c r="K30" s="13">
        <v>46117</v>
      </c>
      <c r="L30" s="13">
        <v>70849</v>
      </c>
      <c r="M30" s="13">
        <v>81881</v>
      </c>
      <c r="N30" s="13">
        <v>106657</v>
      </c>
      <c r="O30" s="13">
        <v>122922</v>
      </c>
      <c r="P30" s="13">
        <v>135452</v>
      </c>
      <c r="Q30" s="13">
        <v>140746</v>
      </c>
      <c r="R30" s="13">
        <v>145752</v>
      </c>
      <c r="S30" s="13">
        <v>172279</v>
      </c>
      <c r="T30" s="13">
        <v>193717</v>
      </c>
      <c r="U30" s="13">
        <v>222242</v>
      </c>
      <c r="V30" s="13">
        <v>234234</v>
      </c>
      <c r="W30" s="13">
        <v>236043</v>
      </c>
      <c r="X30" s="13">
        <v>249353</v>
      </c>
      <c r="Y30" s="13">
        <v>249409</v>
      </c>
      <c r="Z30" s="13">
        <v>249090</v>
      </c>
      <c r="AA30" s="16">
        <v>261132</v>
      </c>
    </row>
    <row r="31" spans="1:27" x14ac:dyDescent="0.25">
      <c r="A31" s="7" t="s">
        <v>87</v>
      </c>
      <c r="B31" s="7"/>
      <c r="C31" s="7" t="s">
        <v>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9"/>
  <sheetViews>
    <sheetView workbookViewId="0">
      <selection activeCell="F8" sqref="F8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169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170</v>
      </c>
    </row>
    <row r="6" spans="1:27" x14ac:dyDescent="0.25">
      <c r="A6" s="6" t="s">
        <v>211</v>
      </c>
      <c r="B6" s="6" t="s">
        <v>212</v>
      </c>
      <c r="C6" s="20">
        <v>7.9425999999999997</v>
      </c>
      <c r="D6" s="20">
        <v>8.8257999999999992</v>
      </c>
      <c r="E6" s="20">
        <v>13.5145</v>
      </c>
      <c r="F6" s="20">
        <v>7.4539999999999997</v>
      </c>
      <c r="G6" s="20">
        <v>14.3123</v>
      </c>
      <c r="H6" s="20">
        <v>12.749700000000001</v>
      </c>
      <c r="I6" s="20">
        <v>7.1546000000000003</v>
      </c>
      <c r="J6" s="20">
        <v>16.4846</v>
      </c>
      <c r="K6" s="20">
        <v>17.717199999999998</v>
      </c>
      <c r="L6" s="20">
        <v>11.175700000000001</v>
      </c>
      <c r="M6" s="20">
        <v>17.831199999999999</v>
      </c>
      <c r="N6" s="20">
        <v>17.076599999999999</v>
      </c>
      <c r="O6" s="20">
        <v>14.7905</v>
      </c>
      <c r="P6" s="20">
        <v>15.6134</v>
      </c>
      <c r="Q6" s="20">
        <v>14.8834</v>
      </c>
      <c r="R6" s="20">
        <v>12.445</v>
      </c>
      <c r="S6" s="20">
        <v>8.6418999999999997</v>
      </c>
      <c r="T6" s="20">
        <v>8.2865000000000002</v>
      </c>
      <c r="U6" s="20">
        <v>10.258100000000001</v>
      </c>
      <c r="V6" s="20">
        <v>10.845000000000001</v>
      </c>
      <c r="W6" s="20">
        <v>8.8018999999999998</v>
      </c>
      <c r="X6" s="20">
        <v>9.3933</v>
      </c>
      <c r="Y6" s="20">
        <v>6.6722999999999999</v>
      </c>
      <c r="Z6" s="20">
        <v>7.7427999999999999</v>
      </c>
      <c r="AA6" s="23">
        <v>8.9306430043070897</v>
      </c>
    </row>
    <row r="7" spans="1:27" x14ac:dyDescent="0.25">
      <c r="A7" s="10" t="s">
        <v>213</v>
      </c>
      <c r="B7" s="10" t="s">
        <v>214</v>
      </c>
      <c r="C7" s="14">
        <v>7.4964000000000004</v>
      </c>
      <c r="D7" s="14">
        <v>9.3613</v>
      </c>
      <c r="E7" s="14">
        <v>10.459300000000001</v>
      </c>
      <c r="F7" s="14">
        <v>15.3865</v>
      </c>
      <c r="G7" s="14">
        <v>10.2188</v>
      </c>
      <c r="H7" s="14">
        <v>16.0776</v>
      </c>
      <c r="I7" s="14">
        <v>11.026999999999999</v>
      </c>
      <c r="J7" s="14">
        <v>9.3918999999999997</v>
      </c>
      <c r="K7" s="14">
        <v>17.481400000000001</v>
      </c>
      <c r="L7" s="14">
        <v>15.165800000000001</v>
      </c>
      <c r="M7" s="14">
        <v>17.193200000000001</v>
      </c>
      <c r="N7" s="14">
        <v>18.402799999999999</v>
      </c>
      <c r="O7" s="14">
        <v>16.357199999999999</v>
      </c>
      <c r="P7" s="14">
        <v>15.529400000000001</v>
      </c>
      <c r="Q7" s="14">
        <v>16.225100000000001</v>
      </c>
      <c r="R7" s="14">
        <v>16.213100000000001</v>
      </c>
      <c r="S7" s="14">
        <v>13.3904</v>
      </c>
      <c r="T7" s="14">
        <v>9.5884</v>
      </c>
      <c r="U7" s="14">
        <v>6.9154</v>
      </c>
      <c r="V7" s="14">
        <v>11.6463</v>
      </c>
      <c r="W7" s="14">
        <v>10.971500000000001</v>
      </c>
      <c r="X7" s="14">
        <v>9.5249000000000006</v>
      </c>
      <c r="Y7" s="14">
        <v>8.5335000000000001</v>
      </c>
      <c r="Z7" s="14">
        <v>8.1867999999999999</v>
      </c>
      <c r="AA7" s="17"/>
    </row>
    <row r="8" spans="1:27" x14ac:dyDescent="0.25">
      <c r="A8" s="10" t="s">
        <v>215</v>
      </c>
      <c r="B8" s="10" t="s">
        <v>216</v>
      </c>
      <c r="C8" s="14">
        <v>8.7196999999999996</v>
      </c>
      <c r="D8" s="14">
        <v>12.3126</v>
      </c>
      <c r="E8" s="14">
        <v>15.8955</v>
      </c>
      <c r="F8" s="14">
        <v>18.817</v>
      </c>
      <c r="G8" s="14">
        <v>14.369400000000001</v>
      </c>
      <c r="H8" s="14">
        <v>17.781199999999998</v>
      </c>
      <c r="I8" s="14">
        <v>14.506</v>
      </c>
      <c r="J8" s="14">
        <v>16.4846</v>
      </c>
      <c r="K8" s="14">
        <v>20.684999999999999</v>
      </c>
      <c r="L8" s="14">
        <v>18.162700000000001</v>
      </c>
      <c r="M8" s="14">
        <v>22.314399999999999</v>
      </c>
      <c r="N8" s="14">
        <v>21.1389</v>
      </c>
      <c r="O8" s="14">
        <v>17.964500000000001</v>
      </c>
      <c r="P8" s="14">
        <v>17.5792</v>
      </c>
      <c r="Q8" s="14">
        <v>18.7134</v>
      </c>
      <c r="R8" s="14">
        <v>18.580300000000001</v>
      </c>
      <c r="S8" s="14">
        <v>15.7401</v>
      </c>
      <c r="T8" s="14">
        <v>11.1601</v>
      </c>
      <c r="U8" s="14">
        <v>10.258100000000001</v>
      </c>
      <c r="V8" s="14">
        <v>13.074299999999999</v>
      </c>
      <c r="W8" s="14">
        <v>13.5608</v>
      </c>
      <c r="X8" s="14">
        <v>10.9894</v>
      </c>
      <c r="Y8" s="14">
        <v>10.4434</v>
      </c>
      <c r="Z8" s="14">
        <v>9.2919999999999998</v>
      </c>
      <c r="AA8" s="17"/>
    </row>
    <row r="9" spans="1:27" x14ac:dyDescent="0.25">
      <c r="A9" s="10" t="s">
        <v>217</v>
      </c>
      <c r="B9" s="10" t="s">
        <v>218</v>
      </c>
      <c r="C9" s="14">
        <v>6.1523000000000003</v>
      </c>
      <c r="D9" s="14">
        <v>7.4691999999999998</v>
      </c>
      <c r="E9" s="14">
        <v>8.4184000000000001</v>
      </c>
      <c r="F9" s="14">
        <v>7.4539999999999997</v>
      </c>
      <c r="G9" s="14">
        <v>7.3769999999999998</v>
      </c>
      <c r="H9" s="14">
        <v>12.749700000000001</v>
      </c>
      <c r="I9" s="14">
        <v>4.8956999999999997</v>
      </c>
      <c r="J9" s="14">
        <v>3.8447</v>
      </c>
      <c r="K9" s="14">
        <v>14.410299999999999</v>
      </c>
      <c r="L9" s="14">
        <v>11.175700000000001</v>
      </c>
      <c r="M9" s="14">
        <v>11.342000000000001</v>
      </c>
      <c r="N9" s="14">
        <v>14.995699999999999</v>
      </c>
      <c r="O9" s="14">
        <v>14.028</v>
      </c>
      <c r="P9" s="14">
        <v>13.482699999999999</v>
      </c>
      <c r="Q9" s="14">
        <v>13.655799999999999</v>
      </c>
      <c r="R9" s="14">
        <v>12.445</v>
      </c>
      <c r="S9" s="14">
        <v>8.6418999999999997</v>
      </c>
      <c r="T9" s="14">
        <v>8.1952999999999996</v>
      </c>
      <c r="U9" s="14">
        <v>4.6330999999999998</v>
      </c>
      <c r="V9" s="14">
        <v>9.4779999999999998</v>
      </c>
      <c r="W9" s="14">
        <v>8.8018999999999998</v>
      </c>
      <c r="X9" s="14">
        <v>8.6371000000000002</v>
      </c>
      <c r="Y9" s="14">
        <v>6.6722999999999999</v>
      </c>
      <c r="Z9" s="14">
        <v>6.7733999999999996</v>
      </c>
      <c r="AA9" s="17"/>
    </row>
    <row r="10" spans="1:27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21"/>
    </row>
    <row r="11" spans="1:27" x14ac:dyDescent="0.25">
      <c r="A11" s="6" t="s">
        <v>219</v>
      </c>
      <c r="B11" s="6" t="s">
        <v>220</v>
      </c>
      <c r="C11" s="20">
        <v>1.1407</v>
      </c>
      <c r="D11" s="20">
        <v>1.4609000000000001</v>
      </c>
      <c r="E11" s="20">
        <v>2.2841</v>
      </c>
      <c r="F11" s="20">
        <v>2.1939000000000002</v>
      </c>
      <c r="G11" s="20">
        <v>3.2671999999999999</v>
      </c>
      <c r="H11" s="20">
        <v>2.7458999999999998</v>
      </c>
      <c r="I11" s="20">
        <v>1.3254999999999999</v>
      </c>
      <c r="J11" s="20">
        <v>2.3336999999999999</v>
      </c>
      <c r="K11" s="20">
        <v>2.5760999999999998</v>
      </c>
      <c r="L11" s="20">
        <v>1.3815</v>
      </c>
      <c r="M11" s="20">
        <v>2.371</v>
      </c>
      <c r="N11" s="20">
        <v>2.3759000000000001</v>
      </c>
      <c r="O11" s="20">
        <v>1.8293999999999999</v>
      </c>
      <c r="P11" s="20">
        <v>1.9345000000000001</v>
      </c>
      <c r="Q11" s="20">
        <v>1.9982</v>
      </c>
      <c r="R11" s="20">
        <v>2.052</v>
      </c>
      <c r="S11" s="20">
        <v>1.5894999999999999</v>
      </c>
      <c r="T11" s="20">
        <v>1.5639000000000001</v>
      </c>
      <c r="U11" s="20">
        <v>1.4081999999999999</v>
      </c>
      <c r="V11" s="20">
        <v>1.6227</v>
      </c>
      <c r="W11" s="20">
        <v>1.6935</v>
      </c>
      <c r="X11" s="20">
        <v>1.9630000000000001</v>
      </c>
      <c r="Y11" s="20">
        <v>1.4972000000000001</v>
      </c>
      <c r="Z11" s="20">
        <v>1.8854</v>
      </c>
      <c r="AA11" s="23">
        <v>2.0685101104453301</v>
      </c>
    </row>
    <row r="12" spans="1:27" x14ac:dyDescent="0.25">
      <c r="A12" s="10" t="s">
        <v>213</v>
      </c>
      <c r="B12" s="10" t="s">
        <v>221</v>
      </c>
      <c r="C12" s="14">
        <v>1.2431000000000001</v>
      </c>
      <c r="D12" s="14">
        <v>1.3452</v>
      </c>
      <c r="E12" s="14">
        <v>1.7314000000000001</v>
      </c>
      <c r="F12" s="14">
        <v>2.6040999999999999</v>
      </c>
      <c r="G12" s="14">
        <v>3.0038</v>
      </c>
      <c r="H12" s="14">
        <v>3.6695000000000002</v>
      </c>
      <c r="I12" s="14">
        <v>2.3740999999999999</v>
      </c>
      <c r="J12" s="14">
        <v>1.7372000000000001</v>
      </c>
      <c r="K12" s="14">
        <v>2.4750000000000001</v>
      </c>
      <c r="L12" s="14">
        <v>2.2040999999999999</v>
      </c>
      <c r="M12" s="14">
        <v>2.1261000000000001</v>
      </c>
      <c r="N12" s="14">
        <v>2.4474</v>
      </c>
      <c r="O12" s="14">
        <v>2.2749000000000001</v>
      </c>
      <c r="P12" s="14">
        <v>1.9208000000000001</v>
      </c>
      <c r="Q12" s="14">
        <v>2.0108999999999999</v>
      </c>
      <c r="R12" s="14">
        <v>2.1783000000000001</v>
      </c>
      <c r="S12" s="14">
        <v>2.2086000000000001</v>
      </c>
      <c r="T12" s="14">
        <v>1.7637</v>
      </c>
      <c r="U12" s="14">
        <v>1.3029999999999999</v>
      </c>
      <c r="V12" s="14">
        <v>1.5992999999999999</v>
      </c>
      <c r="W12" s="14">
        <v>1.6431</v>
      </c>
      <c r="X12" s="14">
        <v>1.8331999999999999</v>
      </c>
      <c r="Y12" s="14">
        <v>1.7837000000000001</v>
      </c>
      <c r="Z12" s="14">
        <v>1.8376999999999999</v>
      </c>
      <c r="AA12" s="17"/>
    </row>
    <row r="13" spans="1:27" x14ac:dyDescent="0.25">
      <c r="A13" s="10" t="s">
        <v>215</v>
      </c>
      <c r="B13" s="10" t="s">
        <v>222</v>
      </c>
      <c r="C13" s="14">
        <v>1.4467000000000001</v>
      </c>
      <c r="D13" s="14">
        <v>1.7683</v>
      </c>
      <c r="E13" s="14">
        <v>2.6311</v>
      </c>
      <c r="F13" s="14">
        <v>3.1802000000000001</v>
      </c>
      <c r="G13" s="14">
        <v>4.2291999999999996</v>
      </c>
      <c r="H13" s="14">
        <v>4.0590999999999999</v>
      </c>
      <c r="I13" s="14">
        <v>3.1242000000000001</v>
      </c>
      <c r="J13" s="14">
        <v>2.6873</v>
      </c>
      <c r="K13" s="14">
        <v>2.9283000000000001</v>
      </c>
      <c r="L13" s="14">
        <v>2.6408</v>
      </c>
      <c r="M13" s="14">
        <v>2.7585000000000002</v>
      </c>
      <c r="N13" s="14">
        <v>2.8108</v>
      </c>
      <c r="O13" s="14">
        <v>2.4994000000000001</v>
      </c>
      <c r="P13" s="14">
        <v>2.1743000000000001</v>
      </c>
      <c r="Q13" s="14">
        <v>2.3184999999999998</v>
      </c>
      <c r="R13" s="14">
        <v>2.4946000000000002</v>
      </c>
      <c r="S13" s="14">
        <v>2.5952999999999999</v>
      </c>
      <c r="T13" s="14">
        <v>2.0526</v>
      </c>
      <c r="U13" s="14">
        <v>1.7337</v>
      </c>
      <c r="V13" s="14">
        <v>1.7948</v>
      </c>
      <c r="W13" s="14">
        <v>2.0291000000000001</v>
      </c>
      <c r="X13" s="14">
        <v>2.1143999999999998</v>
      </c>
      <c r="Y13" s="14">
        <v>2.1823999999999999</v>
      </c>
      <c r="Z13" s="14">
        <v>2.0851000000000002</v>
      </c>
      <c r="AA13" s="17"/>
    </row>
    <row r="14" spans="1:27" x14ac:dyDescent="0.25">
      <c r="A14" s="10" t="s">
        <v>217</v>
      </c>
      <c r="B14" s="10" t="s">
        <v>223</v>
      </c>
      <c r="C14" s="14">
        <v>1.0207999999999999</v>
      </c>
      <c r="D14" s="14">
        <v>1.0727</v>
      </c>
      <c r="E14" s="14">
        <v>1.3935</v>
      </c>
      <c r="F14" s="14">
        <v>2.0840999999999998</v>
      </c>
      <c r="G14" s="14">
        <v>2.1711999999999998</v>
      </c>
      <c r="H14" s="14">
        <v>2.7458999999999998</v>
      </c>
      <c r="I14" s="14">
        <v>1.0544</v>
      </c>
      <c r="J14" s="14">
        <v>0.71230000000000004</v>
      </c>
      <c r="K14" s="14">
        <v>2.04</v>
      </c>
      <c r="L14" s="14">
        <v>1.3815</v>
      </c>
      <c r="M14" s="14">
        <v>1.4020999999999999</v>
      </c>
      <c r="N14" s="14">
        <v>1.994</v>
      </c>
      <c r="O14" s="14">
        <v>1.8293999999999999</v>
      </c>
      <c r="P14" s="14">
        <v>1.6676</v>
      </c>
      <c r="Q14" s="14">
        <v>1.6919</v>
      </c>
      <c r="R14" s="14">
        <v>1.8406</v>
      </c>
      <c r="S14" s="14">
        <v>1.5894999999999999</v>
      </c>
      <c r="T14" s="14">
        <v>1.5073000000000001</v>
      </c>
      <c r="U14" s="14">
        <v>0.87439999999999996</v>
      </c>
      <c r="V14" s="14">
        <v>1.3010999999999999</v>
      </c>
      <c r="W14" s="14">
        <v>1.3443000000000001</v>
      </c>
      <c r="X14" s="14">
        <v>1.6617999999999999</v>
      </c>
      <c r="Y14" s="14">
        <v>1.4972000000000001</v>
      </c>
      <c r="Z14" s="14">
        <v>1.5199</v>
      </c>
      <c r="AA14" s="17"/>
    </row>
    <row r="15" spans="1:27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21"/>
    </row>
    <row r="16" spans="1:27" x14ac:dyDescent="0.25">
      <c r="A16" s="6" t="s">
        <v>224</v>
      </c>
      <c r="B16" s="6" t="s">
        <v>225</v>
      </c>
      <c r="C16" s="20" t="s">
        <v>80</v>
      </c>
      <c r="D16" s="20" t="s">
        <v>80</v>
      </c>
      <c r="E16" s="20" t="s">
        <v>80</v>
      </c>
      <c r="F16" s="20" t="s">
        <v>80</v>
      </c>
      <c r="G16" s="20" t="s">
        <v>80</v>
      </c>
      <c r="H16" s="20" t="s">
        <v>80</v>
      </c>
      <c r="I16" s="20">
        <v>1.5454000000000001</v>
      </c>
      <c r="J16" s="20">
        <v>2.5240999999999998</v>
      </c>
      <c r="K16" s="20">
        <v>2.7521</v>
      </c>
      <c r="L16" s="20">
        <v>1.7745</v>
      </c>
      <c r="M16" s="20">
        <v>3.1743999999999999</v>
      </c>
      <c r="N16" s="20">
        <v>3.0063</v>
      </c>
      <c r="O16" s="20">
        <v>2.2892999999999999</v>
      </c>
      <c r="P16" s="20">
        <v>2.4582000000000002</v>
      </c>
      <c r="Q16" s="20">
        <v>2.4578000000000002</v>
      </c>
      <c r="R16" s="20">
        <v>2.2469999999999999</v>
      </c>
      <c r="S16" s="20">
        <v>2.1412</v>
      </c>
      <c r="T16" s="20">
        <v>1.8139000000000001</v>
      </c>
      <c r="U16" s="20">
        <v>1.6006</v>
      </c>
      <c r="V16" s="20">
        <v>1.8318000000000001</v>
      </c>
      <c r="W16" s="20">
        <v>2.0905</v>
      </c>
      <c r="X16" s="20">
        <v>2.3847</v>
      </c>
      <c r="Y16" s="20">
        <v>1.8088</v>
      </c>
      <c r="Z16" s="20">
        <v>2.2361</v>
      </c>
      <c r="AA16" s="23">
        <v>2.4285105887044001</v>
      </c>
    </row>
    <row r="17" spans="1:27" x14ac:dyDescent="0.25">
      <c r="A17" s="10" t="s">
        <v>213</v>
      </c>
      <c r="B17" s="10" t="s">
        <v>226</v>
      </c>
      <c r="C17" s="14" t="s">
        <v>80</v>
      </c>
      <c r="D17" s="14" t="s">
        <v>80</v>
      </c>
      <c r="E17" s="14" t="s">
        <v>80</v>
      </c>
      <c r="F17" s="14" t="s">
        <v>80</v>
      </c>
      <c r="G17" s="14" t="s">
        <v>80</v>
      </c>
      <c r="H17" s="14" t="s">
        <v>80</v>
      </c>
      <c r="I17" s="14">
        <v>1.5454000000000001</v>
      </c>
      <c r="J17" s="14">
        <v>2.0245000000000002</v>
      </c>
      <c r="K17" s="14">
        <v>2.6768999999999998</v>
      </c>
      <c r="L17" s="14">
        <v>2.3559000000000001</v>
      </c>
      <c r="M17" s="14">
        <v>2.7313000000000001</v>
      </c>
      <c r="N17" s="14">
        <v>3.2759999999999998</v>
      </c>
      <c r="O17" s="14">
        <v>2.8784000000000001</v>
      </c>
      <c r="P17" s="14">
        <v>2.4039000000000001</v>
      </c>
      <c r="Q17" s="14">
        <v>2.5550000000000002</v>
      </c>
      <c r="R17" s="14">
        <v>2.6781000000000001</v>
      </c>
      <c r="S17" s="14">
        <v>2.42</v>
      </c>
      <c r="T17" s="14">
        <v>2.3748</v>
      </c>
      <c r="U17" s="14">
        <v>1.5112000000000001</v>
      </c>
      <c r="V17" s="14">
        <v>1.8178000000000001</v>
      </c>
      <c r="W17" s="14">
        <v>1.8554999999999999</v>
      </c>
      <c r="X17" s="14">
        <v>2.2629000000000001</v>
      </c>
      <c r="Y17" s="14">
        <v>2.1667999999999998</v>
      </c>
      <c r="Z17" s="14">
        <v>2.2200000000000002</v>
      </c>
      <c r="AA17" s="17"/>
    </row>
    <row r="18" spans="1:27" x14ac:dyDescent="0.25">
      <c r="A18" s="10" t="s">
        <v>215</v>
      </c>
      <c r="B18" s="10" t="s">
        <v>227</v>
      </c>
      <c r="C18" s="14" t="s">
        <v>80</v>
      </c>
      <c r="D18" s="14" t="s">
        <v>80</v>
      </c>
      <c r="E18" s="14" t="s">
        <v>80</v>
      </c>
      <c r="F18" s="14" t="s">
        <v>80</v>
      </c>
      <c r="G18" s="14" t="s">
        <v>80</v>
      </c>
      <c r="H18" s="14" t="s">
        <v>80</v>
      </c>
      <c r="I18" s="14">
        <v>1.5454000000000001</v>
      </c>
      <c r="J18" s="14">
        <v>3.133</v>
      </c>
      <c r="K18" s="14">
        <v>3.1671999999999998</v>
      </c>
      <c r="L18" s="14">
        <v>2.8212999999999999</v>
      </c>
      <c r="M18" s="14">
        <v>3.5430999999999999</v>
      </c>
      <c r="N18" s="14">
        <v>3.7633000000000001</v>
      </c>
      <c r="O18" s="14">
        <v>3.1627000000000001</v>
      </c>
      <c r="P18" s="14">
        <v>2.7210000000000001</v>
      </c>
      <c r="Q18" s="14">
        <v>2.9462999999999999</v>
      </c>
      <c r="R18" s="14">
        <v>3.0682</v>
      </c>
      <c r="S18" s="14">
        <v>2.8418999999999999</v>
      </c>
      <c r="T18" s="14">
        <v>2.7652000000000001</v>
      </c>
      <c r="U18" s="14">
        <v>2.0108000000000001</v>
      </c>
      <c r="V18" s="14">
        <v>2.04</v>
      </c>
      <c r="W18" s="14">
        <v>2.2905000000000002</v>
      </c>
      <c r="X18" s="14">
        <v>2.6101000000000001</v>
      </c>
      <c r="Y18" s="14">
        <v>2.6511999999999998</v>
      </c>
      <c r="Z18" s="14">
        <v>2.5190000000000001</v>
      </c>
      <c r="AA18" s="17"/>
    </row>
    <row r="19" spans="1:27" x14ac:dyDescent="0.25">
      <c r="A19" s="10" t="s">
        <v>217</v>
      </c>
      <c r="B19" s="10" t="s">
        <v>228</v>
      </c>
      <c r="C19" s="14" t="s">
        <v>80</v>
      </c>
      <c r="D19" s="14" t="s">
        <v>80</v>
      </c>
      <c r="E19" s="14" t="s">
        <v>80</v>
      </c>
      <c r="F19" s="14" t="s">
        <v>80</v>
      </c>
      <c r="G19" s="14" t="s">
        <v>80</v>
      </c>
      <c r="H19" s="14" t="s">
        <v>80</v>
      </c>
      <c r="I19" s="14">
        <v>1.5454000000000001</v>
      </c>
      <c r="J19" s="14">
        <v>0.83040000000000003</v>
      </c>
      <c r="K19" s="14">
        <v>2.2065000000000001</v>
      </c>
      <c r="L19" s="14">
        <v>1.7745</v>
      </c>
      <c r="M19" s="14">
        <v>1.8008999999999999</v>
      </c>
      <c r="N19" s="14">
        <v>2.6696</v>
      </c>
      <c r="O19" s="14">
        <v>2.2892999999999999</v>
      </c>
      <c r="P19" s="14">
        <v>2.0869</v>
      </c>
      <c r="Q19" s="14">
        <v>2.15</v>
      </c>
      <c r="R19" s="14">
        <v>2.2469999999999999</v>
      </c>
      <c r="S19" s="14">
        <v>1.7426999999999999</v>
      </c>
      <c r="T19" s="14">
        <v>1.8139000000000001</v>
      </c>
      <c r="U19" s="14">
        <v>1.0142</v>
      </c>
      <c r="V19" s="14">
        <v>1.4789000000000001</v>
      </c>
      <c r="W19" s="14">
        <v>1.5175000000000001</v>
      </c>
      <c r="X19" s="14">
        <v>2.0514000000000001</v>
      </c>
      <c r="Y19" s="14">
        <v>1.8088</v>
      </c>
      <c r="Z19" s="14">
        <v>1.8362000000000001</v>
      </c>
      <c r="AA19" s="17"/>
    </row>
    <row r="20" spans="1:27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1"/>
    </row>
    <row r="21" spans="1:27" x14ac:dyDescent="0.25">
      <c r="A21" s="6" t="s">
        <v>229</v>
      </c>
      <c r="B21" s="6" t="s">
        <v>230</v>
      </c>
      <c r="C21" s="20">
        <v>0.43020000000000003</v>
      </c>
      <c r="D21" s="20">
        <v>0.69040000000000001</v>
      </c>
      <c r="E21" s="20">
        <v>1.1039000000000001</v>
      </c>
      <c r="F21" s="20">
        <v>1.0525</v>
      </c>
      <c r="G21" s="20">
        <v>1.9185000000000001</v>
      </c>
      <c r="H21" s="20">
        <v>1.8766</v>
      </c>
      <c r="I21" s="20">
        <v>0.83650000000000002</v>
      </c>
      <c r="J21" s="20">
        <v>1.7242999999999999</v>
      </c>
      <c r="K21" s="20">
        <v>2.1941999999999999</v>
      </c>
      <c r="L21" s="20">
        <v>1.1208</v>
      </c>
      <c r="M21" s="20">
        <v>1.9266000000000001</v>
      </c>
      <c r="N21" s="20">
        <v>2.0802</v>
      </c>
      <c r="O21" s="20">
        <v>2.0142000000000002</v>
      </c>
      <c r="P21" s="20">
        <v>2.4209000000000001</v>
      </c>
      <c r="Q21" s="20">
        <v>2.2866</v>
      </c>
      <c r="R21" s="20">
        <v>1.8415999999999999</v>
      </c>
      <c r="S21" s="20">
        <v>1.3969</v>
      </c>
      <c r="T21" s="20">
        <v>1.397</v>
      </c>
      <c r="U21" s="20">
        <v>1.5470999999999999</v>
      </c>
      <c r="V21" s="20">
        <v>1.7679</v>
      </c>
      <c r="W21" s="20">
        <v>1.1501999999999999</v>
      </c>
      <c r="X21" s="20">
        <v>1.0640000000000001</v>
      </c>
      <c r="Y21" s="20">
        <v>0.75509999999999999</v>
      </c>
      <c r="Z21" s="20">
        <v>0.90139999999999998</v>
      </c>
      <c r="AA21" s="23">
        <v>1.07665389668931</v>
      </c>
    </row>
    <row r="22" spans="1:27" x14ac:dyDescent="0.25">
      <c r="A22" s="10" t="s">
        <v>213</v>
      </c>
      <c r="B22" s="10" t="s">
        <v>231</v>
      </c>
      <c r="C22" s="14">
        <v>0.43919999999999998</v>
      </c>
      <c r="D22" s="14">
        <v>0.50790000000000002</v>
      </c>
      <c r="E22" s="14">
        <v>0.81830000000000003</v>
      </c>
      <c r="F22" s="14">
        <v>1.2585</v>
      </c>
      <c r="G22" s="14">
        <v>1.4424999999999999</v>
      </c>
      <c r="H22" s="14">
        <v>2.1558000000000002</v>
      </c>
      <c r="I22" s="14">
        <v>1.6222000000000001</v>
      </c>
      <c r="J22" s="14">
        <v>1.0972999999999999</v>
      </c>
      <c r="K22" s="14">
        <v>1.8299000000000001</v>
      </c>
      <c r="L22" s="14">
        <v>1.8772</v>
      </c>
      <c r="M22" s="14">
        <v>1.7248000000000001</v>
      </c>
      <c r="N22" s="14">
        <v>1.9893000000000001</v>
      </c>
      <c r="O22" s="14">
        <v>1.9934000000000001</v>
      </c>
      <c r="P22" s="14">
        <v>2.1160000000000001</v>
      </c>
      <c r="Q22" s="14">
        <v>2.5156999999999998</v>
      </c>
      <c r="R22" s="14">
        <v>2.4906999999999999</v>
      </c>
      <c r="S22" s="14">
        <v>1.982</v>
      </c>
      <c r="T22" s="14">
        <v>1.5502</v>
      </c>
      <c r="U22" s="14">
        <v>1.1651</v>
      </c>
      <c r="V22" s="14">
        <v>1.7569999999999999</v>
      </c>
      <c r="W22" s="14">
        <v>1.7874000000000001</v>
      </c>
      <c r="X22" s="14">
        <v>1.244</v>
      </c>
      <c r="Y22" s="14">
        <v>0.96660000000000001</v>
      </c>
      <c r="Z22" s="14">
        <v>0.92659999999999998</v>
      </c>
      <c r="AA22" s="17"/>
    </row>
    <row r="23" spans="1:27" x14ac:dyDescent="0.25">
      <c r="A23" s="10" t="s">
        <v>215</v>
      </c>
      <c r="B23" s="10" t="s">
        <v>232</v>
      </c>
      <c r="C23" s="14">
        <v>0.51839999999999997</v>
      </c>
      <c r="D23" s="14">
        <v>0.69179999999999997</v>
      </c>
      <c r="E23" s="14">
        <v>1.2482</v>
      </c>
      <c r="F23" s="14">
        <v>1.5753999999999999</v>
      </c>
      <c r="G23" s="14">
        <v>2.0889000000000002</v>
      </c>
      <c r="H23" s="14">
        <v>2.4975000000000001</v>
      </c>
      <c r="I23" s="14">
        <v>2.1568000000000001</v>
      </c>
      <c r="J23" s="14">
        <v>1.7336</v>
      </c>
      <c r="K23" s="14">
        <v>2.2057000000000002</v>
      </c>
      <c r="L23" s="14">
        <v>2.2605</v>
      </c>
      <c r="M23" s="14">
        <v>2.2509000000000001</v>
      </c>
      <c r="N23" s="14">
        <v>2.3334000000000001</v>
      </c>
      <c r="O23" s="14">
        <v>2.2086000000000001</v>
      </c>
      <c r="P23" s="14">
        <v>2.4310999999999998</v>
      </c>
      <c r="Q23" s="14">
        <v>2.9306000000000001</v>
      </c>
      <c r="R23" s="14">
        <v>2.8589000000000002</v>
      </c>
      <c r="S23" s="14">
        <v>2.3694999999999999</v>
      </c>
      <c r="T23" s="14">
        <v>1.8112999999999999</v>
      </c>
      <c r="U23" s="14">
        <v>1.5684</v>
      </c>
      <c r="V23" s="14">
        <v>2.0266000000000002</v>
      </c>
      <c r="W23" s="14">
        <v>2.2301000000000002</v>
      </c>
      <c r="X23" s="14">
        <v>1.4649000000000001</v>
      </c>
      <c r="Y23" s="14">
        <v>1.1847000000000001</v>
      </c>
      <c r="Z23" s="14">
        <v>1.0557000000000001</v>
      </c>
      <c r="AA23" s="17"/>
    </row>
    <row r="24" spans="1:27" x14ac:dyDescent="0.25">
      <c r="A24" s="10" t="s">
        <v>217</v>
      </c>
      <c r="B24" s="10" t="s">
        <v>233</v>
      </c>
      <c r="C24" s="14">
        <v>0.35470000000000002</v>
      </c>
      <c r="D24" s="14">
        <v>0.40160000000000001</v>
      </c>
      <c r="E24" s="14">
        <v>0.64790000000000003</v>
      </c>
      <c r="F24" s="14">
        <v>0.99070000000000003</v>
      </c>
      <c r="G24" s="14">
        <v>1.0355000000000001</v>
      </c>
      <c r="H24" s="14">
        <v>1.8608</v>
      </c>
      <c r="I24" s="14">
        <v>0.62439999999999996</v>
      </c>
      <c r="J24" s="14">
        <v>0.43840000000000001</v>
      </c>
      <c r="K24" s="14">
        <v>1.4866999999999999</v>
      </c>
      <c r="L24" s="14">
        <v>1.107</v>
      </c>
      <c r="M24" s="14">
        <v>1.1229</v>
      </c>
      <c r="N24" s="14">
        <v>1.5926</v>
      </c>
      <c r="O24" s="14">
        <v>1.6823999999999999</v>
      </c>
      <c r="P24" s="14">
        <v>1.7871999999999999</v>
      </c>
      <c r="Q24" s="14">
        <v>2.1124999999999998</v>
      </c>
      <c r="R24" s="14">
        <v>1.8275999999999999</v>
      </c>
      <c r="S24" s="14">
        <v>1.3568</v>
      </c>
      <c r="T24" s="14">
        <v>1.294</v>
      </c>
      <c r="U24" s="14">
        <v>0.7671</v>
      </c>
      <c r="V24" s="14">
        <v>1.4074</v>
      </c>
      <c r="W24" s="14">
        <v>1.1452</v>
      </c>
      <c r="X24" s="14">
        <v>1.0538000000000001</v>
      </c>
      <c r="Y24" s="14">
        <v>0.75249999999999995</v>
      </c>
      <c r="Z24" s="14">
        <v>0.75870000000000004</v>
      </c>
      <c r="AA24" s="17"/>
    </row>
    <row r="25" spans="1:27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21"/>
    </row>
    <row r="26" spans="1:27" x14ac:dyDescent="0.25">
      <c r="A26" s="6" t="s">
        <v>234</v>
      </c>
      <c r="B26" s="6" t="s">
        <v>235</v>
      </c>
      <c r="C26" s="20">
        <v>0.73299999999999998</v>
      </c>
      <c r="D26" s="20" t="s">
        <v>80</v>
      </c>
      <c r="E26" s="20">
        <v>5.9204999999999997</v>
      </c>
      <c r="F26" s="20" t="s">
        <v>80</v>
      </c>
      <c r="G26" s="20">
        <v>50.220399999999998</v>
      </c>
      <c r="H26" s="20" t="s">
        <v>80</v>
      </c>
      <c r="I26" s="20">
        <v>31.8413</v>
      </c>
      <c r="J26" s="20">
        <v>98.670299999999997</v>
      </c>
      <c r="K26" s="20">
        <v>6.7666000000000004</v>
      </c>
      <c r="L26" s="20">
        <v>10.9505</v>
      </c>
      <c r="M26" s="20">
        <v>20.863800000000001</v>
      </c>
      <c r="N26" s="20" t="s">
        <v>80</v>
      </c>
      <c r="O26" s="20">
        <v>39.944499999999998</v>
      </c>
      <c r="P26" s="20">
        <v>13.6326</v>
      </c>
      <c r="Q26" s="20" t="s">
        <v>80</v>
      </c>
      <c r="R26" s="20" t="s">
        <v>80</v>
      </c>
      <c r="S26" s="20">
        <v>13.747</v>
      </c>
      <c r="T26" s="20">
        <v>15.388400000000001</v>
      </c>
      <c r="U26" s="20" t="s">
        <v>80</v>
      </c>
      <c r="V26" s="20">
        <v>7.6866000000000003</v>
      </c>
      <c r="W26" s="20">
        <v>5.86</v>
      </c>
      <c r="X26" s="20" t="s">
        <v>80</v>
      </c>
      <c r="Y26" s="20">
        <v>3.9838</v>
      </c>
      <c r="Z26" s="20">
        <v>7.5538999999999996</v>
      </c>
      <c r="AA26" s="23">
        <v>17.745824761420199</v>
      </c>
    </row>
    <row r="27" spans="1:27" x14ac:dyDescent="0.25">
      <c r="A27" s="10" t="s">
        <v>213</v>
      </c>
      <c r="B27" s="10" t="s">
        <v>236</v>
      </c>
      <c r="C27" s="14">
        <v>0.73299999999999998</v>
      </c>
      <c r="D27" s="14">
        <v>0.86419999999999997</v>
      </c>
      <c r="E27" s="14">
        <v>5.9204999999999997</v>
      </c>
      <c r="F27" s="14">
        <v>6.7542999999999997</v>
      </c>
      <c r="G27" s="14">
        <v>50.220399999999998</v>
      </c>
      <c r="H27" s="14">
        <v>56.461300000000001</v>
      </c>
      <c r="I27" s="14">
        <v>31.8413</v>
      </c>
      <c r="J27" s="14">
        <v>41.899500000000003</v>
      </c>
      <c r="K27" s="14">
        <v>104.24250000000001</v>
      </c>
      <c r="L27" s="14">
        <v>5.8186999999999998</v>
      </c>
      <c r="M27" s="14">
        <v>16.860399999999998</v>
      </c>
      <c r="N27" s="14">
        <v>21.538900000000002</v>
      </c>
      <c r="O27" s="14">
        <v>39.944499999999998</v>
      </c>
      <c r="P27" s="14">
        <v>41.8264</v>
      </c>
      <c r="Q27" s="14">
        <v>14.1713</v>
      </c>
      <c r="R27" s="14" t="s">
        <v>80</v>
      </c>
      <c r="S27" s="14">
        <v>13.747</v>
      </c>
      <c r="T27" s="14">
        <v>15.2615</v>
      </c>
      <c r="U27" s="14">
        <v>12.817399999999999</v>
      </c>
      <c r="V27" s="14">
        <v>7.6866000000000003</v>
      </c>
      <c r="W27" s="14">
        <v>7.7747999999999999</v>
      </c>
      <c r="X27" s="14">
        <v>6.3417000000000003</v>
      </c>
      <c r="Y27" s="14">
        <v>3.9838</v>
      </c>
      <c r="Z27" s="14">
        <v>4.8997999999999999</v>
      </c>
      <c r="AA27" s="17"/>
    </row>
    <row r="28" spans="1:27" x14ac:dyDescent="0.25">
      <c r="A28" s="10" t="s">
        <v>215</v>
      </c>
      <c r="B28" s="10" t="s">
        <v>237</v>
      </c>
      <c r="C28" s="14">
        <v>0.73299999999999998</v>
      </c>
      <c r="D28" s="14">
        <v>1.1363000000000001</v>
      </c>
      <c r="E28" s="14">
        <v>5.9204999999999997</v>
      </c>
      <c r="F28" s="14">
        <v>8.2433999999999994</v>
      </c>
      <c r="G28" s="14">
        <v>50.220399999999998</v>
      </c>
      <c r="H28" s="14">
        <v>62.392200000000003</v>
      </c>
      <c r="I28" s="14">
        <v>31.8413</v>
      </c>
      <c r="J28" s="14">
        <v>98.670299999999997</v>
      </c>
      <c r="K28" s="14">
        <v>123.81229999999999</v>
      </c>
      <c r="L28" s="14">
        <v>10.9505</v>
      </c>
      <c r="M28" s="14">
        <v>21.864899999999999</v>
      </c>
      <c r="N28" s="14">
        <v>24.734100000000002</v>
      </c>
      <c r="O28" s="14">
        <v>39.944499999999998</v>
      </c>
      <c r="P28" s="14">
        <v>47.475900000000003</v>
      </c>
      <c r="Q28" s="14">
        <v>16.339300000000001</v>
      </c>
      <c r="R28" s="14" t="s">
        <v>80</v>
      </c>
      <c r="S28" s="14">
        <v>13.747</v>
      </c>
      <c r="T28" s="14">
        <v>17.7529</v>
      </c>
      <c r="U28" s="14">
        <v>17.059100000000001</v>
      </c>
      <c r="V28" s="14">
        <v>7.6866000000000003</v>
      </c>
      <c r="W28" s="14">
        <v>9.6114999999999995</v>
      </c>
      <c r="X28" s="14">
        <v>7.3163999999999998</v>
      </c>
      <c r="Y28" s="14">
        <v>3.9838</v>
      </c>
      <c r="Z28" s="14">
        <v>7.5538999999999996</v>
      </c>
      <c r="AA28" s="17"/>
    </row>
    <row r="29" spans="1:27" x14ac:dyDescent="0.25">
      <c r="A29" s="10" t="s">
        <v>217</v>
      </c>
      <c r="B29" s="10" t="s">
        <v>238</v>
      </c>
      <c r="C29" s="14">
        <v>0.73299999999999998</v>
      </c>
      <c r="D29" s="14">
        <v>0.68930000000000002</v>
      </c>
      <c r="E29" s="14">
        <v>5.9204999999999997</v>
      </c>
      <c r="F29" s="14">
        <v>5.4021999999999997</v>
      </c>
      <c r="G29" s="14">
        <v>50.220399999999998</v>
      </c>
      <c r="H29" s="14">
        <v>48.9129</v>
      </c>
      <c r="I29" s="14">
        <v>31.8413</v>
      </c>
      <c r="J29" s="14">
        <v>17.110900000000001</v>
      </c>
      <c r="K29" s="14">
        <v>6.7666000000000004</v>
      </c>
      <c r="L29" s="14">
        <v>4.3639000000000001</v>
      </c>
      <c r="M29" s="14">
        <v>11.1136</v>
      </c>
      <c r="N29" s="14">
        <v>17.546099999999999</v>
      </c>
      <c r="O29" s="14">
        <v>39.944499999999998</v>
      </c>
      <c r="P29" s="14">
        <v>13.6326</v>
      </c>
      <c r="Q29" s="14">
        <v>11.923299999999999</v>
      </c>
      <c r="R29" s="14" t="s">
        <v>80</v>
      </c>
      <c r="S29" s="14">
        <v>13.747</v>
      </c>
      <c r="T29" s="14">
        <v>13.0366</v>
      </c>
      <c r="U29" s="14">
        <v>8.6037999999999997</v>
      </c>
      <c r="V29" s="14">
        <v>7.6866000000000003</v>
      </c>
      <c r="W29" s="14">
        <v>5.86</v>
      </c>
      <c r="X29" s="14">
        <v>5.7503000000000002</v>
      </c>
      <c r="Y29" s="14">
        <v>3.9838</v>
      </c>
      <c r="Z29" s="14">
        <v>4.0442</v>
      </c>
      <c r="AA29" s="17"/>
    </row>
    <row r="30" spans="1:27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21"/>
    </row>
    <row r="31" spans="1:27" x14ac:dyDescent="0.25">
      <c r="A31" s="6" t="s">
        <v>239</v>
      </c>
      <c r="B31" s="6" t="s">
        <v>240</v>
      </c>
      <c r="C31" s="20">
        <v>6.38</v>
      </c>
      <c r="D31" s="20">
        <v>9.75</v>
      </c>
      <c r="E31" s="20">
        <v>17.54</v>
      </c>
      <c r="F31" s="20">
        <v>22.28</v>
      </c>
      <c r="G31" s="20">
        <v>42.25</v>
      </c>
      <c r="H31" s="20">
        <v>45.08</v>
      </c>
      <c r="I31" s="20">
        <v>24.88</v>
      </c>
      <c r="J31" s="20">
        <v>47.84</v>
      </c>
      <c r="K31" s="20">
        <v>58.86</v>
      </c>
      <c r="L31" s="20">
        <v>42.32</v>
      </c>
      <c r="M31" s="20">
        <v>83.45</v>
      </c>
      <c r="N31" s="20">
        <v>91.36</v>
      </c>
      <c r="O31" s="20">
        <v>81.2</v>
      </c>
      <c r="P31" s="20">
        <v>94.99</v>
      </c>
      <c r="Q31" s="20">
        <v>102.3</v>
      </c>
      <c r="R31" s="20">
        <v>107.83</v>
      </c>
      <c r="S31" s="20">
        <v>95.78</v>
      </c>
      <c r="T31" s="20">
        <v>105.65</v>
      </c>
      <c r="U31" s="20">
        <v>109.93</v>
      </c>
      <c r="V31" s="20">
        <v>133.02000000000001</v>
      </c>
      <c r="W31" s="20">
        <v>139.91</v>
      </c>
      <c r="X31" s="20">
        <v>170.76</v>
      </c>
      <c r="Y31" s="20">
        <v>133.97</v>
      </c>
      <c r="Z31" s="20">
        <v>166.94</v>
      </c>
      <c r="AA31" s="23">
        <v>192.00999450683599</v>
      </c>
    </row>
    <row r="32" spans="1:27" x14ac:dyDescent="0.25">
      <c r="A32" s="10" t="s">
        <v>215</v>
      </c>
      <c r="B32" s="10" t="s">
        <v>241</v>
      </c>
      <c r="C32" s="14">
        <v>6.65</v>
      </c>
      <c r="D32" s="14">
        <v>10.25</v>
      </c>
      <c r="E32" s="14">
        <v>17.63</v>
      </c>
      <c r="F32" s="14">
        <v>25.03</v>
      </c>
      <c r="G32" s="14">
        <v>44.22</v>
      </c>
      <c r="H32" s="14">
        <v>55</v>
      </c>
      <c r="I32" s="14">
        <v>51.81</v>
      </c>
      <c r="J32" s="14">
        <v>51</v>
      </c>
      <c r="K32" s="14">
        <v>60.8</v>
      </c>
      <c r="L32" s="14">
        <v>60.64</v>
      </c>
      <c r="M32" s="14">
        <v>84.99</v>
      </c>
      <c r="N32" s="14">
        <v>101.07</v>
      </c>
      <c r="O32" s="14">
        <v>97</v>
      </c>
      <c r="P32" s="14">
        <v>97</v>
      </c>
      <c r="Q32" s="14">
        <v>114.99</v>
      </c>
      <c r="R32" s="14">
        <v>127.9</v>
      </c>
      <c r="S32" s="14">
        <v>138.74</v>
      </c>
      <c r="T32" s="14">
        <v>124.19</v>
      </c>
      <c r="U32" s="14">
        <v>118.61</v>
      </c>
      <c r="V32" s="14">
        <v>144</v>
      </c>
      <c r="W32" s="14">
        <v>167.79</v>
      </c>
      <c r="X32" s="14">
        <v>178.19</v>
      </c>
      <c r="Y32" s="14">
        <v>190.12</v>
      </c>
      <c r="Z32" s="14">
        <v>187.29</v>
      </c>
      <c r="AA32" s="17">
        <v>194.80999755859401</v>
      </c>
    </row>
    <row r="33" spans="1:27" x14ac:dyDescent="0.25">
      <c r="A33" s="10" t="s">
        <v>217</v>
      </c>
      <c r="B33" s="10" t="s">
        <v>242</v>
      </c>
      <c r="C33" s="14">
        <v>4.55</v>
      </c>
      <c r="D33" s="14">
        <v>5.95</v>
      </c>
      <c r="E33" s="14">
        <v>9.15</v>
      </c>
      <c r="F33" s="14">
        <v>15.74</v>
      </c>
      <c r="G33" s="14">
        <v>21.92</v>
      </c>
      <c r="H33" s="14">
        <v>40.99</v>
      </c>
      <c r="I33" s="14">
        <v>15</v>
      </c>
      <c r="J33" s="14">
        <v>13.04</v>
      </c>
      <c r="K33" s="14">
        <v>41.25</v>
      </c>
      <c r="L33" s="14">
        <v>37.799999999999997</v>
      </c>
      <c r="M33" s="14">
        <v>42.4</v>
      </c>
      <c r="N33" s="14">
        <v>68.98</v>
      </c>
      <c r="O33" s="14">
        <v>73.89</v>
      </c>
      <c r="P33" s="14">
        <v>72.05</v>
      </c>
      <c r="Q33" s="14">
        <v>82.89</v>
      </c>
      <c r="R33" s="14">
        <v>93.76</v>
      </c>
      <c r="S33" s="14">
        <v>82.77</v>
      </c>
      <c r="T33" s="14">
        <v>88.72</v>
      </c>
      <c r="U33" s="14">
        <v>58.01</v>
      </c>
      <c r="V33" s="14">
        <v>100</v>
      </c>
      <c r="W33" s="14">
        <v>106.12</v>
      </c>
      <c r="X33" s="14">
        <v>135.01</v>
      </c>
      <c r="Y33" s="14">
        <v>130.04</v>
      </c>
      <c r="Z33" s="14">
        <v>134.61000000000001</v>
      </c>
      <c r="AA33" s="17">
        <v>191.66000366210901</v>
      </c>
    </row>
    <row r="34" spans="1:27" x14ac:dyDescent="0.25">
      <c r="A34" s="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21"/>
    </row>
    <row r="35" spans="1:27" x14ac:dyDescent="0.25">
      <c r="A35" s="6" t="s">
        <v>2</v>
      </c>
      <c r="B35" s="6" t="s">
        <v>58</v>
      </c>
      <c r="C35" s="19">
        <v>12748.1162</v>
      </c>
      <c r="D35" s="19">
        <v>19677.5236</v>
      </c>
      <c r="E35" s="19">
        <v>35391.732600000003</v>
      </c>
      <c r="F35" s="19">
        <v>44963.267500000002</v>
      </c>
      <c r="G35" s="19">
        <v>85264.724000000002</v>
      </c>
      <c r="H35" s="19">
        <v>90984.964000000007</v>
      </c>
      <c r="I35" s="19">
        <v>50108.258999999998</v>
      </c>
      <c r="J35" s="19">
        <v>96533.826700000005</v>
      </c>
      <c r="K35" s="19">
        <v>118799.93670000001</v>
      </c>
      <c r="L35" s="19">
        <v>97879.287400000001</v>
      </c>
      <c r="M35" s="19">
        <v>194138.08</v>
      </c>
      <c r="N35" s="19">
        <v>253407.93290000001</v>
      </c>
      <c r="O35" s="19">
        <v>224870.72579999999</v>
      </c>
      <c r="P35" s="19">
        <v>262026.51930000001</v>
      </c>
      <c r="Q35" s="19">
        <v>281245.21110000001</v>
      </c>
      <c r="R35" s="19">
        <v>299088.071</v>
      </c>
      <c r="S35" s="19">
        <v>273833.76740000001</v>
      </c>
      <c r="T35" s="19">
        <v>302953.83990000002</v>
      </c>
      <c r="U35" s="19">
        <v>312953.58880000003</v>
      </c>
      <c r="V35" s="19">
        <v>380096.47139999998</v>
      </c>
      <c r="W35" s="19">
        <v>399736.92830000003</v>
      </c>
      <c r="X35" s="19">
        <v>489469.23680000001</v>
      </c>
      <c r="Y35" s="19">
        <v>373424.14610000001</v>
      </c>
      <c r="Z35" s="19">
        <v>469628.36180000001</v>
      </c>
      <c r="AA35" s="22">
        <v>540154.19761393999</v>
      </c>
    </row>
    <row r="36" spans="1:27" x14ac:dyDescent="0.25">
      <c r="A36" s="10" t="s">
        <v>213</v>
      </c>
      <c r="B36" s="10" t="s">
        <v>243</v>
      </c>
      <c r="C36" s="13">
        <v>11280.8392</v>
      </c>
      <c r="D36" s="13">
        <v>15103.6005</v>
      </c>
      <c r="E36" s="13">
        <v>23340.4139</v>
      </c>
      <c r="F36" s="13">
        <v>40388.335299999999</v>
      </c>
      <c r="G36" s="13">
        <v>61640.444100000001</v>
      </c>
      <c r="H36" s="13">
        <v>95852.852199999994</v>
      </c>
      <c r="I36" s="13">
        <v>78689.923999999999</v>
      </c>
      <c r="J36" s="13">
        <v>65843.723400000003</v>
      </c>
      <c r="K36" s="13">
        <v>102455.726</v>
      </c>
      <c r="L36" s="13">
        <v>112235.26609999999</v>
      </c>
      <c r="M36" s="13">
        <v>151610.12969999999</v>
      </c>
      <c r="N36" s="13">
        <v>217453.07430000001</v>
      </c>
      <c r="O36" s="13">
        <v>242754.37400000001</v>
      </c>
      <c r="P36" s="13">
        <v>236581.334</v>
      </c>
      <c r="Q36" s="13">
        <v>273786.43959999998</v>
      </c>
      <c r="R36" s="13">
        <v>309349.85560000001</v>
      </c>
      <c r="S36" s="13">
        <v>328074.88179999997</v>
      </c>
      <c r="T36" s="13">
        <v>306585.53269999998</v>
      </c>
      <c r="U36" s="13">
        <v>253991.44810000001</v>
      </c>
      <c r="V36" s="13">
        <v>360065.88669999997</v>
      </c>
      <c r="W36" s="13">
        <v>388396.5686</v>
      </c>
      <c r="X36" s="13">
        <v>436808.40620000003</v>
      </c>
      <c r="Y36" s="13">
        <v>447455.13890000002</v>
      </c>
      <c r="Z36" s="13">
        <v>463522.39370000002</v>
      </c>
      <c r="AA36" s="16"/>
    </row>
    <row r="37" spans="1:27" x14ac:dyDescent="0.25">
      <c r="A37" s="10" t="s">
        <v>215</v>
      </c>
      <c r="B37" s="10" t="s">
        <v>244</v>
      </c>
      <c r="C37" s="13">
        <v>13129.6122</v>
      </c>
      <c r="D37" s="13">
        <v>19946.3243</v>
      </c>
      <c r="E37" s="13">
        <v>35439.732600000003</v>
      </c>
      <c r="F37" s="13">
        <v>49253.552000000003</v>
      </c>
      <c r="G37" s="13">
        <v>86688.026599999997</v>
      </c>
      <c r="H37" s="13">
        <v>105943.0621</v>
      </c>
      <c r="I37" s="13">
        <v>103521.045</v>
      </c>
      <c r="J37" s="13">
        <v>101805.44960000001</v>
      </c>
      <c r="K37" s="13">
        <v>121161.4025</v>
      </c>
      <c r="L37" s="13">
        <v>135254.43470000001</v>
      </c>
      <c r="M37" s="13">
        <v>196577.24340000001</v>
      </c>
      <c r="N37" s="13">
        <v>266777.3026</v>
      </c>
      <c r="O37" s="13">
        <v>266583.14150000003</v>
      </c>
      <c r="P37" s="13">
        <v>267692.63329999999</v>
      </c>
      <c r="Q37" s="13">
        <v>315789.10269999999</v>
      </c>
      <c r="R37" s="13">
        <v>354233.0025</v>
      </c>
      <c r="S37" s="13">
        <v>393245.81030000001</v>
      </c>
      <c r="T37" s="13">
        <v>356654.74609999999</v>
      </c>
      <c r="U37" s="13">
        <v>337710.4363</v>
      </c>
      <c r="V37" s="13">
        <v>404001.10340000002</v>
      </c>
      <c r="W37" s="13">
        <v>479605.33529999998</v>
      </c>
      <c r="X37" s="13">
        <v>503682.19780000002</v>
      </c>
      <c r="Y37" s="13">
        <v>547424.23439999996</v>
      </c>
      <c r="Z37" s="13">
        <v>524850.62569999998</v>
      </c>
      <c r="AA37" s="16"/>
    </row>
    <row r="38" spans="1:27" x14ac:dyDescent="0.25">
      <c r="A38" s="10" t="s">
        <v>217</v>
      </c>
      <c r="B38" s="10" t="s">
        <v>245</v>
      </c>
      <c r="C38" s="13">
        <v>9196.3500999999997</v>
      </c>
      <c r="D38" s="13">
        <v>11988.225399999999</v>
      </c>
      <c r="E38" s="13">
        <v>18770.636600000002</v>
      </c>
      <c r="F38" s="13">
        <v>32291.328099999999</v>
      </c>
      <c r="G38" s="13">
        <v>44504.563099999999</v>
      </c>
      <c r="H38" s="13">
        <v>83055.001000000004</v>
      </c>
      <c r="I38" s="13">
        <v>34937.595800000003</v>
      </c>
      <c r="J38" s="13">
        <v>26985.306499999999</v>
      </c>
      <c r="K38" s="13">
        <v>84407.293900000004</v>
      </c>
      <c r="L38" s="13">
        <v>88308.546300000002</v>
      </c>
      <c r="M38" s="13">
        <v>99917.072199999995</v>
      </c>
      <c r="N38" s="13">
        <v>163263.78099999999</v>
      </c>
      <c r="O38" s="13">
        <v>208168.39840000001</v>
      </c>
      <c r="P38" s="13">
        <v>205311.45699999999</v>
      </c>
      <c r="Q38" s="13">
        <v>230441.44620000001</v>
      </c>
      <c r="R38" s="13">
        <v>261368.53</v>
      </c>
      <c r="S38" s="13">
        <v>241143.47500000001</v>
      </c>
      <c r="T38" s="13">
        <v>261904.36240000001</v>
      </c>
      <c r="U38" s="13">
        <v>170325.78099999999</v>
      </c>
      <c r="V38" s="13">
        <v>292872.6863</v>
      </c>
      <c r="W38" s="13">
        <v>317756.9167</v>
      </c>
      <c r="X38" s="13">
        <v>395869.75579999998</v>
      </c>
      <c r="Y38" s="13">
        <v>380616.27039999998</v>
      </c>
      <c r="Z38" s="13">
        <v>382589.29680000001</v>
      </c>
      <c r="AA38" s="16"/>
    </row>
    <row r="39" spans="1:27" x14ac:dyDescent="0.2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21"/>
    </row>
    <row r="40" spans="1:27" x14ac:dyDescent="0.25">
      <c r="A40" s="6" t="s">
        <v>246</v>
      </c>
      <c r="B40" s="6" t="s">
        <v>247</v>
      </c>
      <c r="C40" s="20">
        <v>8.8999999999999996E-2</v>
      </c>
      <c r="D40" s="20">
        <v>0.1211</v>
      </c>
      <c r="E40" s="20">
        <v>0.27560000000000001</v>
      </c>
      <c r="F40" s="20">
        <v>0.32719999999999999</v>
      </c>
      <c r="G40" s="20">
        <v>0.50290000000000001</v>
      </c>
      <c r="H40" s="20">
        <v>0.44750000000000001</v>
      </c>
      <c r="I40" s="20">
        <v>0.19220000000000001</v>
      </c>
      <c r="J40" s="20">
        <v>0.35110000000000002</v>
      </c>
      <c r="K40" s="20">
        <v>0.40600000000000003</v>
      </c>
      <c r="L40" s="20">
        <v>0.26429999999999998</v>
      </c>
      <c r="M40" s="20">
        <v>0.45750000000000002</v>
      </c>
      <c r="N40" s="20">
        <v>0.57110000000000005</v>
      </c>
      <c r="O40" s="20">
        <v>0.4516</v>
      </c>
      <c r="P40" s="20">
        <v>0.4667</v>
      </c>
      <c r="Q40" s="20">
        <v>0.48949999999999999</v>
      </c>
      <c r="R40" s="20">
        <v>0.4667</v>
      </c>
      <c r="S40" s="20">
        <v>0.36209999999999998</v>
      </c>
      <c r="T40" s="20">
        <v>0.41820000000000002</v>
      </c>
      <c r="U40" s="20">
        <v>0.38090000000000002</v>
      </c>
      <c r="V40" s="20">
        <v>0.47570000000000001</v>
      </c>
      <c r="W40" s="20">
        <v>0.44550000000000001</v>
      </c>
      <c r="X40" s="20">
        <v>0.46329999999999999</v>
      </c>
      <c r="Y40" s="20">
        <v>0.32940000000000003</v>
      </c>
      <c r="Z40" s="20">
        <v>0.37809999999999999</v>
      </c>
      <c r="AA40" s="23">
        <v>0.434410442187179</v>
      </c>
    </row>
    <row r="41" spans="1:27" x14ac:dyDescent="0.25">
      <c r="A41" s="10" t="s">
        <v>213</v>
      </c>
      <c r="B41" s="10" t="s">
        <v>248</v>
      </c>
      <c r="C41" s="14">
        <v>0.14899999999999999</v>
      </c>
      <c r="D41" s="14">
        <v>0.1053</v>
      </c>
      <c r="E41" s="14">
        <v>0.1439</v>
      </c>
      <c r="F41" s="14">
        <v>0.3145</v>
      </c>
      <c r="G41" s="14">
        <v>0.44800000000000001</v>
      </c>
      <c r="H41" s="14">
        <v>0.56499999999999995</v>
      </c>
      <c r="I41" s="14">
        <v>0.38679999999999998</v>
      </c>
      <c r="J41" s="14">
        <v>0.25240000000000001</v>
      </c>
      <c r="K41" s="14">
        <v>0.37259999999999999</v>
      </c>
      <c r="L41" s="14">
        <v>0.38329999999999997</v>
      </c>
      <c r="M41" s="14">
        <v>0.40920000000000001</v>
      </c>
      <c r="N41" s="14">
        <v>0.51239999999999997</v>
      </c>
      <c r="O41" s="14">
        <v>0.54679999999999995</v>
      </c>
      <c r="P41" s="14">
        <v>0.47489999999999999</v>
      </c>
      <c r="Q41" s="14">
        <v>0.48759999999999998</v>
      </c>
      <c r="R41" s="14">
        <v>0.53820000000000001</v>
      </c>
      <c r="S41" s="14">
        <v>0.51170000000000004</v>
      </c>
      <c r="T41" s="14">
        <v>0.40539999999999998</v>
      </c>
      <c r="U41" s="14">
        <v>0.35039999999999999</v>
      </c>
      <c r="V41" s="14">
        <v>0.43819999999999998</v>
      </c>
      <c r="W41" s="14">
        <v>0.4859</v>
      </c>
      <c r="X41" s="14">
        <v>0.48649999999999999</v>
      </c>
      <c r="Y41" s="14">
        <v>0.42349999999999999</v>
      </c>
      <c r="Z41" s="14">
        <v>0.4088</v>
      </c>
      <c r="AA41" s="17"/>
    </row>
    <row r="42" spans="1:27" x14ac:dyDescent="0.25">
      <c r="A42" s="10" t="s">
        <v>215</v>
      </c>
      <c r="B42" s="10" t="s">
        <v>249</v>
      </c>
      <c r="C42" s="14">
        <v>0.17380000000000001</v>
      </c>
      <c r="D42" s="14">
        <v>0.13919999999999999</v>
      </c>
      <c r="E42" s="14">
        <v>0.27560000000000001</v>
      </c>
      <c r="F42" s="14">
        <v>0.3836</v>
      </c>
      <c r="G42" s="14">
        <v>0.63070000000000004</v>
      </c>
      <c r="H42" s="14">
        <v>0.62490000000000001</v>
      </c>
      <c r="I42" s="14">
        <v>0.50919999999999999</v>
      </c>
      <c r="J42" s="14">
        <v>0.39040000000000002</v>
      </c>
      <c r="K42" s="14">
        <v>0.44069999999999998</v>
      </c>
      <c r="L42" s="14">
        <v>0.4622</v>
      </c>
      <c r="M42" s="14">
        <v>0.53090000000000004</v>
      </c>
      <c r="N42" s="14">
        <v>0.62870000000000004</v>
      </c>
      <c r="O42" s="14">
        <v>0.6008</v>
      </c>
      <c r="P42" s="14">
        <v>0.53759999999999997</v>
      </c>
      <c r="Q42" s="14">
        <v>0.56240000000000001</v>
      </c>
      <c r="R42" s="14">
        <v>0.61650000000000005</v>
      </c>
      <c r="S42" s="14">
        <v>0.61370000000000002</v>
      </c>
      <c r="T42" s="14">
        <v>0.47160000000000002</v>
      </c>
      <c r="U42" s="14">
        <v>0.46610000000000001</v>
      </c>
      <c r="V42" s="14">
        <v>0.49170000000000003</v>
      </c>
      <c r="W42" s="14">
        <v>0.60019999999999996</v>
      </c>
      <c r="X42" s="14">
        <v>0.56140000000000001</v>
      </c>
      <c r="Y42" s="14">
        <v>0.51819999999999999</v>
      </c>
      <c r="Z42" s="14">
        <v>0.46300000000000002</v>
      </c>
      <c r="AA42" s="17"/>
    </row>
    <row r="43" spans="1:27" x14ac:dyDescent="0.25">
      <c r="A43" s="10" t="s">
        <v>217</v>
      </c>
      <c r="B43" s="10" t="s">
        <v>250</v>
      </c>
      <c r="C43" s="14">
        <v>8.8999999999999996E-2</v>
      </c>
      <c r="D43" s="14">
        <v>8.3699999999999997E-2</v>
      </c>
      <c r="E43" s="14">
        <v>0.11559999999999999</v>
      </c>
      <c r="F43" s="14">
        <v>0.2515</v>
      </c>
      <c r="G43" s="14">
        <v>0.32379999999999998</v>
      </c>
      <c r="H43" s="14">
        <v>0.44750000000000001</v>
      </c>
      <c r="I43" s="14">
        <v>0.17180000000000001</v>
      </c>
      <c r="J43" s="14">
        <v>0.10349999999999999</v>
      </c>
      <c r="K43" s="14">
        <v>0.307</v>
      </c>
      <c r="L43" s="14">
        <v>0.26590000000000003</v>
      </c>
      <c r="M43" s="14">
        <v>0.26979999999999998</v>
      </c>
      <c r="N43" s="14">
        <v>0.38479999999999998</v>
      </c>
      <c r="O43" s="14">
        <v>0.45229999999999998</v>
      </c>
      <c r="P43" s="14">
        <v>0.4123</v>
      </c>
      <c r="Q43" s="14">
        <v>0.41039999999999999</v>
      </c>
      <c r="R43" s="14">
        <v>0.45490000000000003</v>
      </c>
      <c r="S43" s="14">
        <v>0.36520000000000002</v>
      </c>
      <c r="T43" s="14">
        <v>0.3463</v>
      </c>
      <c r="U43" s="14">
        <v>0.2351</v>
      </c>
      <c r="V43" s="14">
        <v>0.35639999999999999</v>
      </c>
      <c r="W43" s="14">
        <v>0.3977</v>
      </c>
      <c r="X43" s="14">
        <v>0.44119999999999998</v>
      </c>
      <c r="Y43" s="14">
        <v>0.34079999999999999</v>
      </c>
      <c r="Z43" s="14">
        <v>0.33750000000000002</v>
      </c>
      <c r="AA43" s="17"/>
    </row>
    <row r="44" spans="1:27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1"/>
    </row>
    <row r="45" spans="1:27" x14ac:dyDescent="0.25">
      <c r="A45" s="6" t="s">
        <v>178</v>
      </c>
      <c r="B45" s="6" t="s">
        <v>179</v>
      </c>
      <c r="C45" s="19">
        <v>30217.622200000002</v>
      </c>
      <c r="D45" s="19">
        <v>22087.777600000001</v>
      </c>
      <c r="E45" s="19">
        <v>24629.732599999999</v>
      </c>
      <c r="F45" s="19">
        <v>32058.267500000002</v>
      </c>
      <c r="G45" s="19">
        <v>71485.724000000002</v>
      </c>
      <c r="H45" s="19">
        <v>84802.35</v>
      </c>
      <c r="I45" s="19">
        <v>247673.25899999999</v>
      </c>
      <c r="J45" s="19">
        <v>265487.82669999998</v>
      </c>
      <c r="K45" s="19">
        <v>282837.93670000002</v>
      </c>
      <c r="L45" s="19">
        <v>342092.28739999997</v>
      </c>
      <c r="M45" s="19">
        <v>426018.08</v>
      </c>
      <c r="N45" s="19">
        <v>545350.93290000001</v>
      </c>
      <c r="O45" s="19">
        <v>505219.72580000001</v>
      </c>
      <c r="P45" s="19">
        <v>519159.51929999999</v>
      </c>
      <c r="Q45" s="19">
        <v>586644.21109999996</v>
      </c>
      <c r="R45" s="19">
        <v>586085.071</v>
      </c>
      <c r="S45" s="19">
        <v>653403.76740000001</v>
      </c>
      <c r="T45" s="19">
        <v>666224.83990000002</v>
      </c>
      <c r="U45" s="19">
        <v>601674.58880000003</v>
      </c>
      <c r="V45" s="19">
        <v>731628.47140000004</v>
      </c>
      <c r="W45" s="19">
        <v>805122.92830000003</v>
      </c>
      <c r="X45" s="19">
        <v>883559.23679999996</v>
      </c>
      <c r="Y45" s="19">
        <v>869142.14610000001</v>
      </c>
      <c r="Z45" s="19">
        <v>956732.36179999996</v>
      </c>
      <c r="AA45" s="22">
        <v>1033223.19761394</v>
      </c>
    </row>
    <row r="46" spans="1:27" x14ac:dyDescent="0.25">
      <c r="A46" s="10" t="s">
        <v>213</v>
      </c>
      <c r="B46" s="10" t="s">
        <v>251</v>
      </c>
      <c r="C46" s="13">
        <v>25061.653200000001</v>
      </c>
      <c r="D46" s="13">
        <v>32512.869500000001</v>
      </c>
      <c r="E46" s="13">
        <v>25699.414000000001</v>
      </c>
      <c r="F46" s="13">
        <v>29617.931400000001</v>
      </c>
      <c r="G46" s="13">
        <v>48731.948100000001</v>
      </c>
      <c r="H46" s="13">
        <v>82104.116699999999</v>
      </c>
      <c r="I46" s="13">
        <v>73315.832299999995</v>
      </c>
      <c r="J46" s="13">
        <v>263294.7353</v>
      </c>
      <c r="K46" s="13">
        <v>271390.21799999999</v>
      </c>
      <c r="L46" s="13">
        <v>276591.42090000003</v>
      </c>
      <c r="M46" s="13">
        <v>395774.18930000003</v>
      </c>
      <c r="N46" s="13">
        <v>449572.36920000002</v>
      </c>
      <c r="O46" s="13">
        <v>534651.18279999995</v>
      </c>
      <c r="P46" s="13">
        <v>516837.84</v>
      </c>
      <c r="Q46" s="13">
        <v>531111.73450000002</v>
      </c>
      <c r="R46" s="13">
        <v>614675.54079999996</v>
      </c>
      <c r="S46" s="13">
        <v>615440.69850000006</v>
      </c>
      <c r="T46" s="13">
        <v>686090.59649999999</v>
      </c>
      <c r="U46" s="13">
        <v>616966.61479999998</v>
      </c>
      <c r="V46" s="13">
        <v>649035.15150000004</v>
      </c>
      <c r="W46" s="13">
        <v>740142.27500000002</v>
      </c>
      <c r="X46" s="13">
        <v>842149.40220000001</v>
      </c>
      <c r="Y46" s="13">
        <v>841950.03130000003</v>
      </c>
      <c r="Z46" s="13">
        <v>959206.07499999995</v>
      </c>
      <c r="AA46" s="16"/>
    </row>
    <row r="47" spans="1:27" x14ac:dyDescent="0.25">
      <c r="A47" s="10" t="s">
        <v>215</v>
      </c>
      <c r="B47" s="10" t="s">
        <v>252</v>
      </c>
      <c r="C47" s="13">
        <v>30217.618900000001</v>
      </c>
      <c r="D47" s="13">
        <v>37415.830300000001</v>
      </c>
      <c r="E47" s="13">
        <v>37849.986599999997</v>
      </c>
      <c r="F47" s="13">
        <v>38491.552000000003</v>
      </c>
      <c r="G47" s="13">
        <v>73783.026599999997</v>
      </c>
      <c r="H47" s="13">
        <v>92164.062099999996</v>
      </c>
      <c r="I47" s="13">
        <v>247781.48670000001</v>
      </c>
      <c r="J47" s="13">
        <v>299370.44959999999</v>
      </c>
      <c r="K47" s="13">
        <v>290115.40250000003</v>
      </c>
      <c r="L47" s="13">
        <v>342664.46679999999</v>
      </c>
      <c r="M47" s="13">
        <v>440790.24339999998</v>
      </c>
      <c r="N47" s="13">
        <v>545350.9264</v>
      </c>
      <c r="O47" s="13">
        <v>558526.14150000003</v>
      </c>
      <c r="P47" s="13">
        <v>548041.63329999999</v>
      </c>
      <c r="Q47" s="13">
        <v>589151.52709999995</v>
      </c>
      <c r="R47" s="13">
        <v>659632.00249999994</v>
      </c>
      <c r="S47" s="13">
        <v>680242.81030000001</v>
      </c>
      <c r="T47" s="13">
        <v>736224.74609999999</v>
      </c>
      <c r="U47" s="13">
        <v>700981.43629999994</v>
      </c>
      <c r="V47" s="13">
        <v>735089.39610000001</v>
      </c>
      <c r="W47" s="13">
        <v>831137.33530000004</v>
      </c>
      <c r="X47" s="13">
        <v>909068.19779999997</v>
      </c>
      <c r="Y47" s="13">
        <v>941514.23439999996</v>
      </c>
      <c r="Z47" s="13">
        <v>1020568.6257</v>
      </c>
      <c r="AA47" s="16"/>
    </row>
    <row r="48" spans="1:27" x14ac:dyDescent="0.25">
      <c r="A48" s="10" t="s">
        <v>217</v>
      </c>
      <c r="B48" s="10" t="s">
        <v>253</v>
      </c>
      <c r="C48" s="13">
        <v>22962.3501</v>
      </c>
      <c r="D48" s="13">
        <v>22089.147199999999</v>
      </c>
      <c r="E48" s="13">
        <v>21180.890599999999</v>
      </c>
      <c r="F48" s="13">
        <v>21529.328099999999</v>
      </c>
      <c r="G48" s="13">
        <v>31599.563099999999</v>
      </c>
      <c r="H48" s="13">
        <v>69276.001000000004</v>
      </c>
      <c r="I48" s="13">
        <v>28754.981800000001</v>
      </c>
      <c r="J48" s="13">
        <v>224550.30650000001</v>
      </c>
      <c r="K48" s="13">
        <v>253361.29389999999</v>
      </c>
      <c r="L48" s="13">
        <v>252346.54629999999</v>
      </c>
      <c r="M48" s="13">
        <v>344130.0722</v>
      </c>
      <c r="N48" s="13">
        <v>395143.78100000002</v>
      </c>
      <c r="O48" s="13">
        <v>500111.39840000001</v>
      </c>
      <c r="P48" s="13">
        <v>485660.45699999999</v>
      </c>
      <c r="Q48" s="13">
        <v>487574.44620000001</v>
      </c>
      <c r="R48" s="13">
        <v>566767.53</v>
      </c>
      <c r="S48" s="13">
        <v>528140.47499999998</v>
      </c>
      <c r="T48" s="13">
        <v>641474.36239999998</v>
      </c>
      <c r="U48" s="13">
        <v>533596.78099999996</v>
      </c>
      <c r="V48" s="13">
        <v>581593.68629999994</v>
      </c>
      <c r="W48" s="13">
        <v>669288.91669999994</v>
      </c>
      <c r="X48" s="13">
        <v>801255.75580000004</v>
      </c>
      <c r="Y48" s="13">
        <v>774706.27040000004</v>
      </c>
      <c r="Z48" s="13">
        <v>878307.29680000001</v>
      </c>
      <c r="AA48" s="16"/>
    </row>
    <row r="49" spans="1:27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1"/>
    </row>
    <row r="50" spans="1:27" x14ac:dyDescent="0.25">
      <c r="A50" s="6" t="s">
        <v>254</v>
      </c>
      <c r="B50" s="6" t="s">
        <v>255</v>
      </c>
      <c r="C50" s="20">
        <v>1.0198</v>
      </c>
      <c r="D50" s="20">
        <v>0.77900000000000003</v>
      </c>
      <c r="E50" s="20">
        <v>0.76819999999999999</v>
      </c>
      <c r="F50" s="20">
        <v>0.75039999999999996</v>
      </c>
      <c r="G50" s="20">
        <v>1.6083000000000001</v>
      </c>
      <c r="H50" s="20">
        <v>1.7491000000000001</v>
      </c>
      <c r="I50" s="20">
        <v>4.1284999999999998</v>
      </c>
      <c r="J50" s="20">
        <v>4.7436999999999996</v>
      </c>
      <c r="K50" s="20">
        <v>5.2241</v>
      </c>
      <c r="L50" s="20">
        <v>4.0282</v>
      </c>
      <c r="M50" s="20">
        <v>4.2278000000000002</v>
      </c>
      <c r="N50" s="20">
        <v>4.9156000000000004</v>
      </c>
      <c r="O50" s="20">
        <v>4.5201000000000002</v>
      </c>
      <c r="P50" s="20">
        <v>4.7702</v>
      </c>
      <c r="Q50" s="20">
        <v>4.7275</v>
      </c>
      <c r="R50" s="20">
        <v>3.6410999999999998</v>
      </c>
      <c r="S50" s="20">
        <v>3.3050000000000002</v>
      </c>
      <c r="T50" s="20">
        <v>3.0749</v>
      </c>
      <c r="U50" s="20">
        <v>2.9744000000000002</v>
      </c>
      <c r="V50" s="20">
        <v>3.403</v>
      </c>
      <c r="W50" s="20">
        <v>2.3170000000000002</v>
      </c>
      <c r="X50" s="20">
        <v>1.9094</v>
      </c>
      <c r="Y50" s="20">
        <v>1.7193000000000001</v>
      </c>
      <c r="Z50" s="20">
        <v>1.8266</v>
      </c>
      <c r="AA50" s="23">
        <v>2.04826598633319</v>
      </c>
    </row>
    <row r="51" spans="1:27" x14ac:dyDescent="0.25">
      <c r="A51" s="10" t="s">
        <v>213</v>
      </c>
      <c r="B51" s="10" t="s">
        <v>256</v>
      </c>
      <c r="C51" s="14">
        <v>0.97609999999999997</v>
      </c>
      <c r="D51" s="14">
        <v>1.0973999999999999</v>
      </c>
      <c r="E51" s="14">
        <v>0.90600000000000003</v>
      </c>
      <c r="F51" s="14">
        <v>0.92279999999999995</v>
      </c>
      <c r="G51" s="14">
        <v>1.1404000000000001</v>
      </c>
      <c r="H51" s="14">
        <v>1.8466</v>
      </c>
      <c r="I51" s="14">
        <v>1.5083</v>
      </c>
      <c r="J51" s="14">
        <v>4.3902000000000001</v>
      </c>
      <c r="K51" s="14">
        <v>4.8498999999999999</v>
      </c>
      <c r="L51" s="14">
        <v>5.0995999999999997</v>
      </c>
      <c r="M51" s="14">
        <v>4.6571999999999996</v>
      </c>
      <c r="N51" s="14">
        <v>4.4596</v>
      </c>
      <c r="O51" s="14">
        <v>4.8190999999999997</v>
      </c>
      <c r="P51" s="14">
        <v>4.6246</v>
      </c>
      <c r="Q51" s="14">
        <v>4.8773999999999997</v>
      </c>
      <c r="R51" s="14">
        <v>4.9490999999999996</v>
      </c>
      <c r="S51" s="14">
        <v>3.8205</v>
      </c>
      <c r="T51" s="14">
        <v>3.4691000000000001</v>
      </c>
      <c r="U51" s="14">
        <v>2.8483000000000001</v>
      </c>
      <c r="V51" s="14">
        <v>3.2077</v>
      </c>
      <c r="W51" s="14">
        <v>3.4369000000000001</v>
      </c>
      <c r="X51" s="14">
        <v>2.4209999999999998</v>
      </c>
      <c r="Y51" s="14">
        <v>1.8188</v>
      </c>
      <c r="Z51" s="14">
        <v>1.8972</v>
      </c>
      <c r="AA51" s="17"/>
    </row>
    <row r="52" spans="1:27" x14ac:dyDescent="0.25">
      <c r="A52" s="10" t="s">
        <v>215</v>
      </c>
      <c r="B52" s="10" t="s">
        <v>257</v>
      </c>
      <c r="C52" s="14">
        <v>1.0482</v>
      </c>
      <c r="D52" s="14">
        <v>1.2627999999999999</v>
      </c>
      <c r="E52" s="14">
        <v>1.335</v>
      </c>
      <c r="F52" s="14">
        <v>1.2004999999999999</v>
      </c>
      <c r="G52" s="14">
        <v>1.7271000000000001</v>
      </c>
      <c r="H52" s="14">
        <v>2.0735000000000001</v>
      </c>
      <c r="I52" s="14">
        <v>4.1303000000000001</v>
      </c>
      <c r="J52" s="14">
        <v>4.9903000000000004</v>
      </c>
      <c r="K52" s="14">
        <v>5.2241</v>
      </c>
      <c r="L52" s="14">
        <v>5.5279999999999996</v>
      </c>
      <c r="M52" s="14">
        <v>5.1904000000000003</v>
      </c>
      <c r="N52" s="14">
        <v>4.9486999999999997</v>
      </c>
      <c r="O52" s="14">
        <v>5.0343999999999998</v>
      </c>
      <c r="P52" s="14">
        <v>4.9032999999999998</v>
      </c>
      <c r="Q52" s="14">
        <v>5.2641999999999998</v>
      </c>
      <c r="R52" s="14">
        <v>5.3156999999999996</v>
      </c>
      <c r="S52" s="14">
        <v>4.2260999999999997</v>
      </c>
      <c r="T52" s="14">
        <v>3.7239</v>
      </c>
      <c r="U52" s="14">
        <v>3.2353000000000001</v>
      </c>
      <c r="V52" s="14">
        <v>3.4245999999999999</v>
      </c>
      <c r="W52" s="14">
        <v>3.8658999999999999</v>
      </c>
      <c r="X52" s="14">
        <v>2.6160999999999999</v>
      </c>
      <c r="Y52" s="14">
        <v>2.0346000000000002</v>
      </c>
      <c r="Z52" s="14">
        <v>2.0188000000000001</v>
      </c>
      <c r="AA52" s="17"/>
    </row>
    <row r="53" spans="1:27" x14ac:dyDescent="0.25">
      <c r="A53" s="10" t="s">
        <v>217</v>
      </c>
      <c r="B53" s="10" t="s">
        <v>258</v>
      </c>
      <c r="C53" s="14">
        <v>0.89490000000000003</v>
      </c>
      <c r="D53" s="14">
        <v>0.77910000000000001</v>
      </c>
      <c r="E53" s="14">
        <v>0.74709999999999999</v>
      </c>
      <c r="F53" s="14">
        <v>0.67149999999999999</v>
      </c>
      <c r="G53" s="14">
        <v>0.73970000000000002</v>
      </c>
      <c r="H53" s="14">
        <v>1.5586</v>
      </c>
      <c r="I53" s="14">
        <v>0.59309999999999996</v>
      </c>
      <c r="J53" s="14">
        <v>3.7431000000000001</v>
      </c>
      <c r="K53" s="14">
        <v>4.5270999999999999</v>
      </c>
      <c r="L53" s="14">
        <v>4.0350000000000001</v>
      </c>
      <c r="M53" s="14">
        <v>4.0522</v>
      </c>
      <c r="N53" s="14">
        <v>3.9214000000000002</v>
      </c>
      <c r="O53" s="14">
        <v>4.5079000000000002</v>
      </c>
      <c r="P53" s="14">
        <v>4.3451000000000004</v>
      </c>
      <c r="Q53" s="14">
        <v>4.4800000000000004</v>
      </c>
      <c r="R53" s="14">
        <v>3.6412</v>
      </c>
      <c r="S53" s="14">
        <v>3.2812000000000001</v>
      </c>
      <c r="T53" s="14">
        <v>3.0825999999999998</v>
      </c>
      <c r="U53" s="14">
        <v>2.4628000000000001</v>
      </c>
      <c r="V53" s="14">
        <v>2.8752</v>
      </c>
      <c r="W53" s="14">
        <v>2.3275999999999999</v>
      </c>
      <c r="X53" s="14">
        <v>1.9157</v>
      </c>
      <c r="Y53" s="14">
        <v>1.6741999999999999</v>
      </c>
      <c r="Z53" s="14">
        <v>1.7374000000000001</v>
      </c>
      <c r="AA53" s="17"/>
    </row>
    <row r="54" spans="1:27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1"/>
    </row>
    <row r="55" spans="1:27" x14ac:dyDescent="0.25">
      <c r="A55" s="6" t="s">
        <v>188</v>
      </c>
      <c r="B55" s="6" t="s">
        <v>189</v>
      </c>
      <c r="C55" s="20">
        <v>1.5652999999999999</v>
      </c>
      <c r="D55" s="20">
        <v>1.2289000000000001</v>
      </c>
      <c r="E55" s="20">
        <v>1.1787000000000001</v>
      </c>
      <c r="F55" s="20">
        <v>1.0323</v>
      </c>
      <c r="G55" s="20">
        <v>2.3411</v>
      </c>
      <c r="H55" s="20">
        <v>2.6183999999999998</v>
      </c>
      <c r="I55" s="20">
        <v>6.6616</v>
      </c>
      <c r="J55" s="20">
        <v>8.7700999999999993</v>
      </c>
      <c r="K55" s="20">
        <v>9.6882000000000001</v>
      </c>
      <c r="L55" s="20">
        <v>8.6812000000000005</v>
      </c>
      <c r="M55" s="20">
        <v>8.9974000000000007</v>
      </c>
      <c r="N55" s="20">
        <v>11.129799999999999</v>
      </c>
      <c r="O55" s="20">
        <v>10.3056</v>
      </c>
      <c r="P55" s="20">
        <v>11.0761</v>
      </c>
      <c r="Q55" s="20">
        <v>10.961600000000001</v>
      </c>
      <c r="R55" s="20">
        <v>7.4882999999999997</v>
      </c>
      <c r="S55" s="20">
        <v>6.1853999999999996</v>
      </c>
      <c r="T55" s="20">
        <v>5.6033999999999997</v>
      </c>
      <c r="U55" s="20">
        <v>6.7507000000000001</v>
      </c>
      <c r="V55" s="20">
        <v>8.3917999999999999</v>
      </c>
      <c r="W55" s="20">
        <v>3.6956000000000002</v>
      </c>
      <c r="X55" s="20">
        <v>2.7435</v>
      </c>
      <c r="Y55" s="20">
        <v>2.5019999999999998</v>
      </c>
      <c r="Z55" s="20">
        <v>2.7660999999999998</v>
      </c>
      <c r="AA55" s="23">
        <v>3.20839902748423</v>
      </c>
    </row>
    <row r="56" spans="1:27" x14ac:dyDescent="0.25">
      <c r="A56" s="10" t="s">
        <v>213</v>
      </c>
      <c r="B56" s="10" t="s">
        <v>259</v>
      </c>
      <c r="C56" s="14">
        <v>1.4464999999999999</v>
      </c>
      <c r="D56" s="14">
        <v>1.6845000000000001</v>
      </c>
      <c r="E56" s="14">
        <v>1.4291</v>
      </c>
      <c r="F56" s="14">
        <v>1.4154</v>
      </c>
      <c r="G56" s="14">
        <v>1.5693999999999999</v>
      </c>
      <c r="H56" s="14">
        <v>2.6882000000000001</v>
      </c>
      <c r="I56" s="14">
        <v>2.2599</v>
      </c>
      <c r="J56" s="14">
        <v>7.0883000000000003</v>
      </c>
      <c r="K56" s="14">
        <v>8.9664000000000001</v>
      </c>
      <c r="L56" s="14">
        <v>9.4621999999999993</v>
      </c>
      <c r="M56" s="14">
        <v>10.036300000000001</v>
      </c>
      <c r="N56" s="14">
        <v>9.4932999999999996</v>
      </c>
      <c r="O56" s="14">
        <v>10.9115</v>
      </c>
      <c r="P56" s="14">
        <v>10.544499999999999</v>
      </c>
      <c r="Q56" s="14">
        <v>11.3249</v>
      </c>
      <c r="R56" s="14">
        <v>11.4716</v>
      </c>
      <c r="S56" s="14">
        <v>7.8547000000000002</v>
      </c>
      <c r="T56" s="14">
        <v>6.492</v>
      </c>
      <c r="U56" s="14">
        <v>5.1959</v>
      </c>
      <c r="V56" s="14">
        <v>7.2827999999999999</v>
      </c>
      <c r="W56" s="14">
        <v>8.4672999999999998</v>
      </c>
      <c r="X56" s="14">
        <v>3.8603000000000001</v>
      </c>
      <c r="Y56" s="14">
        <v>2.6135000000000002</v>
      </c>
      <c r="Z56" s="14">
        <v>2.7612999999999999</v>
      </c>
      <c r="AA56" s="17"/>
    </row>
    <row r="57" spans="1:27" x14ac:dyDescent="0.25">
      <c r="A57" s="10" t="s">
        <v>215</v>
      </c>
      <c r="B57" s="10" t="s">
        <v>260</v>
      </c>
      <c r="C57" s="14">
        <v>1.5652999999999999</v>
      </c>
      <c r="D57" s="14">
        <v>1.9381999999999999</v>
      </c>
      <c r="E57" s="14">
        <v>2.1059000000000001</v>
      </c>
      <c r="F57" s="14">
        <v>1.8421000000000001</v>
      </c>
      <c r="G57" s="14">
        <v>2.3759999999999999</v>
      </c>
      <c r="H57" s="14">
        <v>3.0183</v>
      </c>
      <c r="I57" s="14">
        <v>6.6646000000000001</v>
      </c>
      <c r="J57" s="14">
        <v>8.7708999999999993</v>
      </c>
      <c r="K57" s="14">
        <v>9.6882000000000001</v>
      </c>
      <c r="L57" s="14">
        <v>10.251799999999999</v>
      </c>
      <c r="M57" s="14">
        <v>11.1859</v>
      </c>
      <c r="N57" s="14">
        <v>11.129799999999999</v>
      </c>
      <c r="O57" s="14">
        <v>11.3987</v>
      </c>
      <c r="P57" s="14">
        <v>11.179</v>
      </c>
      <c r="Q57" s="14">
        <v>12.223100000000001</v>
      </c>
      <c r="R57" s="14">
        <v>12.3254</v>
      </c>
      <c r="S57" s="14">
        <v>8.6913</v>
      </c>
      <c r="T57" s="14">
        <v>6.9694000000000003</v>
      </c>
      <c r="U57" s="14">
        <v>6.7957999999999998</v>
      </c>
      <c r="V57" s="14">
        <v>8.4314999999999998</v>
      </c>
      <c r="W57" s="14">
        <v>9.5330999999999992</v>
      </c>
      <c r="X57" s="14">
        <v>4.1726999999999999</v>
      </c>
      <c r="Y57" s="14">
        <v>2.9234</v>
      </c>
      <c r="Z57" s="14">
        <v>2.9379</v>
      </c>
      <c r="AA57" s="17"/>
    </row>
    <row r="58" spans="1:27" x14ac:dyDescent="0.25">
      <c r="A58" s="10" t="s">
        <v>217</v>
      </c>
      <c r="B58" s="10" t="s">
        <v>261</v>
      </c>
      <c r="C58" s="14">
        <v>1.3260000000000001</v>
      </c>
      <c r="D58" s="14">
        <v>1.2290000000000001</v>
      </c>
      <c r="E58" s="14">
        <v>1.1785000000000001</v>
      </c>
      <c r="F58" s="14">
        <v>1.0303</v>
      </c>
      <c r="G58" s="14">
        <v>1.0176000000000001</v>
      </c>
      <c r="H58" s="14">
        <v>2.2686999999999999</v>
      </c>
      <c r="I58" s="14">
        <v>0.88790000000000002</v>
      </c>
      <c r="J58" s="14">
        <v>6.0396999999999998</v>
      </c>
      <c r="K58" s="14">
        <v>8.3695000000000004</v>
      </c>
      <c r="L58" s="14">
        <v>8.6438000000000006</v>
      </c>
      <c r="M58" s="14">
        <v>8.7329000000000008</v>
      </c>
      <c r="N58" s="14">
        <v>8.3452999999999999</v>
      </c>
      <c r="O58" s="14">
        <v>10.2066</v>
      </c>
      <c r="P58" s="14">
        <v>9.9065999999999992</v>
      </c>
      <c r="Q58" s="14">
        <v>10.4023</v>
      </c>
      <c r="R58" s="14">
        <v>7.4882999999999997</v>
      </c>
      <c r="S58" s="14">
        <v>6.2076000000000002</v>
      </c>
      <c r="T58" s="14">
        <v>5.6176000000000004</v>
      </c>
      <c r="U58" s="14">
        <v>4.4878999999999998</v>
      </c>
      <c r="V58" s="14">
        <v>6.5254000000000003</v>
      </c>
      <c r="W58" s="14">
        <v>3.7124999999999999</v>
      </c>
      <c r="X58" s="14">
        <v>2.7524999999999999</v>
      </c>
      <c r="Y58" s="14">
        <v>2.4055</v>
      </c>
      <c r="Z58" s="14">
        <v>2.5284</v>
      </c>
      <c r="AA58" s="17"/>
    </row>
    <row r="59" spans="1:27" x14ac:dyDescent="0.25">
      <c r="A59" s="7" t="s">
        <v>87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6"/>
  <sheetViews>
    <sheetView topLeftCell="L1" workbookViewId="0">
      <selection activeCell="Z7" sqref="Z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263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</row>
    <row r="6" spans="1:27" x14ac:dyDescent="0.25">
      <c r="A6" s="6" t="s">
        <v>96</v>
      </c>
      <c r="B6" s="6" t="s">
        <v>68</v>
      </c>
      <c r="C6" s="19">
        <v>13838.406000000001</v>
      </c>
      <c r="D6" s="19">
        <v>14652.433999999999</v>
      </c>
      <c r="E6" s="19">
        <v>16762</v>
      </c>
      <c r="F6" s="19">
        <v>7666</v>
      </c>
      <c r="G6" s="19">
        <v>23988</v>
      </c>
      <c r="H6" s="19">
        <v>25282.664000000001</v>
      </c>
      <c r="I6" s="19">
        <v>32202</v>
      </c>
      <c r="J6" s="19">
        <v>33698</v>
      </c>
      <c r="K6" s="19">
        <v>35394</v>
      </c>
      <c r="L6" s="19">
        <v>60296</v>
      </c>
      <c r="M6" s="19">
        <v>70177</v>
      </c>
      <c r="N6" s="19">
        <v>79863</v>
      </c>
      <c r="O6" s="19">
        <v>83910</v>
      </c>
      <c r="P6" s="19">
        <v>85191</v>
      </c>
      <c r="Q6" s="19">
        <v>96708</v>
      </c>
      <c r="R6" s="19">
        <v>116327</v>
      </c>
      <c r="S6" s="19">
        <v>136950</v>
      </c>
      <c r="T6" s="19">
        <v>147974</v>
      </c>
      <c r="U6" s="19">
        <v>154383</v>
      </c>
      <c r="V6" s="19">
        <v>174222</v>
      </c>
      <c r="W6" s="19">
        <v>195022</v>
      </c>
      <c r="X6" s="19">
        <v>214727</v>
      </c>
      <c r="Y6" s="19">
        <v>239231</v>
      </c>
      <c r="Z6" s="19">
        <v>265307</v>
      </c>
      <c r="AA6" s="22">
        <v>269948</v>
      </c>
    </row>
    <row r="7" spans="1:27" x14ac:dyDescent="0.25">
      <c r="A7" s="6" t="s">
        <v>264</v>
      </c>
      <c r="B7" s="6" t="s">
        <v>93</v>
      </c>
      <c r="C7" s="19">
        <v>8525.17</v>
      </c>
      <c r="D7" s="19">
        <v>8709.5149999999994</v>
      </c>
      <c r="E7" s="19">
        <v>9514</v>
      </c>
      <c r="F7" s="19">
        <v>0</v>
      </c>
      <c r="G7" s="19">
        <v>14284</v>
      </c>
      <c r="H7" s="19">
        <v>17383.526000000002</v>
      </c>
      <c r="I7" s="19">
        <v>22627</v>
      </c>
      <c r="J7" s="19">
        <v>23183</v>
      </c>
      <c r="K7" s="19">
        <v>22732</v>
      </c>
      <c r="L7" s="19">
        <v>28375</v>
      </c>
      <c r="M7" s="19">
        <v>32420</v>
      </c>
      <c r="N7" s="19">
        <v>36792</v>
      </c>
      <c r="O7" s="19">
        <v>44718</v>
      </c>
      <c r="P7" s="19">
        <v>45660</v>
      </c>
      <c r="Q7" s="19">
        <v>52881</v>
      </c>
      <c r="R7" s="19">
        <v>65874</v>
      </c>
      <c r="S7" s="19">
        <v>76829</v>
      </c>
      <c r="T7" s="19">
        <v>81821</v>
      </c>
      <c r="U7" s="19">
        <v>85695</v>
      </c>
      <c r="V7" s="19">
        <v>93953</v>
      </c>
      <c r="W7" s="19">
        <v>116159</v>
      </c>
      <c r="X7" s="19">
        <v>127482</v>
      </c>
      <c r="Y7" s="19">
        <v>138316</v>
      </c>
      <c r="Z7" s="19">
        <v>146578</v>
      </c>
      <c r="AA7" s="22">
        <v>150042</v>
      </c>
    </row>
    <row r="8" spans="1:27" x14ac:dyDescent="0.25">
      <c r="A8" s="10" t="s">
        <v>265</v>
      </c>
      <c r="B8" s="10" t="s">
        <v>266</v>
      </c>
      <c r="C8" s="13">
        <v>24317.147000000001</v>
      </c>
      <c r="D8" s="13">
        <v>22409.578000000001</v>
      </c>
      <c r="E8" s="13">
        <v>24814</v>
      </c>
      <c r="F8" s="13">
        <v>35055</v>
      </c>
      <c r="G8" s="13">
        <v>34744</v>
      </c>
      <c r="H8" s="13">
        <v>40584.569000000003</v>
      </c>
      <c r="I8" s="13">
        <v>50416</v>
      </c>
      <c r="J8" s="13">
        <v>45451</v>
      </c>
      <c r="K8" s="13">
        <v>41479</v>
      </c>
      <c r="L8" s="13">
        <v>53003</v>
      </c>
      <c r="M8" s="13">
        <v>63008</v>
      </c>
      <c r="N8" s="13">
        <v>67871</v>
      </c>
      <c r="O8" s="13">
        <v>72579</v>
      </c>
      <c r="P8" s="13">
        <v>69302</v>
      </c>
      <c r="Q8" s="13">
        <v>80264</v>
      </c>
      <c r="R8" s="13">
        <v>110509</v>
      </c>
      <c r="S8" s="13">
        <v>137583</v>
      </c>
      <c r="T8" s="13">
        <v>150514</v>
      </c>
      <c r="U8" s="13">
        <v>133593</v>
      </c>
      <c r="V8" s="13">
        <v>134725</v>
      </c>
      <c r="W8" s="13">
        <v>268628</v>
      </c>
      <c r="X8" s="13">
        <v>375497</v>
      </c>
      <c r="Y8" s="13">
        <v>404605</v>
      </c>
      <c r="Z8" s="13">
        <v>405038</v>
      </c>
      <c r="AA8" s="16">
        <v>384532</v>
      </c>
    </row>
    <row r="9" spans="1:27" x14ac:dyDescent="0.25">
      <c r="A9" s="11" t="s">
        <v>267</v>
      </c>
      <c r="B9" s="11" t="s">
        <v>268</v>
      </c>
      <c r="C9" s="25">
        <v>24317.147000000001</v>
      </c>
      <c r="D9" s="25">
        <v>22409.578000000001</v>
      </c>
      <c r="E9" s="25">
        <v>24814</v>
      </c>
      <c r="F9" s="25">
        <v>35055</v>
      </c>
      <c r="G9" s="25">
        <v>34744</v>
      </c>
      <c r="H9" s="25">
        <v>40584.569000000003</v>
      </c>
      <c r="I9" s="25">
        <v>50416</v>
      </c>
      <c r="J9" s="25">
        <v>45451</v>
      </c>
      <c r="K9" s="25">
        <v>41479</v>
      </c>
      <c r="L9" s="25">
        <v>53003</v>
      </c>
      <c r="M9" s="25">
        <v>63008</v>
      </c>
      <c r="N9" s="25">
        <v>67871</v>
      </c>
      <c r="O9" s="25">
        <v>72579</v>
      </c>
      <c r="P9" s="25">
        <v>69302</v>
      </c>
      <c r="Q9" s="25">
        <v>80264</v>
      </c>
      <c r="R9" s="25">
        <v>110509</v>
      </c>
      <c r="S9" s="25">
        <v>137583</v>
      </c>
      <c r="T9" s="25">
        <v>150514</v>
      </c>
      <c r="U9" s="25">
        <v>133593</v>
      </c>
      <c r="V9" s="25">
        <v>134725</v>
      </c>
      <c r="W9" s="25">
        <v>268628</v>
      </c>
      <c r="X9" s="25">
        <v>375497</v>
      </c>
      <c r="Y9" s="25">
        <v>404605</v>
      </c>
      <c r="Z9" s="25">
        <v>405038</v>
      </c>
      <c r="AA9" s="27">
        <v>384532</v>
      </c>
    </row>
    <row r="10" spans="1:27" x14ac:dyDescent="0.25">
      <c r="A10" s="11" t="s">
        <v>269</v>
      </c>
      <c r="B10" s="11" t="s">
        <v>270</v>
      </c>
      <c r="C10" s="25">
        <v>0</v>
      </c>
      <c r="D10" s="25">
        <v>0</v>
      </c>
      <c r="E10" s="25" t="s">
        <v>80</v>
      </c>
      <c r="F10" s="25" t="s">
        <v>80</v>
      </c>
      <c r="G10" s="25" t="s">
        <v>80</v>
      </c>
      <c r="H10" s="25" t="s">
        <v>80</v>
      </c>
      <c r="I10" s="25" t="s">
        <v>80</v>
      </c>
      <c r="J10" s="25" t="s">
        <v>80</v>
      </c>
      <c r="K10" s="25" t="s">
        <v>80</v>
      </c>
      <c r="L10" s="25" t="s">
        <v>80</v>
      </c>
      <c r="M10" s="25" t="s">
        <v>80</v>
      </c>
      <c r="N10" s="25" t="s">
        <v>80</v>
      </c>
      <c r="O10" s="25" t="s">
        <v>80</v>
      </c>
      <c r="P10" s="25" t="s">
        <v>80</v>
      </c>
      <c r="Q10" s="25" t="s">
        <v>80</v>
      </c>
      <c r="R10" s="25" t="s">
        <v>80</v>
      </c>
      <c r="S10" s="25" t="s">
        <v>80</v>
      </c>
      <c r="T10" s="25" t="s">
        <v>80</v>
      </c>
      <c r="U10" s="25" t="s">
        <v>80</v>
      </c>
      <c r="V10" s="25" t="s">
        <v>80</v>
      </c>
      <c r="W10" s="25" t="s">
        <v>80</v>
      </c>
      <c r="X10" s="25" t="s">
        <v>80</v>
      </c>
      <c r="Y10" s="25" t="s">
        <v>80</v>
      </c>
      <c r="Z10" s="25" t="s">
        <v>80</v>
      </c>
      <c r="AA10" s="27"/>
    </row>
    <row r="11" spans="1:27" x14ac:dyDescent="0.25">
      <c r="A11" s="10" t="s">
        <v>271</v>
      </c>
      <c r="B11" s="10" t="s">
        <v>272</v>
      </c>
      <c r="C11" s="13">
        <v>15791.977000000001</v>
      </c>
      <c r="D11" s="13">
        <v>13700.063</v>
      </c>
      <c r="E11" s="13">
        <v>15300</v>
      </c>
      <c r="F11" s="13">
        <v>21808</v>
      </c>
      <c r="G11" s="13">
        <v>20460</v>
      </c>
      <c r="H11" s="13">
        <v>23201.043000000001</v>
      </c>
      <c r="I11" s="13">
        <v>27789</v>
      </c>
      <c r="J11" s="13">
        <v>22268</v>
      </c>
      <c r="K11" s="13">
        <v>18747</v>
      </c>
      <c r="L11" s="13">
        <v>24628</v>
      </c>
      <c r="M11" s="13">
        <v>30588</v>
      </c>
      <c r="N11" s="13">
        <v>31079</v>
      </c>
      <c r="O11" s="13">
        <v>27861</v>
      </c>
      <c r="P11" s="13">
        <v>23642</v>
      </c>
      <c r="Q11" s="13">
        <v>27383</v>
      </c>
      <c r="R11" s="13">
        <v>44635</v>
      </c>
      <c r="S11" s="13">
        <v>60754</v>
      </c>
      <c r="T11" s="13">
        <v>68693</v>
      </c>
      <c r="U11" s="13">
        <v>47898</v>
      </c>
      <c r="V11" s="13">
        <v>40772</v>
      </c>
      <c r="W11" s="13">
        <v>152469</v>
      </c>
      <c r="X11" s="13">
        <v>248015</v>
      </c>
      <c r="Y11" s="13">
        <v>266289</v>
      </c>
      <c r="Z11" s="13">
        <v>258460</v>
      </c>
      <c r="AA11" s="16">
        <v>234490</v>
      </c>
    </row>
    <row r="12" spans="1:27" x14ac:dyDescent="0.25">
      <c r="A12" s="6" t="s">
        <v>273</v>
      </c>
      <c r="B12" s="6" t="s">
        <v>274</v>
      </c>
      <c r="C12" s="19" t="s">
        <v>80</v>
      </c>
      <c r="D12" s="19" t="s">
        <v>80</v>
      </c>
      <c r="E12" s="19" t="s">
        <v>80</v>
      </c>
      <c r="F12" s="19" t="s">
        <v>80</v>
      </c>
      <c r="G12" s="19" t="s">
        <v>80</v>
      </c>
      <c r="H12" s="19" t="s">
        <v>80</v>
      </c>
      <c r="I12" s="19" t="s">
        <v>80</v>
      </c>
      <c r="J12" s="19">
        <v>10515</v>
      </c>
      <c r="K12" s="19">
        <v>12662</v>
      </c>
      <c r="L12" s="19">
        <v>31921</v>
      </c>
      <c r="M12" s="19">
        <v>37757</v>
      </c>
      <c r="N12" s="19">
        <v>43071</v>
      </c>
      <c r="O12" s="19">
        <v>39192</v>
      </c>
      <c r="P12" s="19">
        <v>39531</v>
      </c>
      <c r="Q12" s="19">
        <v>43827</v>
      </c>
      <c r="R12" s="19">
        <v>50453</v>
      </c>
      <c r="S12" s="19">
        <v>60121</v>
      </c>
      <c r="T12" s="19">
        <v>66153</v>
      </c>
      <c r="U12" s="19">
        <v>68688</v>
      </c>
      <c r="V12" s="19">
        <v>80269</v>
      </c>
      <c r="W12" s="19">
        <v>78863</v>
      </c>
      <c r="X12" s="19">
        <v>87245</v>
      </c>
      <c r="Y12" s="19">
        <v>100915</v>
      </c>
      <c r="Z12" s="19">
        <v>118729</v>
      </c>
      <c r="AA12" s="22">
        <v>119906</v>
      </c>
    </row>
    <row r="13" spans="1:27" x14ac:dyDescent="0.25">
      <c r="A13" s="10" t="s">
        <v>275</v>
      </c>
      <c r="B13" s="10" t="s">
        <v>276</v>
      </c>
      <c r="C13" s="13">
        <v>390.43</v>
      </c>
      <c r="D13" s="13">
        <v>980.21600000000001</v>
      </c>
      <c r="E13" s="13">
        <v>751</v>
      </c>
      <c r="F13" s="13">
        <v>1037</v>
      </c>
      <c r="G13" s="13">
        <v>1380</v>
      </c>
      <c r="H13" s="13">
        <v>1291.92</v>
      </c>
      <c r="I13" s="13">
        <v>1040</v>
      </c>
      <c r="J13" s="13">
        <v>1244</v>
      </c>
      <c r="K13" s="13">
        <v>1689</v>
      </c>
      <c r="L13" s="13">
        <v>2778</v>
      </c>
      <c r="M13" s="13">
        <v>4152</v>
      </c>
      <c r="N13" s="13">
        <v>4971</v>
      </c>
      <c r="O13" s="13">
        <v>4420</v>
      </c>
      <c r="P13" s="13">
        <v>2954</v>
      </c>
      <c r="Q13" s="13">
        <v>2346</v>
      </c>
      <c r="R13" s="13">
        <v>2658</v>
      </c>
      <c r="S13" s="13">
        <v>4228</v>
      </c>
      <c r="T13" s="13">
        <v>5289</v>
      </c>
      <c r="U13" s="13">
        <v>4854</v>
      </c>
      <c r="V13" s="13">
        <v>4396</v>
      </c>
      <c r="W13" s="13">
        <v>3660</v>
      </c>
      <c r="X13" s="13">
        <v>3913</v>
      </c>
      <c r="Y13" s="13">
        <v>4984</v>
      </c>
      <c r="Z13" s="13">
        <v>8893</v>
      </c>
      <c r="AA13" s="16">
        <v>8535</v>
      </c>
    </row>
    <row r="14" spans="1:27" x14ac:dyDescent="0.25">
      <c r="A14" s="10" t="s">
        <v>277</v>
      </c>
      <c r="B14" s="10" t="s">
        <v>278</v>
      </c>
      <c r="C14" s="13" t="s">
        <v>80</v>
      </c>
      <c r="D14" s="13" t="s">
        <v>80</v>
      </c>
      <c r="E14" s="13" t="s">
        <v>80</v>
      </c>
      <c r="F14" s="13" t="s">
        <v>80</v>
      </c>
      <c r="G14" s="13" t="s">
        <v>80</v>
      </c>
      <c r="H14" s="13" t="s">
        <v>80</v>
      </c>
      <c r="I14" s="13" t="s">
        <v>80</v>
      </c>
      <c r="J14" s="13">
        <v>1221</v>
      </c>
      <c r="K14" s="13">
        <v>1475</v>
      </c>
      <c r="L14" s="13">
        <v>2495</v>
      </c>
      <c r="M14" s="13">
        <v>3892</v>
      </c>
      <c r="N14" s="13">
        <v>4100</v>
      </c>
      <c r="O14" s="13">
        <v>3889</v>
      </c>
      <c r="P14" s="13">
        <v>2314</v>
      </c>
      <c r="Q14" s="13">
        <v>1792</v>
      </c>
      <c r="R14" s="13">
        <v>452</v>
      </c>
      <c r="S14" s="13">
        <v>326</v>
      </c>
      <c r="T14" s="13">
        <v>2674</v>
      </c>
      <c r="U14" s="13">
        <v>1612</v>
      </c>
      <c r="V14" s="13">
        <v>698</v>
      </c>
      <c r="W14" s="13">
        <v>41</v>
      </c>
      <c r="X14" s="13">
        <v>2433</v>
      </c>
      <c r="Y14" s="13">
        <v>3283</v>
      </c>
      <c r="Z14" s="13">
        <v>5579</v>
      </c>
      <c r="AA14" s="16">
        <v>4705</v>
      </c>
    </row>
    <row r="15" spans="1:27" x14ac:dyDescent="0.25">
      <c r="A15" s="10" t="s">
        <v>279</v>
      </c>
      <c r="B15" s="10" t="s">
        <v>280</v>
      </c>
      <c r="C15" s="13" t="s">
        <v>80</v>
      </c>
      <c r="D15" s="13" t="s">
        <v>80</v>
      </c>
      <c r="E15" s="13" t="s">
        <v>80</v>
      </c>
      <c r="F15" s="13" t="s">
        <v>80</v>
      </c>
      <c r="G15" s="13" t="s">
        <v>80</v>
      </c>
      <c r="H15" s="13" t="s">
        <v>80</v>
      </c>
      <c r="I15" s="13" t="s">
        <v>80</v>
      </c>
      <c r="J15" s="13">
        <v>23</v>
      </c>
      <c r="K15" s="13">
        <v>214</v>
      </c>
      <c r="L15" s="13">
        <v>283</v>
      </c>
      <c r="M15" s="13">
        <v>260</v>
      </c>
      <c r="N15" s="13">
        <v>871</v>
      </c>
      <c r="O15" s="13">
        <v>531</v>
      </c>
      <c r="P15" s="13">
        <v>640</v>
      </c>
      <c r="Q15" s="13">
        <v>554</v>
      </c>
      <c r="R15" s="13" t="s">
        <v>80</v>
      </c>
      <c r="S15" s="13" t="s">
        <v>80</v>
      </c>
      <c r="T15" s="13" t="s">
        <v>80</v>
      </c>
      <c r="U15" s="13" t="s">
        <v>80</v>
      </c>
      <c r="V15" s="13" t="s">
        <v>80</v>
      </c>
      <c r="W15" s="13" t="s">
        <v>80</v>
      </c>
      <c r="X15" s="13" t="s">
        <v>80</v>
      </c>
      <c r="Y15" s="13" t="s">
        <v>80</v>
      </c>
      <c r="Z15" s="13" t="s">
        <v>80</v>
      </c>
      <c r="AA15" s="16"/>
    </row>
    <row r="16" spans="1:27" x14ac:dyDescent="0.25">
      <c r="A16" s="10" t="s">
        <v>281</v>
      </c>
      <c r="B16" s="10" t="s">
        <v>282</v>
      </c>
      <c r="C16" s="13" t="s">
        <v>80</v>
      </c>
      <c r="D16" s="13" t="s">
        <v>80</v>
      </c>
      <c r="E16" s="13" t="s">
        <v>80</v>
      </c>
      <c r="F16" s="13" t="s">
        <v>80</v>
      </c>
      <c r="G16" s="13" t="s">
        <v>80</v>
      </c>
      <c r="H16" s="13" t="s">
        <v>80</v>
      </c>
      <c r="I16" s="13" t="s">
        <v>80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2206</v>
      </c>
      <c r="S16" s="13">
        <v>3902</v>
      </c>
      <c r="T16" s="13">
        <v>2615</v>
      </c>
      <c r="U16" s="13">
        <v>3242</v>
      </c>
      <c r="V16" s="13">
        <v>3698</v>
      </c>
      <c r="W16" s="13">
        <v>3619</v>
      </c>
      <c r="X16" s="13">
        <v>1480</v>
      </c>
      <c r="Y16" s="13">
        <v>1701</v>
      </c>
      <c r="Z16" s="13">
        <v>3314</v>
      </c>
      <c r="AA16" s="16">
        <v>3830</v>
      </c>
    </row>
    <row r="17" spans="1:27" x14ac:dyDescent="0.25">
      <c r="A17" s="10" t="s">
        <v>283</v>
      </c>
      <c r="B17" s="10" t="s">
        <v>284</v>
      </c>
      <c r="C17" s="13">
        <v>4922.8059999999996</v>
      </c>
      <c r="D17" s="13">
        <v>4962.7030000000004</v>
      </c>
      <c r="E17" s="13">
        <v>6497</v>
      </c>
      <c r="F17" s="13">
        <v>6629</v>
      </c>
      <c r="G17" s="13">
        <v>8324</v>
      </c>
      <c r="H17" s="13">
        <v>6607.2179999999998</v>
      </c>
      <c r="I17" s="13">
        <v>8535</v>
      </c>
      <c r="J17" s="13">
        <v>8291</v>
      </c>
      <c r="K17" s="13">
        <v>9234</v>
      </c>
      <c r="L17" s="13">
        <v>11054</v>
      </c>
      <c r="M17" s="13">
        <v>12657</v>
      </c>
      <c r="N17" s="13">
        <v>13570</v>
      </c>
      <c r="O17" s="13">
        <v>12820</v>
      </c>
      <c r="P17" s="13">
        <v>14566</v>
      </c>
      <c r="Q17" s="13">
        <v>16683</v>
      </c>
      <c r="R17" s="13">
        <v>19542</v>
      </c>
      <c r="S17" s="13">
        <v>22567</v>
      </c>
      <c r="T17" s="13">
        <v>24063</v>
      </c>
      <c r="U17" s="13">
        <v>24003</v>
      </c>
      <c r="V17" s="13">
        <v>27589</v>
      </c>
      <c r="W17" s="13">
        <v>32348</v>
      </c>
      <c r="X17" s="13">
        <v>35073</v>
      </c>
      <c r="Y17" s="13">
        <v>40638</v>
      </c>
      <c r="Z17" s="13">
        <v>41176</v>
      </c>
      <c r="AA17" s="16">
        <v>40876</v>
      </c>
    </row>
    <row r="18" spans="1:27" x14ac:dyDescent="0.25">
      <c r="A18" s="10" t="s">
        <v>285</v>
      </c>
      <c r="B18" s="10" t="s">
        <v>286</v>
      </c>
      <c r="C18" s="13">
        <v>0</v>
      </c>
      <c r="D18" s="13">
        <v>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>
        <v>980</v>
      </c>
      <c r="K18" s="13">
        <v>1739</v>
      </c>
      <c r="L18" s="13">
        <v>18089</v>
      </c>
      <c r="M18" s="13">
        <v>20948</v>
      </c>
      <c r="N18" s="13">
        <v>24530</v>
      </c>
      <c r="O18" s="13">
        <v>21952</v>
      </c>
      <c r="P18" s="13">
        <v>22011</v>
      </c>
      <c r="Q18" s="13">
        <v>24798</v>
      </c>
      <c r="R18" s="13">
        <v>28253</v>
      </c>
      <c r="S18" s="13">
        <v>33326</v>
      </c>
      <c r="T18" s="13">
        <v>36801</v>
      </c>
      <c r="U18" s="13">
        <v>39831</v>
      </c>
      <c r="V18" s="13">
        <v>48284</v>
      </c>
      <c r="W18" s="13">
        <v>42855</v>
      </c>
      <c r="X18" s="13">
        <v>48259</v>
      </c>
      <c r="Y18" s="13">
        <v>55293</v>
      </c>
      <c r="Z18" s="13">
        <v>68660</v>
      </c>
      <c r="AA18" s="16">
        <v>70495</v>
      </c>
    </row>
    <row r="19" spans="1:27" x14ac:dyDescent="0.25">
      <c r="A19" s="6" t="s">
        <v>287</v>
      </c>
      <c r="B19" s="6" t="s">
        <v>100</v>
      </c>
      <c r="C19" s="19">
        <v>823.74599999999998</v>
      </c>
      <c r="D19" s="19">
        <v>808.91600000000005</v>
      </c>
      <c r="E19" s="19">
        <v>1193</v>
      </c>
      <c r="F19" s="19">
        <v>1446</v>
      </c>
      <c r="G19" s="19">
        <v>1530</v>
      </c>
      <c r="H19" s="19">
        <v>2645.4769999999999</v>
      </c>
      <c r="I19" s="19">
        <v>6896</v>
      </c>
      <c r="J19" s="19">
        <v>8286</v>
      </c>
      <c r="K19" s="19">
        <v>6889</v>
      </c>
      <c r="L19" s="19">
        <v>5438</v>
      </c>
      <c r="M19" s="19">
        <v>6172</v>
      </c>
      <c r="N19" s="19">
        <v>8942</v>
      </c>
      <c r="O19" s="19">
        <v>11196</v>
      </c>
      <c r="P19" s="19">
        <v>10687</v>
      </c>
      <c r="Q19" s="19">
        <v>13313</v>
      </c>
      <c r="R19" s="19">
        <v>15213</v>
      </c>
      <c r="S19" s="19">
        <v>16079</v>
      </c>
      <c r="T19" s="19">
        <v>15347</v>
      </c>
      <c r="U19" s="19">
        <v>21930</v>
      </c>
      <c r="V19" s="19">
        <v>11351</v>
      </c>
      <c r="W19" s="19">
        <v>11881</v>
      </c>
      <c r="X19" s="19">
        <v>15942</v>
      </c>
      <c r="Y19" s="19">
        <v>18122</v>
      </c>
      <c r="Z19" s="19">
        <v>21589</v>
      </c>
      <c r="AA19" s="22">
        <v>23069</v>
      </c>
    </row>
    <row r="20" spans="1:27" x14ac:dyDescent="0.25">
      <c r="A20" s="6" t="s">
        <v>288</v>
      </c>
      <c r="B20" s="6" t="s">
        <v>289</v>
      </c>
      <c r="C20" s="19">
        <v>13014.66</v>
      </c>
      <c r="D20" s="19">
        <v>13843.518</v>
      </c>
      <c r="E20" s="19">
        <v>15569</v>
      </c>
      <c r="F20" s="19">
        <v>6220</v>
      </c>
      <c r="G20" s="19">
        <v>22458</v>
      </c>
      <c r="H20" s="19">
        <v>22637.187000000002</v>
      </c>
      <c r="I20" s="19">
        <v>25306</v>
      </c>
      <c r="J20" s="19">
        <v>25412</v>
      </c>
      <c r="K20" s="19">
        <v>28505</v>
      </c>
      <c r="L20" s="19">
        <v>54858</v>
      </c>
      <c r="M20" s="19">
        <v>64005</v>
      </c>
      <c r="N20" s="19">
        <v>70921</v>
      </c>
      <c r="O20" s="19">
        <v>72714</v>
      </c>
      <c r="P20" s="19">
        <v>74504</v>
      </c>
      <c r="Q20" s="19">
        <v>83395</v>
      </c>
      <c r="R20" s="19">
        <v>101114</v>
      </c>
      <c r="S20" s="19">
        <v>120871</v>
      </c>
      <c r="T20" s="19">
        <v>132627</v>
      </c>
      <c r="U20" s="19">
        <v>132453</v>
      </c>
      <c r="V20" s="19">
        <v>162871</v>
      </c>
      <c r="W20" s="19">
        <v>183141</v>
      </c>
      <c r="X20" s="19">
        <v>198785</v>
      </c>
      <c r="Y20" s="19">
        <v>221109</v>
      </c>
      <c r="Z20" s="19">
        <v>243718</v>
      </c>
      <c r="AA20" s="22">
        <v>246879</v>
      </c>
    </row>
    <row r="21" spans="1:27" x14ac:dyDescent="0.25">
      <c r="A21" s="6" t="s">
        <v>290</v>
      </c>
      <c r="B21" s="6" t="s">
        <v>104</v>
      </c>
      <c r="C21" s="19">
        <v>11091.281999999999</v>
      </c>
      <c r="D21" s="19">
        <v>11321.811</v>
      </c>
      <c r="E21" s="19">
        <v>12237</v>
      </c>
      <c r="F21" s="19">
        <v>12614</v>
      </c>
      <c r="G21" s="19">
        <v>14801</v>
      </c>
      <c r="H21" s="19">
        <v>14432.235000000001</v>
      </c>
      <c r="I21" s="19">
        <v>17015</v>
      </c>
      <c r="J21" s="19">
        <v>18362</v>
      </c>
      <c r="K21" s="19">
        <v>19239</v>
      </c>
      <c r="L21" s="19">
        <v>41696</v>
      </c>
      <c r="M21" s="19">
        <v>48392</v>
      </c>
      <c r="N21" s="19">
        <v>54217</v>
      </c>
      <c r="O21" s="19">
        <v>52813</v>
      </c>
      <c r="P21" s="19">
        <v>52599</v>
      </c>
      <c r="Q21" s="19">
        <v>58430</v>
      </c>
      <c r="R21" s="19">
        <v>68836</v>
      </c>
      <c r="S21" s="19">
        <v>78301</v>
      </c>
      <c r="T21" s="19">
        <v>83834</v>
      </c>
      <c r="U21" s="19">
        <v>93455</v>
      </c>
      <c r="V21" s="19">
        <v>119178</v>
      </c>
      <c r="W21" s="19">
        <v>122748</v>
      </c>
      <c r="X21" s="19">
        <v>130157</v>
      </c>
      <c r="Y21" s="19">
        <v>145880</v>
      </c>
      <c r="Z21" s="19">
        <v>162168</v>
      </c>
      <c r="AA21" s="22">
        <v>164964</v>
      </c>
    </row>
    <row r="22" spans="1:27" x14ac:dyDescent="0.25">
      <c r="A22" s="10" t="s">
        <v>291</v>
      </c>
      <c r="B22" s="10" t="s">
        <v>292</v>
      </c>
      <c r="C22" s="13">
        <v>1142.615</v>
      </c>
      <c r="D22" s="13">
        <v>814.76199999999994</v>
      </c>
      <c r="E22" s="13">
        <v>1054</v>
      </c>
      <c r="F22" s="13">
        <v>1498</v>
      </c>
      <c r="G22" s="13">
        <v>1694</v>
      </c>
      <c r="H22" s="13" t="s">
        <v>80</v>
      </c>
      <c r="I22" s="13">
        <v>1208</v>
      </c>
      <c r="J22" s="13">
        <v>1338</v>
      </c>
      <c r="K22" s="13">
        <v>1548</v>
      </c>
      <c r="L22" s="13">
        <v>2879</v>
      </c>
      <c r="M22" s="13">
        <v>3766</v>
      </c>
      <c r="N22" s="13">
        <v>4294</v>
      </c>
      <c r="O22" s="13">
        <v>4267</v>
      </c>
      <c r="P22" s="13">
        <v>4847</v>
      </c>
      <c r="Q22" s="13">
        <v>6056</v>
      </c>
      <c r="R22" s="13">
        <v>7558</v>
      </c>
      <c r="S22" s="13">
        <v>9526</v>
      </c>
      <c r="T22" s="13">
        <v>10052</v>
      </c>
      <c r="U22" s="13">
        <v>10784</v>
      </c>
      <c r="V22" s="13">
        <v>13627</v>
      </c>
      <c r="W22" s="13">
        <v>15305</v>
      </c>
      <c r="X22" s="13">
        <v>18119</v>
      </c>
      <c r="Y22" s="13">
        <v>20851</v>
      </c>
      <c r="Z22" s="13">
        <v>20465</v>
      </c>
      <c r="AA22" s="16">
        <v>19543</v>
      </c>
    </row>
    <row r="23" spans="1:27" x14ac:dyDescent="0.25">
      <c r="A23" s="10" t="s">
        <v>293</v>
      </c>
      <c r="B23" s="10" t="s">
        <v>294</v>
      </c>
      <c r="C23" s="13">
        <v>9948.6669999999995</v>
      </c>
      <c r="D23" s="13">
        <v>10507.049000000001</v>
      </c>
      <c r="E23" s="13">
        <v>11183</v>
      </c>
      <c r="F23" s="13">
        <v>11116</v>
      </c>
      <c r="G23" s="13">
        <v>13107</v>
      </c>
      <c r="H23" s="13">
        <v>14432.235000000001</v>
      </c>
      <c r="I23" s="13">
        <v>15807</v>
      </c>
      <c r="J23" s="13">
        <v>17024</v>
      </c>
      <c r="K23" s="13">
        <v>17691</v>
      </c>
      <c r="L23" s="13">
        <v>38817</v>
      </c>
      <c r="M23" s="13">
        <v>44626</v>
      </c>
      <c r="N23" s="13">
        <v>49923</v>
      </c>
      <c r="O23" s="13">
        <v>48546</v>
      </c>
      <c r="P23" s="13">
        <v>47752</v>
      </c>
      <c r="Q23" s="13">
        <v>52374</v>
      </c>
      <c r="R23" s="13">
        <v>61278</v>
      </c>
      <c r="S23" s="13">
        <v>68775</v>
      </c>
      <c r="T23" s="13">
        <v>73782</v>
      </c>
      <c r="U23" s="13">
        <v>82671</v>
      </c>
      <c r="V23" s="13">
        <v>105551</v>
      </c>
      <c r="W23" s="13">
        <v>107443</v>
      </c>
      <c r="X23" s="13">
        <v>112038</v>
      </c>
      <c r="Y23" s="13">
        <v>125029</v>
      </c>
      <c r="Z23" s="13">
        <v>141703</v>
      </c>
      <c r="AA23" s="16">
        <v>145421</v>
      </c>
    </row>
    <row r="24" spans="1:27" x14ac:dyDescent="0.25">
      <c r="A24" s="6" t="s">
        <v>295</v>
      </c>
      <c r="B24" s="6" t="s">
        <v>75</v>
      </c>
      <c r="C24" s="19">
        <v>1923.3779999999999</v>
      </c>
      <c r="D24" s="19">
        <v>2521.7069999999999</v>
      </c>
      <c r="E24" s="19">
        <v>3332</v>
      </c>
      <c r="F24" s="19">
        <v>6853</v>
      </c>
      <c r="G24" s="19">
        <v>7657</v>
      </c>
      <c r="H24" s="19">
        <v>8204.9519999999993</v>
      </c>
      <c r="I24" s="19">
        <v>8291</v>
      </c>
      <c r="J24" s="19">
        <v>7050</v>
      </c>
      <c r="K24" s="19">
        <v>9266</v>
      </c>
      <c r="L24" s="19">
        <v>13162</v>
      </c>
      <c r="M24" s="19">
        <v>15613</v>
      </c>
      <c r="N24" s="19">
        <v>16704</v>
      </c>
      <c r="O24" s="19">
        <v>19901</v>
      </c>
      <c r="P24" s="19">
        <v>21905</v>
      </c>
      <c r="Q24" s="19">
        <v>24965</v>
      </c>
      <c r="R24" s="19">
        <v>32278</v>
      </c>
      <c r="S24" s="19">
        <v>42570</v>
      </c>
      <c r="T24" s="19">
        <v>48793</v>
      </c>
      <c r="U24" s="19">
        <v>38998</v>
      </c>
      <c r="V24" s="19">
        <v>43693</v>
      </c>
      <c r="W24" s="19">
        <v>60393</v>
      </c>
      <c r="X24" s="19">
        <v>68628</v>
      </c>
      <c r="Y24" s="19">
        <v>75229</v>
      </c>
      <c r="Z24" s="19">
        <v>81550</v>
      </c>
      <c r="AA24" s="22">
        <v>81915</v>
      </c>
    </row>
    <row r="25" spans="1:27" x14ac:dyDescent="0.25">
      <c r="A25" s="6" t="s">
        <v>296</v>
      </c>
      <c r="B25" s="6" t="s">
        <v>297</v>
      </c>
      <c r="C25" s="19">
        <v>-207.178</v>
      </c>
      <c r="D25" s="19">
        <v>-84.768000000000001</v>
      </c>
      <c r="E25" s="19">
        <v>-187</v>
      </c>
      <c r="F25" s="19">
        <v>-1444</v>
      </c>
      <c r="G25" s="19">
        <v>-998</v>
      </c>
      <c r="H25" s="19">
        <v>-2224.1060000000002</v>
      </c>
      <c r="I25" s="19">
        <v>-2496</v>
      </c>
      <c r="J25" s="19">
        <v>-872</v>
      </c>
      <c r="K25" s="19">
        <v>-581</v>
      </c>
      <c r="L25" s="19">
        <v>41</v>
      </c>
      <c r="M25" s="19">
        <v>-590</v>
      </c>
      <c r="N25" s="19">
        <v>-1130</v>
      </c>
      <c r="O25" s="19">
        <v>-1220</v>
      </c>
      <c r="P25" s="19">
        <v>-1201</v>
      </c>
      <c r="Q25" s="19">
        <v>-1246</v>
      </c>
      <c r="R25" s="19">
        <v>-1264</v>
      </c>
      <c r="S25" s="19">
        <v>-1385</v>
      </c>
      <c r="T25" s="19">
        <v>-1716</v>
      </c>
      <c r="U25" s="19">
        <v>-2003</v>
      </c>
      <c r="V25" s="19">
        <v>-2273</v>
      </c>
      <c r="W25" s="19">
        <v>-966</v>
      </c>
      <c r="X25" s="19">
        <v>-1413</v>
      </c>
      <c r="Y25" s="19">
        <v>-1713</v>
      </c>
      <c r="Z25" s="19">
        <v>-1724</v>
      </c>
      <c r="AA25" s="22">
        <v>-1676</v>
      </c>
    </row>
    <row r="26" spans="1:27" x14ac:dyDescent="0.25">
      <c r="A26" s="10" t="s">
        <v>298</v>
      </c>
      <c r="B26" s="10" t="s">
        <v>299</v>
      </c>
      <c r="C26" s="13">
        <v>-165.44399999999999</v>
      </c>
      <c r="D26" s="13">
        <v>-200.67099999999999</v>
      </c>
      <c r="E26" s="13">
        <v>-222</v>
      </c>
      <c r="F26" s="13">
        <v>-403</v>
      </c>
      <c r="G26" s="13">
        <v>-797</v>
      </c>
      <c r="H26" s="13" t="s">
        <v>80</v>
      </c>
      <c r="I26" s="13">
        <v>-276</v>
      </c>
      <c r="J26" s="13">
        <v>0</v>
      </c>
      <c r="K26" s="13">
        <v>0</v>
      </c>
      <c r="L26" s="13">
        <v>41</v>
      </c>
      <c r="M26" s="13">
        <v>-590</v>
      </c>
      <c r="N26" s="13">
        <v>-1130</v>
      </c>
      <c r="O26" s="13">
        <v>-1220</v>
      </c>
      <c r="P26" s="13">
        <v>-1201</v>
      </c>
      <c r="Q26" s="13">
        <v>-1246</v>
      </c>
      <c r="R26" s="13">
        <v>-1264</v>
      </c>
      <c r="S26" s="13">
        <v>-1385</v>
      </c>
      <c r="T26" s="13">
        <v>-1716</v>
      </c>
      <c r="U26" s="13">
        <v>-2003</v>
      </c>
      <c r="V26" s="13">
        <v>-2273</v>
      </c>
      <c r="W26" s="13">
        <v>-966</v>
      </c>
      <c r="X26" s="13">
        <v>-1413</v>
      </c>
      <c r="Y26" s="13">
        <v>-1713</v>
      </c>
      <c r="Z26" s="13">
        <v>-1724</v>
      </c>
      <c r="AA26" s="16">
        <v>-1676</v>
      </c>
    </row>
    <row r="27" spans="1:27" x14ac:dyDescent="0.25">
      <c r="A27" s="10" t="s">
        <v>300</v>
      </c>
      <c r="B27" s="10" t="s">
        <v>301</v>
      </c>
      <c r="C27" s="13">
        <v>-41.734000000000002</v>
      </c>
      <c r="D27" s="13">
        <v>115.90300000000001</v>
      </c>
      <c r="E27" s="13">
        <v>35</v>
      </c>
      <c r="F27" s="13">
        <v>-1041</v>
      </c>
      <c r="G27" s="13">
        <v>-201</v>
      </c>
      <c r="H27" s="13">
        <v>-2224.1060000000002</v>
      </c>
      <c r="I27" s="13">
        <v>-2220</v>
      </c>
      <c r="J27" s="13">
        <v>-872</v>
      </c>
      <c r="K27" s="13">
        <v>-581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6">
        <v>0</v>
      </c>
    </row>
    <row r="28" spans="1:27" x14ac:dyDescent="0.25">
      <c r="A28" s="6" t="s">
        <v>302</v>
      </c>
      <c r="B28" s="6" t="s">
        <v>303</v>
      </c>
      <c r="C28" s="19">
        <v>2130.556</v>
      </c>
      <c r="D28" s="19">
        <v>2606.4749999999999</v>
      </c>
      <c r="E28" s="19">
        <v>3519</v>
      </c>
      <c r="F28" s="19">
        <v>0</v>
      </c>
      <c r="G28" s="19">
        <v>8655</v>
      </c>
      <c r="H28" s="19">
        <v>10429.058000000001</v>
      </c>
      <c r="I28" s="19">
        <v>10787</v>
      </c>
      <c r="J28" s="19">
        <v>7922</v>
      </c>
      <c r="K28" s="19">
        <v>9847</v>
      </c>
      <c r="L28" s="19">
        <v>13121</v>
      </c>
      <c r="M28" s="19">
        <v>16203</v>
      </c>
      <c r="N28" s="19">
        <v>17834</v>
      </c>
      <c r="O28" s="19">
        <v>21121</v>
      </c>
      <c r="P28" s="19">
        <v>23106</v>
      </c>
      <c r="Q28" s="19">
        <v>26211</v>
      </c>
      <c r="R28" s="19">
        <v>33542</v>
      </c>
      <c r="S28" s="19">
        <v>43955</v>
      </c>
      <c r="T28" s="19">
        <v>50509</v>
      </c>
      <c r="U28" s="19">
        <v>41001</v>
      </c>
      <c r="V28" s="19">
        <v>45966</v>
      </c>
      <c r="W28" s="19">
        <v>61359</v>
      </c>
      <c r="X28" s="19">
        <v>70041</v>
      </c>
      <c r="Y28" s="19">
        <v>76942</v>
      </c>
      <c r="Z28" s="19">
        <v>83274</v>
      </c>
      <c r="AA28" s="22">
        <v>83591</v>
      </c>
    </row>
    <row r="29" spans="1:27" x14ac:dyDescent="0.25">
      <c r="A29" s="6" t="s">
        <v>304</v>
      </c>
      <c r="B29" s="6" t="s">
        <v>305</v>
      </c>
      <c r="C29" s="19" t="s">
        <v>80</v>
      </c>
      <c r="D29" s="19" t="s">
        <v>80</v>
      </c>
      <c r="E29" s="19" t="s">
        <v>80</v>
      </c>
      <c r="F29" s="19" t="s">
        <v>80</v>
      </c>
      <c r="G29" s="19" t="s">
        <v>80</v>
      </c>
      <c r="H29" s="19" t="s">
        <v>80</v>
      </c>
      <c r="I29" s="19" t="s">
        <v>80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334</v>
      </c>
      <c r="S29" s="19">
        <v>-95</v>
      </c>
      <c r="T29" s="19">
        <v>677</v>
      </c>
      <c r="U29" s="19">
        <v>55</v>
      </c>
      <c r="V29" s="19">
        <v>-129</v>
      </c>
      <c r="W29" s="19">
        <v>-629</v>
      </c>
      <c r="X29" s="19">
        <v>-933</v>
      </c>
      <c r="Y29" s="19">
        <v>-614</v>
      </c>
      <c r="Z29" s="19">
        <v>-344</v>
      </c>
      <c r="AA29" s="22">
        <v>-67</v>
      </c>
    </row>
    <row r="30" spans="1:27" x14ac:dyDescent="0.25">
      <c r="A30" s="10" t="s">
        <v>306</v>
      </c>
      <c r="B30" s="10" t="s">
        <v>307</v>
      </c>
      <c r="C30" s="13" t="s">
        <v>80</v>
      </c>
      <c r="D30" s="13" t="s">
        <v>80</v>
      </c>
      <c r="E30" s="13" t="s">
        <v>80</v>
      </c>
      <c r="F30" s="13" t="s">
        <v>80</v>
      </c>
      <c r="G30" s="13" t="s">
        <v>80</v>
      </c>
      <c r="H30" s="13" t="s">
        <v>80</v>
      </c>
      <c r="I30" s="13" t="s">
        <v>80</v>
      </c>
      <c r="J30" s="13" t="s">
        <v>80</v>
      </c>
      <c r="K30" s="13" t="s">
        <v>80</v>
      </c>
      <c r="L30" s="13" t="s">
        <v>80</v>
      </c>
      <c r="M30" s="13" t="s">
        <v>80</v>
      </c>
      <c r="N30" s="13" t="s">
        <v>80</v>
      </c>
      <c r="O30" s="13" t="s">
        <v>80</v>
      </c>
      <c r="P30" s="13" t="s">
        <v>80</v>
      </c>
      <c r="Q30" s="13" t="s">
        <v>80</v>
      </c>
      <c r="R30" s="13">
        <v>-159</v>
      </c>
      <c r="S30" s="13">
        <v>-275</v>
      </c>
      <c r="T30" s="13">
        <v>545</v>
      </c>
      <c r="U30" s="13">
        <v>514</v>
      </c>
      <c r="V30" s="13" t="s">
        <v>80</v>
      </c>
      <c r="W30" s="13" t="s">
        <v>80</v>
      </c>
      <c r="X30" s="13" t="s">
        <v>80</v>
      </c>
      <c r="Y30" s="13" t="s">
        <v>80</v>
      </c>
      <c r="Z30" s="13" t="s">
        <v>80</v>
      </c>
      <c r="AA30" s="16"/>
    </row>
    <row r="31" spans="1:27" x14ac:dyDescent="0.25">
      <c r="A31" s="10" t="s">
        <v>308</v>
      </c>
      <c r="B31" s="10" t="s">
        <v>309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 t="s">
        <v>80</v>
      </c>
      <c r="K31" s="13" t="s">
        <v>80</v>
      </c>
      <c r="L31" s="13" t="s">
        <v>80</v>
      </c>
      <c r="M31" s="13" t="s">
        <v>80</v>
      </c>
      <c r="N31" s="13" t="s">
        <v>80</v>
      </c>
      <c r="O31" s="13" t="s">
        <v>80</v>
      </c>
      <c r="P31" s="13" t="s">
        <v>80</v>
      </c>
      <c r="Q31" s="13" t="s">
        <v>80</v>
      </c>
      <c r="R31" s="13">
        <v>493</v>
      </c>
      <c r="S31" s="13">
        <v>180</v>
      </c>
      <c r="T31" s="13">
        <v>132</v>
      </c>
      <c r="U31" s="13">
        <v>55</v>
      </c>
      <c r="V31" s="13">
        <v>372</v>
      </c>
      <c r="W31" s="13" t="s">
        <v>80</v>
      </c>
      <c r="X31" s="13" t="s">
        <v>80</v>
      </c>
      <c r="Y31" s="13" t="s">
        <v>80</v>
      </c>
      <c r="Z31" s="13" t="s">
        <v>80</v>
      </c>
      <c r="AA31" s="16"/>
    </row>
    <row r="32" spans="1:27" x14ac:dyDescent="0.25">
      <c r="A32" s="10" t="s">
        <v>310</v>
      </c>
      <c r="B32" s="10" t="s">
        <v>311</v>
      </c>
      <c r="C32" s="13" t="s">
        <v>80</v>
      </c>
      <c r="D32" s="13" t="s">
        <v>80</v>
      </c>
      <c r="E32" s="13" t="s">
        <v>80</v>
      </c>
      <c r="F32" s="13" t="s">
        <v>80</v>
      </c>
      <c r="G32" s="13" t="s">
        <v>80</v>
      </c>
      <c r="H32" s="13" t="s">
        <v>80</v>
      </c>
      <c r="I32" s="13" t="s">
        <v>80</v>
      </c>
      <c r="J32" s="13" t="s">
        <v>80</v>
      </c>
      <c r="K32" s="13" t="s">
        <v>80</v>
      </c>
      <c r="L32" s="13" t="s">
        <v>80</v>
      </c>
      <c r="M32" s="13" t="s">
        <v>80</v>
      </c>
      <c r="N32" s="13" t="s">
        <v>80</v>
      </c>
      <c r="O32" s="13" t="s">
        <v>80</v>
      </c>
      <c r="P32" s="13" t="s">
        <v>80</v>
      </c>
      <c r="Q32" s="13" t="s">
        <v>80</v>
      </c>
      <c r="R32" s="13" t="s">
        <v>80</v>
      </c>
      <c r="S32" s="13" t="s">
        <v>80</v>
      </c>
      <c r="T32" s="13" t="s">
        <v>80</v>
      </c>
      <c r="U32" s="13">
        <v>-514</v>
      </c>
      <c r="V32" s="13">
        <v>-501</v>
      </c>
      <c r="W32" s="13">
        <v>-629</v>
      </c>
      <c r="X32" s="13">
        <v>-933</v>
      </c>
      <c r="Y32" s="13">
        <v>-614</v>
      </c>
      <c r="Z32" s="13">
        <v>-344</v>
      </c>
      <c r="AA32" s="16">
        <v>-67</v>
      </c>
    </row>
    <row r="33" spans="1:27" x14ac:dyDescent="0.25">
      <c r="A33" s="6" t="s">
        <v>312</v>
      </c>
      <c r="B33" s="6" t="s">
        <v>303</v>
      </c>
      <c r="C33" s="19">
        <v>2130.556</v>
      </c>
      <c r="D33" s="19">
        <v>2606.4749999999999</v>
      </c>
      <c r="E33" s="19">
        <v>3519</v>
      </c>
      <c r="F33" s="19">
        <v>0</v>
      </c>
      <c r="G33" s="19">
        <v>8655</v>
      </c>
      <c r="H33" s="19">
        <v>10429.058000000001</v>
      </c>
      <c r="I33" s="19">
        <v>10787</v>
      </c>
      <c r="J33" s="19">
        <v>7922</v>
      </c>
      <c r="K33" s="19">
        <v>9847</v>
      </c>
      <c r="L33" s="19">
        <v>13121</v>
      </c>
      <c r="M33" s="19">
        <v>16203</v>
      </c>
      <c r="N33" s="19">
        <v>17834</v>
      </c>
      <c r="O33" s="19">
        <v>21121</v>
      </c>
      <c r="P33" s="19">
        <v>23106</v>
      </c>
      <c r="Q33" s="19">
        <v>26211</v>
      </c>
      <c r="R33" s="19">
        <v>33208</v>
      </c>
      <c r="S33" s="19">
        <v>44050</v>
      </c>
      <c r="T33" s="19">
        <v>49832</v>
      </c>
      <c r="U33" s="19">
        <v>40946</v>
      </c>
      <c r="V33" s="19">
        <v>46095</v>
      </c>
      <c r="W33" s="19">
        <v>61988</v>
      </c>
      <c r="X33" s="19">
        <v>70974</v>
      </c>
      <c r="Y33" s="19">
        <v>77556</v>
      </c>
      <c r="Z33" s="19">
        <v>83618</v>
      </c>
      <c r="AA33" s="22">
        <v>83658</v>
      </c>
    </row>
    <row r="34" spans="1:27" x14ac:dyDescent="0.25">
      <c r="A34" s="6" t="s">
        <v>313</v>
      </c>
      <c r="B34" s="6" t="s">
        <v>314</v>
      </c>
      <c r="C34" s="19">
        <v>348.428</v>
      </c>
      <c r="D34" s="19">
        <v>243.79900000000001</v>
      </c>
      <c r="E34" s="19">
        <v>714</v>
      </c>
      <c r="F34" s="19">
        <v>2264</v>
      </c>
      <c r="G34" s="19">
        <v>2487</v>
      </c>
      <c r="H34" s="19">
        <v>3292.788</v>
      </c>
      <c r="I34" s="19">
        <v>3400</v>
      </c>
      <c r="J34" s="19">
        <v>2045</v>
      </c>
      <c r="K34" s="19">
        <v>2805</v>
      </c>
      <c r="L34" s="19">
        <v>3552</v>
      </c>
      <c r="M34" s="19">
        <v>4128</v>
      </c>
      <c r="N34" s="19">
        <v>3555</v>
      </c>
      <c r="O34" s="19">
        <v>5668</v>
      </c>
      <c r="P34" s="19">
        <v>5991</v>
      </c>
      <c r="Q34" s="19">
        <v>6878</v>
      </c>
      <c r="R34" s="19">
        <v>9048</v>
      </c>
      <c r="S34" s="19">
        <v>11636</v>
      </c>
      <c r="T34" s="19">
        <v>12795</v>
      </c>
      <c r="U34" s="19">
        <v>10049</v>
      </c>
      <c r="V34" s="19">
        <v>10556</v>
      </c>
      <c r="W34" s="19">
        <v>15963</v>
      </c>
      <c r="X34" s="19">
        <v>17832</v>
      </c>
      <c r="Y34" s="19">
        <v>19532</v>
      </c>
      <c r="Z34" s="19">
        <v>21772</v>
      </c>
      <c r="AA34" s="22">
        <v>21788</v>
      </c>
    </row>
    <row r="35" spans="1:27" x14ac:dyDescent="0.25">
      <c r="A35" s="10" t="s">
        <v>315</v>
      </c>
      <c r="B35" s="10" t="s">
        <v>316</v>
      </c>
      <c r="C35" s="13" t="s">
        <v>80</v>
      </c>
      <c r="D35" s="13" t="s">
        <v>80</v>
      </c>
      <c r="E35" s="13" t="s">
        <v>80</v>
      </c>
      <c r="F35" s="13" t="s">
        <v>80</v>
      </c>
      <c r="G35" s="13" t="s">
        <v>80</v>
      </c>
      <c r="H35" s="13" t="s">
        <v>80</v>
      </c>
      <c r="I35" s="13" t="s">
        <v>80</v>
      </c>
      <c r="J35" s="13">
        <v>2581</v>
      </c>
      <c r="K35" s="13">
        <v>2735</v>
      </c>
      <c r="L35" s="13">
        <v>2619</v>
      </c>
      <c r="M35" s="13">
        <v>3653</v>
      </c>
      <c r="N35" s="13">
        <v>3671</v>
      </c>
      <c r="O35" s="13">
        <v>8040</v>
      </c>
      <c r="P35" s="13">
        <v>5605</v>
      </c>
      <c r="Q35" s="13">
        <v>7056</v>
      </c>
      <c r="R35" s="13">
        <v>8469</v>
      </c>
      <c r="S35" s="13">
        <v>10768</v>
      </c>
      <c r="T35" s="13">
        <v>10524</v>
      </c>
      <c r="U35" s="13">
        <v>9247</v>
      </c>
      <c r="V35" s="13">
        <v>7174</v>
      </c>
      <c r="W35" s="13" t="s">
        <v>80</v>
      </c>
      <c r="X35" s="13" t="s">
        <v>80</v>
      </c>
      <c r="Y35" s="13" t="s">
        <v>80</v>
      </c>
      <c r="Z35" s="13" t="s">
        <v>80</v>
      </c>
      <c r="AA35" s="16"/>
    </row>
    <row r="36" spans="1:27" x14ac:dyDescent="0.25">
      <c r="A36" s="10" t="s">
        <v>317</v>
      </c>
      <c r="B36" s="10" t="s">
        <v>318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 t="s">
        <v>80</v>
      </c>
      <c r="J36" s="13">
        <v>-536</v>
      </c>
      <c r="K36" s="13">
        <v>70</v>
      </c>
      <c r="L36" s="13">
        <v>933</v>
      </c>
      <c r="M36" s="13">
        <v>475</v>
      </c>
      <c r="N36" s="13">
        <v>-116</v>
      </c>
      <c r="O36" s="13">
        <v>-2372</v>
      </c>
      <c r="P36" s="13">
        <v>386</v>
      </c>
      <c r="Q36" s="13">
        <v>-178</v>
      </c>
      <c r="R36" s="13">
        <v>579</v>
      </c>
      <c r="S36" s="13">
        <v>868</v>
      </c>
      <c r="T36" s="13">
        <v>2271</v>
      </c>
      <c r="U36" s="13">
        <v>802</v>
      </c>
      <c r="V36" s="13">
        <v>3382</v>
      </c>
      <c r="W36" s="13" t="s">
        <v>80</v>
      </c>
      <c r="X36" s="13" t="s">
        <v>80</v>
      </c>
      <c r="Y36" s="13" t="s">
        <v>80</v>
      </c>
      <c r="Z36" s="13" t="s">
        <v>80</v>
      </c>
      <c r="AA36" s="16"/>
    </row>
    <row r="37" spans="1:27" x14ac:dyDescent="0.25">
      <c r="A37" s="6" t="s">
        <v>319</v>
      </c>
      <c r="B37" s="6" t="s">
        <v>320</v>
      </c>
      <c r="C37" s="19" t="s">
        <v>80</v>
      </c>
      <c r="D37" s="19" t="s">
        <v>80</v>
      </c>
      <c r="E37" s="19" t="s">
        <v>80</v>
      </c>
      <c r="F37" s="19" t="s">
        <v>80</v>
      </c>
      <c r="G37" s="19" t="s">
        <v>80</v>
      </c>
      <c r="H37" s="19" t="s">
        <v>80</v>
      </c>
      <c r="I37" s="19" t="s">
        <v>80</v>
      </c>
      <c r="J37" s="19">
        <v>-313</v>
      </c>
      <c r="K37" s="19">
        <v>-320</v>
      </c>
      <c r="L37" s="19" t="s">
        <v>80</v>
      </c>
      <c r="M37" s="19" t="s">
        <v>80</v>
      </c>
      <c r="N37" s="19" t="s">
        <v>80</v>
      </c>
      <c r="O37" s="19" t="s">
        <v>80</v>
      </c>
      <c r="P37" s="19" t="s">
        <v>80</v>
      </c>
      <c r="Q37" s="19" t="s">
        <v>80</v>
      </c>
      <c r="R37" s="19" t="s">
        <v>80</v>
      </c>
      <c r="S37" s="19" t="s">
        <v>80</v>
      </c>
      <c r="T37" s="19" t="s">
        <v>80</v>
      </c>
      <c r="U37" s="19" t="s">
        <v>80</v>
      </c>
      <c r="V37" s="19" t="s">
        <v>80</v>
      </c>
      <c r="W37" s="19" t="s">
        <v>80</v>
      </c>
      <c r="X37" s="19" t="s">
        <v>80</v>
      </c>
      <c r="Y37" s="19" t="s">
        <v>80</v>
      </c>
      <c r="Z37" s="19" t="s">
        <v>80</v>
      </c>
      <c r="AA37" s="22"/>
    </row>
    <row r="38" spans="1:27" x14ac:dyDescent="0.25">
      <c r="A38" s="6" t="s">
        <v>321</v>
      </c>
      <c r="B38" s="6" t="s">
        <v>322</v>
      </c>
      <c r="C38" s="19">
        <v>1782.1279999999999</v>
      </c>
      <c r="D38" s="19">
        <v>2362.6759999999999</v>
      </c>
      <c r="E38" s="19">
        <v>2805</v>
      </c>
      <c r="F38" s="19">
        <v>6033</v>
      </c>
      <c r="G38" s="19">
        <v>6168</v>
      </c>
      <c r="H38" s="19">
        <v>7136.27</v>
      </c>
      <c r="I38" s="19">
        <v>7387</v>
      </c>
      <c r="J38" s="19">
        <v>6190</v>
      </c>
      <c r="K38" s="19">
        <v>7362</v>
      </c>
      <c r="L38" s="19">
        <v>9569</v>
      </c>
      <c r="M38" s="19">
        <v>12075</v>
      </c>
      <c r="N38" s="19">
        <v>14279</v>
      </c>
      <c r="O38" s="19">
        <v>15453</v>
      </c>
      <c r="P38" s="19">
        <v>17115</v>
      </c>
      <c r="Q38" s="19">
        <v>19333</v>
      </c>
      <c r="R38" s="19">
        <v>24160</v>
      </c>
      <c r="S38" s="19">
        <v>32414</v>
      </c>
      <c r="T38" s="19">
        <v>37037</v>
      </c>
      <c r="U38" s="19">
        <v>30897</v>
      </c>
      <c r="V38" s="19">
        <v>35539</v>
      </c>
      <c r="W38" s="19">
        <v>46025</v>
      </c>
      <c r="X38" s="19">
        <v>53142</v>
      </c>
      <c r="Y38" s="19">
        <v>58024</v>
      </c>
      <c r="Z38" s="19">
        <v>61846</v>
      </c>
      <c r="AA38" s="22">
        <v>61870</v>
      </c>
    </row>
    <row r="39" spans="1:27" x14ac:dyDescent="0.25">
      <c r="A39" s="6" t="s">
        <v>323</v>
      </c>
      <c r="B39" s="6" t="s">
        <v>324</v>
      </c>
      <c r="C39" s="19">
        <v>-410.83699999999999</v>
      </c>
      <c r="D39" s="19">
        <v>-0.69299999999999995</v>
      </c>
      <c r="E39" s="19" t="s">
        <v>80</v>
      </c>
      <c r="F39" s="19" t="s">
        <v>80</v>
      </c>
      <c r="G39" s="19" t="s">
        <v>80</v>
      </c>
      <c r="H39" s="19">
        <v>326.005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-233</v>
      </c>
      <c r="Q39" s="19">
        <v>-243</v>
      </c>
      <c r="R39" s="19">
        <v>-89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1023</v>
      </c>
      <c r="Z39" s="19">
        <v>2187</v>
      </c>
      <c r="AA39" s="22">
        <v>1852</v>
      </c>
    </row>
    <row r="40" spans="1:27" x14ac:dyDescent="0.25">
      <c r="A40" s="10" t="s">
        <v>325</v>
      </c>
      <c r="B40" s="10" t="s">
        <v>326</v>
      </c>
      <c r="C40" s="13" t="s">
        <v>80</v>
      </c>
      <c r="D40" s="13" t="s">
        <v>80</v>
      </c>
      <c r="E40" s="13" t="s">
        <v>80</v>
      </c>
      <c r="F40" s="13" t="s">
        <v>80</v>
      </c>
      <c r="G40" s="13" t="s">
        <v>80</v>
      </c>
      <c r="H40" s="13" t="s">
        <v>80</v>
      </c>
      <c r="I40" s="13" t="s">
        <v>80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-233</v>
      </c>
      <c r="Q40" s="13">
        <v>-243</v>
      </c>
      <c r="R40" s="13">
        <v>-89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1023</v>
      </c>
      <c r="Z40" s="13">
        <v>2187</v>
      </c>
      <c r="AA40" s="16">
        <v>1852</v>
      </c>
    </row>
    <row r="41" spans="1:27" x14ac:dyDescent="0.25">
      <c r="A41" s="10" t="s">
        <v>327</v>
      </c>
      <c r="B41" s="10" t="s">
        <v>328</v>
      </c>
      <c r="C41" s="13" t="s">
        <v>80</v>
      </c>
      <c r="D41" s="13" t="s">
        <v>80</v>
      </c>
      <c r="E41" s="13" t="s">
        <v>80</v>
      </c>
      <c r="F41" s="13" t="s">
        <v>80</v>
      </c>
      <c r="G41" s="13" t="s">
        <v>80</v>
      </c>
      <c r="H41" s="13" t="s">
        <v>80</v>
      </c>
      <c r="I41" s="13" t="s">
        <v>80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</row>
    <row r="42" spans="1:27" x14ac:dyDescent="0.25">
      <c r="A42" s="6" t="s">
        <v>329</v>
      </c>
      <c r="B42" s="6" t="s">
        <v>330</v>
      </c>
      <c r="C42" s="19">
        <v>2192.9650000000001</v>
      </c>
      <c r="D42" s="19">
        <v>2363.3690000000001</v>
      </c>
      <c r="E42" s="19">
        <v>2805</v>
      </c>
      <c r="F42" s="19">
        <v>-2264</v>
      </c>
      <c r="G42" s="19">
        <v>6168</v>
      </c>
      <c r="H42" s="19">
        <v>6810.2650000000003</v>
      </c>
      <c r="I42" s="19">
        <v>7387</v>
      </c>
      <c r="J42" s="19">
        <v>6190</v>
      </c>
      <c r="K42" s="19">
        <v>7362</v>
      </c>
      <c r="L42" s="19">
        <v>9569</v>
      </c>
      <c r="M42" s="19">
        <v>12075</v>
      </c>
      <c r="N42" s="19">
        <v>14279</v>
      </c>
      <c r="O42" s="19">
        <v>15453</v>
      </c>
      <c r="P42" s="19">
        <v>17348</v>
      </c>
      <c r="Q42" s="19">
        <v>19576</v>
      </c>
      <c r="R42" s="19">
        <v>24249</v>
      </c>
      <c r="S42" s="19">
        <v>32414</v>
      </c>
      <c r="T42" s="19">
        <v>37037</v>
      </c>
      <c r="U42" s="19">
        <v>30897</v>
      </c>
      <c r="V42" s="19">
        <v>35539</v>
      </c>
      <c r="W42" s="19">
        <v>46025</v>
      </c>
      <c r="X42" s="19">
        <v>53142</v>
      </c>
      <c r="Y42" s="19">
        <v>57001</v>
      </c>
      <c r="Z42" s="19">
        <v>59659</v>
      </c>
      <c r="AA42" s="22">
        <v>60018</v>
      </c>
    </row>
    <row r="43" spans="1:27" x14ac:dyDescent="0.25">
      <c r="A43" s="10" t="s">
        <v>331</v>
      </c>
      <c r="B43" s="10" t="s">
        <v>332</v>
      </c>
      <c r="C43" s="13">
        <v>177.102</v>
      </c>
      <c r="D43" s="13">
        <v>144.87899999999999</v>
      </c>
      <c r="E43" s="13">
        <v>184</v>
      </c>
      <c r="F43" s="13">
        <v>316</v>
      </c>
      <c r="G43" s="13">
        <v>209</v>
      </c>
      <c r="H43" s="13" t="s">
        <v>80</v>
      </c>
      <c r="I43" s="13">
        <v>373</v>
      </c>
      <c r="J43" s="13">
        <v>336</v>
      </c>
      <c r="K43" s="13">
        <v>657</v>
      </c>
      <c r="L43" s="13">
        <v>1052</v>
      </c>
      <c r="M43" s="13">
        <v>1187</v>
      </c>
      <c r="N43" s="13">
        <v>771</v>
      </c>
      <c r="O43" s="13">
        <v>225</v>
      </c>
      <c r="P43" s="13">
        <v>240</v>
      </c>
      <c r="Q43" s="13">
        <v>268</v>
      </c>
      <c r="R43" s="13">
        <v>341</v>
      </c>
      <c r="S43" s="13">
        <v>456</v>
      </c>
      <c r="T43" s="13">
        <v>509</v>
      </c>
      <c r="U43" s="13">
        <v>389</v>
      </c>
      <c r="V43" s="13">
        <v>491</v>
      </c>
      <c r="W43" s="13">
        <v>617</v>
      </c>
      <c r="X43" s="13">
        <v>724</v>
      </c>
      <c r="Y43" s="13">
        <v>813</v>
      </c>
      <c r="Z43" s="13">
        <v>871</v>
      </c>
      <c r="AA43" s="16">
        <v>878</v>
      </c>
    </row>
    <row r="44" spans="1:27" x14ac:dyDescent="0.25">
      <c r="A44" s="6" t="s">
        <v>333</v>
      </c>
      <c r="B44" s="6" t="s">
        <v>334</v>
      </c>
      <c r="C44" s="19">
        <v>2015.8630000000001</v>
      </c>
      <c r="D44" s="19">
        <v>2218.4899999999998</v>
      </c>
      <c r="E44" s="19">
        <v>2621</v>
      </c>
      <c r="F44" s="19">
        <v>5717</v>
      </c>
      <c r="G44" s="19">
        <v>5959</v>
      </c>
      <c r="H44" s="19">
        <v>6810.2650000000003</v>
      </c>
      <c r="I44" s="19">
        <v>7014</v>
      </c>
      <c r="J44" s="19">
        <v>5854</v>
      </c>
      <c r="K44" s="19">
        <v>6705</v>
      </c>
      <c r="L44" s="19">
        <v>8517</v>
      </c>
      <c r="M44" s="19">
        <v>10888</v>
      </c>
      <c r="N44" s="19">
        <v>13508</v>
      </c>
      <c r="O44" s="19">
        <v>15228</v>
      </c>
      <c r="P44" s="19">
        <v>17108</v>
      </c>
      <c r="Q44" s="19">
        <v>19308</v>
      </c>
      <c r="R44" s="19">
        <v>23908</v>
      </c>
      <c r="S44" s="19">
        <v>31958</v>
      </c>
      <c r="T44" s="19">
        <v>36528</v>
      </c>
      <c r="U44" s="19">
        <v>30508</v>
      </c>
      <c r="V44" s="19">
        <v>35048</v>
      </c>
      <c r="W44" s="19">
        <v>45408</v>
      </c>
      <c r="X44" s="19">
        <v>52418</v>
      </c>
      <c r="Y44" s="19">
        <v>56188</v>
      </c>
      <c r="Z44" s="19">
        <v>58788</v>
      </c>
      <c r="AA44" s="22">
        <v>58958</v>
      </c>
    </row>
    <row r="45" spans="1:27" x14ac:dyDescent="0.25">
      <c r="A45" s="10" t="s">
        <v>335</v>
      </c>
      <c r="B45" s="10" t="s">
        <v>336</v>
      </c>
      <c r="C45" s="13">
        <v>0</v>
      </c>
      <c r="D45" s="13">
        <v>0</v>
      </c>
      <c r="E45" s="13" t="s">
        <v>80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6">
        <v>0</v>
      </c>
    </row>
    <row r="46" spans="1:27" x14ac:dyDescent="0.25">
      <c r="A46" s="10" t="s">
        <v>337</v>
      </c>
      <c r="B46" s="10" t="s">
        <v>338</v>
      </c>
      <c r="C46" s="13" t="s">
        <v>80</v>
      </c>
      <c r="D46" s="13" t="s">
        <v>80</v>
      </c>
      <c r="E46" s="13" t="s">
        <v>80</v>
      </c>
      <c r="F46" s="13" t="s">
        <v>80</v>
      </c>
      <c r="G46" s="13" t="s">
        <v>80</v>
      </c>
      <c r="H46" s="13" t="s">
        <v>80</v>
      </c>
      <c r="I46" s="13" t="s">
        <v>80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6">
        <v>0</v>
      </c>
    </row>
    <row r="47" spans="1:27" x14ac:dyDescent="0.25">
      <c r="A47" s="6" t="s">
        <v>339</v>
      </c>
      <c r="B47" s="6" t="s">
        <v>77</v>
      </c>
      <c r="C47" s="19">
        <v>2015.8630000000001</v>
      </c>
      <c r="D47" s="19">
        <v>2218.4899999999998</v>
      </c>
      <c r="E47" s="19">
        <v>2621</v>
      </c>
      <c r="F47" s="19">
        <v>5717</v>
      </c>
      <c r="G47" s="19">
        <v>5959</v>
      </c>
      <c r="H47" s="19">
        <v>6810.2650000000003</v>
      </c>
      <c r="I47" s="19">
        <v>7014</v>
      </c>
      <c r="J47" s="19">
        <v>5854</v>
      </c>
      <c r="K47" s="19">
        <v>6705</v>
      </c>
      <c r="L47" s="19">
        <v>8517</v>
      </c>
      <c r="M47" s="19">
        <v>10888</v>
      </c>
      <c r="N47" s="19">
        <v>13508</v>
      </c>
      <c r="O47" s="19">
        <v>15228</v>
      </c>
      <c r="P47" s="19">
        <v>17108</v>
      </c>
      <c r="Q47" s="19">
        <v>19308</v>
      </c>
      <c r="R47" s="19">
        <v>23908</v>
      </c>
      <c r="S47" s="19">
        <v>31958</v>
      </c>
      <c r="T47" s="19">
        <v>36528</v>
      </c>
      <c r="U47" s="19">
        <v>30508</v>
      </c>
      <c r="V47" s="19">
        <v>35048</v>
      </c>
      <c r="W47" s="19">
        <v>45408</v>
      </c>
      <c r="X47" s="19">
        <v>52418</v>
      </c>
      <c r="Y47" s="19">
        <v>56188</v>
      </c>
      <c r="Z47" s="19">
        <v>58788</v>
      </c>
      <c r="AA47" s="22">
        <v>58958</v>
      </c>
    </row>
    <row r="48" spans="1:27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1"/>
    </row>
    <row r="49" spans="1:27" x14ac:dyDescent="0.25">
      <c r="A49" s="6" t="s">
        <v>340</v>
      </c>
      <c r="B49" s="6" t="s">
        <v>77</v>
      </c>
      <c r="C49" s="19">
        <v>2015.8630000000001</v>
      </c>
      <c r="D49" s="19">
        <v>2218.4899999999998</v>
      </c>
      <c r="E49" s="19">
        <v>2621</v>
      </c>
      <c r="F49" s="19">
        <v>5717</v>
      </c>
      <c r="G49" s="19">
        <v>5959</v>
      </c>
      <c r="H49" s="19">
        <v>6810.2650000000003</v>
      </c>
      <c r="I49" s="19">
        <v>7014</v>
      </c>
      <c r="J49" s="19">
        <v>5854</v>
      </c>
      <c r="K49" s="19">
        <v>6705</v>
      </c>
      <c r="L49" s="19">
        <v>8517</v>
      </c>
      <c r="M49" s="19">
        <v>10888</v>
      </c>
      <c r="N49" s="19">
        <v>13508</v>
      </c>
      <c r="O49" s="19">
        <v>15228</v>
      </c>
      <c r="P49" s="19">
        <v>16875</v>
      </c>
      <c r="Q49" s="19">
        <v>19065</v>
      </c>
      <c r="R49" s="19">
        <v>24052.799999999999</v>
      </c>
      <c r="S49" s="19">
        <v>31891.5</v>
      </c>
      <c r="T49" s="19">
        <v>37001.9</v>
      </c>
      <c r="U49" s="19">
        <v>30546.5</v>
      </c>
      <c r="V49" s="19">
        <v>34957.699999999997</v>
      </c>
      <c r="W49" s="19">
        <v>44967.7</v>
      </c>
      <c r="X49" s="19">
        <v>51764.9</v>
      </c>
      <c r="Y49" s="19">
        <v>56781.2</v>
      </c>
      <c r="Z49" s="19">
        <v>60734.2</v>
      </c>
      <c r="AA49" s="22">
        <v>60763.1</v>
      </c>
    </row>
    <row r="50" spans="1:27" x14ac:dyDescent="0.25">
      <c r="A50" s="10" t="s">
        <v>341</v>
      </c>
      <c r="B50" s="10" t="s">
        <v>342</v>
      </c>
      <c r="C50" s="13" t="s">
        <v>80</v>
      </c>
      <c r="D50" s="13" t="s">
        <v>80</v>
      </c>
      <c r="E50" s="13" t="s">
        <v>80</v>
      </c>
      <c r="F50" s="13" t="s">
        <v>80</v>
      </c>
      <c r="G50" s="13" t="s">
        <v>80</v>
      </c>
      <c r="H50" s="13" t="s">
        <v>80</v>
      </c>
      <c r="I50" s="13" t="s">
        <v>80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233.8</v>
      </c>
      <c r="S50" s="13">
        <v>-66.5</v>
      </c>
      <c r="T50" s="13">
        <v>473.9</v>
      </c>
      <c r="U50" s="13">
        <v>38.5</v>
      </c>
      <c r="V50" s="13">
        <v>-90.3</v>
      </c>
      <c r="W50" s="13">
        <v>-440.3</v>
      </c>
      <c r="X50" s="13">
        <v>-653.1</v>
      </c>
      <c r="Y50" s="13">
        <v>-429.8</v>
      </c>
      <c r="Z50" s="13">
        <v>-240.8</v>
      </c>
      <c r="AA50" s="16">
        <v>-46.9</v>
      </c>
    </row>
    <row r="51" spans="1:27" x14ac:dyDescent="0.25">
      <c r="A51" s="10" t="s">
        <v>343</v>
      </c>
      <c r="B51" s="10" t="s">
        <v>324</v>
      </c>
      <c r="C51" s="13">
        <v>-410.83699999999999</v>
      </c>
      <c r="D51" s="13">
        <v>-0.69299999999999995</v>
      </c>
      <c r="E51" s="13" t="s">
        <v>80</v>
      </c>
      <c r="F51" s="13" t="s">
        <v>80</v>
      </c>
      <c r="G51" s="13" t="s">
        <v>80</v>
      </c>
      <c r="H51" s="13">
        <v>326.005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-233</v>
      </c>
      <c r="Q51" s="13">
        <v>-243</v>
      </c>
      <c r="R51" s="13">
        <v>-89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1023</v>
      </c>
      <c r="Z51" s="13">
        <v>2187</v>
      </c>
      <c r="AA51" s="16">
        <v>1852</v>
      </c>
    </row>
    <row r="52" spans="1:27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1"/>
    </row>
    <row r="53" spans="1:27" x14ac:dyDescent="0.25">
      <c r="A53" s="10" t="s">
        <v>344</v>
      </c>
      <c r="B53" s="10" t="s">
        <v>111</v>
      </c>
      <c r="C53" s="13">
        <v>1999.7045000000001</v>
      </c>
      <c r="D53" s="13">
        <v>2007.57</v>
      </c>
      <c r="E53" s="13">
        <v>2018.4</v>
      </c>
      <c r="F53" s="13">
        <v>2018.1</v>
      </c>
      <c r="G53" s="13">
        <v>2018.327</v>
      </c>
      <c r="H53" s="13">
        <v>2018.3</v>
      </c>
      <c r="I53" s="13">
        <v>2016.9592</v>
      </c>
      <c r="J53" s="13">
        <v>2017.1321</v>
      </c>
      <c r="K53" s="13">
        <v>2018.2575999999999</v>
      </c>
      <c r="L53" s="13">
        <v>2249.1039999999998</v>
      </c>
      <c r="M53" s="13">
        <v>2326.4</v>
      </c>
      <c r="N53" s="13">
        <v>2526.1</v>
      </c>
      <c r="O53" s="13">
        <v>2772.5</v>
      </c>
      <c r="P53" s="13">
        <v>2773.73</v>
      </c>
      <c r="Q53" s="13">
        <v>2773.73</v>
      </c>
      <c r="R53" s="13">
        <v>2749.03</v>
      </c>
      <c r="S53" s="13">
        <v>2883.4569999999999</v>
      </c>
      <c r="T53" s="13">
        <v>2865.0257999999999</v>
      </c>
      <c r="U53" s="13">
        <v>2846.8443000000002</v>
      </c>
      <c r="V53" s="13">
        <v>2857.4385000000002</v>
      </c>
      <c r="W53" s="13">
        <v>2856.6812</v>
      </c>
      <c r="X53" s="13">
        <v>2883.4566</v>
      </c>
      <c r="Y53" s="13">
        <v>2849.3429999999998</v>
      </c>
      <c r="Z53" s="13">
        <v>2828.0742</v>
      </c>
      <c r="AA53" s="16">
        <v>2813.156594</v>
      </c>
    </row>
    <row r="54" spans="1:27" x14ac:dyDescent="0.25">
      <c r="A54" s="6" t="s">
        <v>106</v>
      </c>
      <c r="B54" s="6" t="s">
        <v>107</v>
      </c>
      <c r="C54" s="20">
        <v>1.0081</v>
      </c>
      <c r="D54" s="20">
        <v>1.1051</v>
      </c>
      <c r="E54" s="20">
        <v>1.2975000000000001</v>
      </c>
      <c r="F54" s="20">
        <v>2.8330000000000002</v>
      </c>
      <c r="G54" s="20">
        <v>2.952</v>
      </c>
      <c r="H54" s="20">
        <v>3.3742999999999999</v>
      </c>
      <c r="I54" s="20">
        <v>3.4775</v>
      </c>
      <c r="J54" s="20">
        <v>2.9020999999999999</v>
      </c>
      <c r="K54" s="20">
        <v>3.3222</v>
      </c>
      <c r="L54" s="20">
        <v>3.7867999999999999</v>
      </c>
      <c r="M54" s="20">
        <v>4.68</v>
      </c>
      <c r="N54" s="20">
        <v>5.35</v>
      </c>
      <c r="O54" s="20">
        <v>5.49</v>
      </c>
      <c r="P54" s="20">
        <v>6.1707999999999998</v>
      </c>
      <c r="Q54" s="20">
        <v>6.9610000000000003</v>
      </c>
      <c r="R54" s="20">
        <v>8.6999999999999993</v>
      </c>
      <c r="S54" s="20">
        <v>11.0832</v>
      </c>
      <c r="T54" s="20">
        <v>12.749599999999999</v>
      </c>
      <c r="U54" s="20">
        <v>10.7164</v>
      </c>
      <c r="V54" s="20">
        <v>12.265499999999999</v>
      </c>
      <c r="W54" s="20">
        <v>15.8954</v>
      </c>
      <c r="X54" s="20">
        <v>18.178899999999999</v>
      </c>
      <c r="Y54" s="20">
        <v>19.72</v>
      </c>
      <c r="Z54" s="20">
        <v>20.786999999999999</v>
      </c>
      <c r="AA54" s="23">
        <v>20.842428000000002</v>
      </c>
    </row>
    <row r="55" spans="1:27" x14ac:dyDescent="0.25">
      <c r="A55" s="6" t="s">
        <v>345</v>
      </c>
      <c r="B55" s="6" t="s">
        <v>346</v>
      </c>
      <c r="C55" s="20">
        <v>0.80259999999999998</v>
      </c>
      <c r="D55" s="20">
        <v>1.1047</v>
      </c>
      <c r="E55" s="20">
        <v>1.2975000000000001</v>
      </c>
      <c r="F55" s="20">
        <v>2.9889999999999999</v>
      </c>
      <c r="G55" s="20">
        <v>2.952</v>
      </c>
      <c r="H55" s="20">
        <v>3.5358000000000001</v>
      </c>
      <c r="I55" s="20">
        <v>3.4775</v>
      </c>
      <c r="J55" s="20">
        <v>2.9020999999999999</v>
      </c>
      <c r="K55" s="20">
        <v>3.3222</v>
      </c>
      <c r="L55" s="20">
        <v>3.7867999999999999</v>
      </c>
      <c r="M55" s="20">
        <v>4.68</v>
      </c>
      <c r="N55" s="20">
        <v>5.35</v>
      </c>
      <c r="O55" s="20">
        <v>5.49</v>
      </c>
      <c r="P55" s="20">
        <v>6.0838999999999999</v>
      </c>
      <c r="Q55" s="20">
        <v>6.8734000000000002</v>
      </c>
      <c r="R55" s="20">
        <v>8.6645000000000003</v>
      </c>
      <c r="S55" s="20">
        <v>11.0832</v>
      </c>
      <c r="T55" s="20">
        <v>12.749599999999999</v>
      </c>
      <c r="U55" s="20">
        <v>10.7164</v>
      </c>
      <c r="V55" s="20">
        <v>12.265499999999999</v>
      </c>
      <c r="W55" s="20">
        <v>15.8954</v>
      </c>
      <c r="X55" s="20">
        <v>18.178899999999999</v>
      </c>
      <c r="Y55" s="20">
        <v>20.078700000000001</v>
      </c>
      <c r="Z55" s="20">
        <v>21.560600000000001</v>
      </c>
      <c r="AA55" s="23">
        <v>21.500131</v>
      </c>
    </row>
    <row r="56" spans="1:27" x14ac:dyDescent="0.25">
      <c r="A56" s="6" t="s">
        <v>347</v>
      </c>
      <c r="B56" s="6" t="s">
        <v>348</v>
      </c>
      <c r="C56" s="20">
        <v>0.80259999999999998</v>
      </c>
      <c r="D56" s="20">
        <v>1.1047</v>
      </c>
      <c r="E56" s="20" t="s">
        <v>80</v>
      </c>
      <c r="F56" s="20">
        <v>2.9889999999999999</v>
      </c>
      <c r="G56" s="20">
        <v>2.952</v>
      </c>
      <c r="H56" s="20">
        <v>3.5358000000000001</v>
      </c>
      <c r="I56" s="20">
        <v>3.4775</v>
      </c>
      <c r="J56" s="20">
        <v>2.9020999999999999</v>
      </c>
      <c r="K56" s="20">
        <v>3.3222</v>
      </c>
      <c r="L56" s="20">
        <v>3.7867999999999999</v>
      </c>
      <c r="M56" s="20">
        <v>4.68</v>
      </c>
      <c r="N56" s="20">
        <v>5.35</v>
      </c>
      <c r="O56" s="20">
        <v>5.49</v>
      </c>
      <c r="P56" s="20">
        <v>6.0838999999999999</v>
      </c>
      <c r="Q56" s="20">
        <v>6.8734000000000002</v>
      </c>
      <c r="R56" s="20">
        <v>8.7495999999999992</v>
      </c>
      <c r="S56" s="20">
        <v>11.0602</v>
      </c>
      <c r="T56" s="20">
        <v>12.914999999999999</v>
      </c>
      <c r="U56" s="20">
        <v>10.73</v>
      </c>
      <c r="V56" s="20">
        <v>12.2339</v>
      </c>
      <c r="W56" s="20">
        <v>15.741199999999999</v>
      </c>
      <c r="X56" s="20">
        <v>17.952400000000001</v>
      </c>
      <c r="Y56" s="20">
        <v>19.927800000000001</v>
      </c>
      <c r="Z56" s="20">
        <v>21.4755</v>
      </c>
      <c r="AA56" s="23">
        <v>21.483595000000001</v>
      </c>
    </row>
    <row r="57" spans="1:27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1"/>
    </row>
    <row r="58" spans="1:27" x14ac:dyDescent="0.25">
      <c r="A58" s="10" t="s">
        <v>349</v>
      </c>
      <c r="B58" s="10" t="s">
        <v>113</v>
      </c>
      <c r="C58" s="13">
        <v>1999.7045000000001</v>
      </c>
      <c r="D58" s="13">
        <v>2007.57</v>
      </c>
      <c r="E58" s="13" t="s">
        <v>80</v>
      </c>
      <c r="F58" s="13">
        <v>2018.1</v>
      </c>
      <c r="G58" s="13">
        <v>2018.327</v>
      </c>
      <c r="H58" s="13">
        <v>2018.3</v>
      </c>
      <c r="I58" s="13">
        <v>2016.9592</v>
      </c>
      <c r="J58" s="13">
        <v>2017.1321</v>
      </c>
      <c r="K58" s="13">
        <v>2018.2575999999999</v>
      </c>
      <c r="L58" s="13">
        <v>2249.1039999999998</v>
      </c>
      <c r="M58" s="13">
        <v>2326.4</v>
      </c>
      <c r="N58" s="13">
        <v>2526.1</v>
      </c>
      <c r="O58" s="13">
        <v>2773</v>
      </c>
      <c r="P58" s="13">
        <v>2773.73</v>
      </c>
      <c r="Q58" s="13">
        <v>2773.73</v>
      </c>
      <c r="R58" s="13">
        <v>2773.73</v>
      </c>
      <c r="S58" s="13">
        <v>2883.4569999999999</v>
      </c>
      <c r="T58" s="13">
        <v>2865.0257999999999</v>
      </c>
      <c r="U58" s="13">
        <v>2846.8443000000002</v>
      </c>
      <c r="V58" s="13">
        <v>2857.4385000000002</v>
      </c>
      <c r="W58" s="13">
        <v>2883.4566</v>
      </c>
      <c r="X58" s="13">
        <v>2883.4566</v>
      </c>
      <c r="Y58" s="13">
        <v>2849.3429999999998</v>
      </c>
      <c r="Z58" s="13">
        <v>2828.0742</v>
      </c>
      <c r="AA58" s="16">
        <v>2813.156594</v>
      </c>
    </row>
    <row r="59" spans="1:27" x14ac:dyDescent="0.25">
      <c r="A59" s="6" t="s">
        <v>108</v>
      </c>
      <c r="B59" s="6" t="s">
        <v>109</v>
      </c>
      <c r="C59" s="20">
        <v>1.0081</v>
      </c>
      <c r="D59" s="20">
        <v>1.1051</v>
      </c>
      <c r="E59" s="20" t="s">
        <v>80</v>
      </c>
      <c r="F59" s="20">
        <v>2.8330000000000002</v>
      </c>
      <c r="G59" s="20">
        <v>2.952</v>
      </c>
      <c r="H59" s="20">
        <v>3.3742999999999999</v>
      </c>
      <c r="I59" s="20">
        <v>3.4775</v>
      </c>
      <c r="J59" s="20">
        <v>2.9020999999999999</v>
      </c>
      <c r="K59" s="20">
        <v>3.3222</v>
      </c>
      <c r="L59" s="20">
        <v>3.7867999999999999</v>
      </c>
      <c r="M59" s="20">
        <v>4.68</v>
      </c>
      <c r="N59" s="20">
        <v>5.35</v>
      </c>
      <c r="O59" s="20">
        <v>5.49</v>
      </c>
      <c r="P59" s="20">
        <v>6.1707999999999998</v>
      </c>
      <c r="Q59" s="20">
        <v>6.9610000000000003</v>
      </c>
      <c r="R59" s="20">
        <v>8.6199999999999992</v>
      </c>
      <c r="S59" s="20">
        <v>11.0832</v>
      </c>
      <c r="T59" s="20">
        <v>12.749599999999999</v>
      </c>
      <c r="U59" s="20">
        <v>10.7164</v>
      </c>
      <c r="V59" s="20">
        <v>12.265499999999999</v>
      </c>
      <c r="W59" s="20">
        <v>15.7478</v>
      </c>
      <c r="X59" s="20">
        <v>18.178899999999999</v>
      </c>
      <c r="Y59" s="20">
        <v>19.72</v>
      </c>
      <c r="Z59" s="20">
        <v>20.786999999999999</v>
      </c>
      <c r="AA59" s="23">
        <v>20.842428000000002</v>
      </c>
    </row>
    <row r="60" spans="1:27" x14ac:dyDescent="0.25">
      <c r="A60" s="6" t="s">
        <v>350</v>
      </c>
      <c r="B60" s="6" t="s">
        <v>351</v>
      </c>
      <c r="C60" s="20" t="s">
        <v>80</v>
      </c>
      <c r="D60" s="20" t="s">
        <v>80</v>
      </c>
      <c r="E60" s="20" t="s">
        <v>80</v>
      </c>
      <c r="F60" s="20">
        <v>2.8330000000000002</v>
      </c>
      <c r="G60" s="20">
        <v>2.952</v>
      </c>
      <c r="H60" s="20">
        <v>3.5358000000000001</v>
      </c>
      <c r="I60" s="20">
        <v>3.4775</v>
      </c>
      <c r="J60" s="20">
        <v>2.9020999999999999</v>
      </c>
      <c r="K60" s="20">
        <v>3.3222</v>
      </c>
      <c r="L60" s="20">
        <v>3.7867999999999999</v>
      </c>
      <c r="M60" s="20">
        <v>4.68</v>
      </c>
      <c r="N60" s="20">
        <v>5.35</v>
      </c>
      <c r="O60" s="20">
        <v>5.49</v>
      </c>
      <c r="P60" s="20">
        <v>6.0838999999999999</v>
      </c>
      <c r="Q60" s="20">
        <v>6.8734000000000002</v>
      </c>
      <c r="R60" s="20">
        <v>8.5878999999999994</v>
      </c>
      <c r="S60" s="20">
        <v>11.0832</v>
      </c>
      <c r="T60" s="20">
        <v>12.749599999999999</v>
      </c>
      <c r="U60" s="20">
        <v>10.7164</v>
      </c>
      <c r="V60" s="20">
        <v>12.265499999999999</v>
      </c>
      <c r="W60" s="20">
        <v>15.7478</v>
      </c>
      <c r="X60" s="20">
        <v>18.178899999999999</v>
      </c>
      <c r="Y60" s="20">
        <v>20.078700000000001</v>
      </c>
      <c r="Z60" s="20">
        <v>21.560600000000001</v>
      </c>
      <c r="AA60" s="23">
        <v>21.500131</v>
      </c>
    </row>
    <row r="61" spans="1:27" x14ac:dyDescent="0.25">
      <c r="A61" s="6" t="s">
        <v>352</v>
      </c>
      <c r="B61" s="6" t="s">
        <v>79</v>
      </c>
      <c r="C61" s="20">
        <v>0.80259999999999998</v>
      </c>
      <c r="D61" s="20">
        <v>1.1047</v>
      </c>
      <c r="E61" s="20" t="s">
        <v>80</v>
      </c>
      <c r="F61" s="20">
        <v>2.8330000000000002</v>
      </c>
      <c r="G61" s="20">
        <v>2.952</v>
      </c>
      <c r="H61" s="20">
        <v>3.5358000000000001</v>
      </c>
      <c r="I61" s="20">
        <v>3.4775</v>
      </c>
      <c r="J61" s="20">
        <v>2.9020999999999999</v>
      </c>
      <c r="K61" s="20">
        <v>3.3222</v>
      </c>
      <c r="L61" s="20">
        <v>3.7867999999999999</v>
      </c>
      <c r="M61" s="20">
        <v>4.68</v>
      </c>
      <c r="N61" s="20">
        <v>5.35</v>
      </c>
      <c r="O61" s="20">
        <v>5.49</v>
      </c>
      <c r="P61" s="20">
        <v>6.0838999999999999</v>
      </c>
      <c r="Q61" s="20">
        <v>6.8734000000000002</v>
      </c>
      <c r="R61" s="20">
        <v>8.6722000000000001</v>
      </c>
      <c r="S61" s="20">
        <v>11.0602</v>
      </c>
      <c r="T61" s="20">
        <v>12.914999999999999</v>
      </c>
      <c r="U61" s="20">
        <v>10.73</v>
      </c>
      <c r="V61" s="20">
        <v>12.2339</v>
      </c>
      <c r="W61" s="20">
        <v>15.5951</v>
      </c>
      <c r="X61" s="20">
        <v>17.952400000000001</v>
      </c>
      <c r="Y61" s="20">
        <v>19.927800000000001</v>
      </c>
      <c r="Z61" s="20">
        <v>21.4755</v>
      </c>
      <c r="AA61" s="23">
        <v>21.483595000000001</v>
      </c>
    </row>
    <row r="62" spans="1:27" x14ac:dyDescent="0.25">
      <c r="A62" s="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1"/>
    </row>
    <row r="63" spans="1:27" x14ac:dyDescent="0.25">
      <c r="A63" s="6" t="s">
        <v>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1"/>
    </row>
    <row r="64" spans="1:27" x14ac:dyDescent="0.25">
      <c r="A64" s="10" t="s">
        <v>353</v>
      </c>
      <c r="B64" s="10" t="s">
        <v>354</v>
      </c>
      <c r="C64" s="12" t="s">
        <v>355</v>
      </c>
      <c r="D64" s="12" t="s">
        <v>355</v>
      </c>
      <c r="E64" s="12" t="s">
        <v>355</v>
      </c>
      <c r="F64" s="12" t="s">
        <v>355</v>
      </c>
      <c r="G64" s="12" t="s">
        <v>355</v>
      </c>
      <c r="H64" s="12" t="s">
        <v>355</v>
      </c>
      <c r="I64" s="12" t="s">
        <v>355</v>
      </c>
      <c r="J64" s="12" t="s">
        <v>355</v>
      </c>
      <c r="K64" s="12" t="s">
        <v>355</v>
      </c>
      <c r="L64" s="12" t="s">
        <v>355</v>
      </c>
      <c r="M64" s="12" t="s">
        <v>355</v>
      </c>
      <c r="N64" s="12" t="s">
        <v>355</v>
      </c>
      <c r="O64" s="12" t="s">
        <v>355</v>
      </c>
      <c r="P64" s="12" t="s">
        <v>355</v>
      </c>
      <c r="Q64" s="12" t="s">
        <v>355</v>
      </c>
      <c r="R64" s="12" t="s">
        <v>355</v>
      </c>
      <c r="S64" s="12" t="s">
        <v>355</v>
      </c>
      <c r="T64" s="12" t="s">
        <v>355</v>
      </c>
      <c r="U64" s="12" t="s">
        <v>355</v>
      </c>
      <c r="V64" s="12" t="s">
        <v>355</v>
      </c>
      <c r="W64" s="12" t="s">
        <v>355</v>
      </c>
      <c r="X64" s="12" t="s">
        <v>355</v>
      </c>
      <c r="Y64" s="12" t="s">
        <v>355</v>
      </c>
      <c r="Z64" s="12" t="s">
        <v>355</v>
      </c>
      <c r="AA64" s="15"/>
    </row>
    <row r="65" spans="1:27" x14ac:dyDescent="0.25">
      <c r="A65" s="10" t="s">
        <v>0</v>
      </c>
      <c r="B65" s="10" t="s">
        <v>356</v>
      </c>
      <c r="C65" s="13">
        <v>29630.383000000002</v>
      </c>
      <c r="D65" s="13">
        <v>28352.496999999999</v>
      </c>
      <c r="E65" s="13">
        <v>32062</v>
      </c>
      <c r="F65" s="13">
        <v>42721</v>
      </c>
      <c r="G65" s="13">
        <v>44448</v>
      </c>
      <c r="H65" s="13">
        <v>48483.707000000002</v>
      </c>
      <c r="I65" s="13">
        <v>59991</v>
      </c>
      <c r="J65" s="13">
        <v>55966</v>
      </c>
      <c r="K65" s="13">
        <v>54141</v>
      </c>
      <c r="L65" s="13">
        <v>84924</v>
      </c>
      <c r="M65" s="13">
        <v>100765</v>
      </c>
      <c r="N65" s="13">
        <v>110942</v>
      </c>
      <c r="O65" s="13">
        <v>111771</v>
      </c>
      <c r="P65" s="13">
        <v>108833</v>
      </c>
      <c r="Q65" s="13">
        <v>124091</v>
      </c>
      <c r="R65" s="13">
        <v>160962</v>
      </c>
      <c r="S65" s="13">
        <v>197704</v>
      </c>
      <c r="T65" s="13">
        <v>216667</v>
      </c>
      <c r="U65" s="13">
        <v>202281</v>
      </c>
      <c r="V65" s="13">
        <v>214994</v>
      </c>
      <c r="W65" s="13">
        <v>347491</v>
      </c>
      <c r="X65" s="13">
        <v>462742</v>
      </c>
      <c r="Y65" s="13">
        <v>505520</v>
      </c>
      <c r="Z65" s="13">
        <v>523767</v>
      </c>
      <c r="AA65" s="16">
        <v>504438</v>
      </c>
    </row>
    <row r="66" spans="1:27" x14ac:dyDescent="0.25">
      <c r="A66" s="11" t="s">
        <v>357</v>
      </c>
      <c r="B66" s="11" t="s">
        <v>356</v>
      </c>
      <c r="C66" s="25">
        <v>15.477544</v>
      </c>
      <c r="D66" s="25">
        <v>-4.3127560000000003</v>
      </c>
      <c r="E66" s="25">
        <v>13.083513999999999</v>
      </c>
      <c r="F66" s="25">
        <v>33.244962999999998</v>
      </c>
      <c r="G66" s="25">
        <v>4.0425079999999998</v>
      </c>
      <c r="H66" s="25">
        <v>9.0796139999999994</v>
      </c>
      <c r="I66" s="25">
        <v>23.734351</v>
      </c>
      <c r="J66" s="25">
        <v>-6.7093400000000001</v>
      </c>
      <c r="K66" s="25">
        <v>-3.2609080000000001</v>
      </c>
      <c r="L66" s="25">
        <v>56.857095000000001</v>
      </c>
      <c r="M66" s="25">
        <v>18.653148999999999</v>
      </c>
      <c r="N66" s="25">
        <v>10.099736999999999</v>
      </c>
      <c r="O66" s="25">
        <v>0.74723700000000004</v>
      </c>
      <c r="P66" s="25">
        <v>-2.6285889999999998</v>
      </c>
      <c r="Q66" s="25">
        <v>14.019645000000001</v>
      </c>
      <c r="R66" s="25">
        <v>29.712872000000001</v>
      </c>
      <c r="S66" s="25">
        <v>22.826505999999998</v>
      </c>
      <c r="T66" s="25">
        <v>9.5916119999999996</v>
      </c>
      <c r="U66" s="25">
        <v>-6.6396819999999996</v>
      </c>
      <c r="V66" s="25">
        <v>6.2848220000000001</v>
      </c>
      <c r="W66" s="25">
        <v>61.628231</v>
      </c>
      <c r="X66" s="25">
        <v>33.166614000000003</v>
      </c>
      <c r="Y66" s="25">
        <v>9.2444600000000001</v>
      </c>
      <c r="Z66" s="25">
        <v>3.6095510000000002</v>
      </c>
      <c r="AA66" s="27">
        <v>-3.6782438834373101</v>
      </c>
    </row>
    <row r="67" spans="1:27" x14ac:dyDescent="0.25">
      <c r="A67" s="10" t="s">
        <v>358</v>
      </c>
      <c r="B67" s="10" t="s">
        <v>72</v>
      </c>
      <c r="C67" s="13">
        <v>2747.1239999999998</v>
      </c>
      <c r="D67" s="13">
        <v>3330.623</v>
      </c>
      <c r="E67" s="13">
        <v>4525</v>
      </c>
      <c r="F67" s="13">
        <v>-4948</v>
      </c>
      <c r="G67" s="13">
        <v>9187</v>
      </c>
      <c r="H67" s="13">
        <v>10850.429</v>
      </c>
      <c r="I67" s="13">
        <v>15187</v>
      </c>
      <c r="J67" s="13">
        <v>15336</v>
      </c>
      <c r="K67" s="13">
        <v>16155</v>
      </c>
      <c r="L67" s="13">
        <v>18600</v>
      </c>
      <c r="M67" s="13">
        <v>21785</v>
      </c>
      <c r="N67" s="13">
        <v>25646</v>
      </c>
      <c r="O67" s="13">
        <v>31097</v>
      </c>
      <c r="P67" s="13">
        <v>32592</v>
      </c>
      <c r="Q67" s="13">
        <v>38278</v>
      </c>
      <c r="R67" s="13">
        <v>47491</v>
      </c>
      <c r="S67" s="13">
        <v>58649</v>
      </c>
      <c r="T67" s="13">
        <v>64140</v>
      </c>
      <c r="U67" s="13">
        <v>60928</v>
      </c>
      <c r="V67" s="13">
        <v>55044</v>
      </c>
      <c r="W67" s="13">
        <v>72274</v>
      </c>
      <c r="X67" s="13">
        <v>84570</v>
      </c>
      <c r="Y67" s="13">
        <v>93351</v>
      </c>
      <c r="Z67" s="13">
        <v>103139</v>
      </c>
      <c r="AA67" s="16">
        <v>104984</v>
      </c>
    </row>
    <row r="68" spans="1:27" x14ac:dyDescent="0.25">
      <c r="A68" s="10" t="s">
        <v>359</v>
      </c>
      <c r="B68" s="10" t="s">
        <v>145</v>
      </c>
      <c r="C68" s="14">
        <v>6.5065</v>
      </c>
      <c r="D68" s="14">
        <v>5.0914999999999999</v>
      </c>
      <c r="E68" s="14">
        <v>6.3550000000000004</v>
      </c>
      <c r="F68" s="14">
        <v>0</v>
      </c>
      <c r="G68" s="14">
        <v>9.1807999999999996</v>
      </c>
      <c r="H68" s="14">
        <v>8.9541000000000004</v>
      </c>
      <c r="I68" s="14">
        <v>6.3994999999999997</v>
      </c>
      <c r="J68" s="14">
        <v>4.8289</v>
      </c>
      <c r="K68" s="14">
        <v>4.7290999999999999</v>
      </c>
      <c r="L68" s="14">
        <v>4.7858999999999998</v>
      </c>
      <c r="M68" s="14">
        <v>4.4329000000000001</v>
      </c>
      <c r="N68" s="14">
        <v>4.5408999999999997</v>
      </c>
      <c r="O68" s="14">
        <v>5.0437000000000003</v>
      </c>
      <c r="P68" s="14">
        <v>4.8265000000000002</v>
      </c>
      <c r="Q68" s="14">
        <v>5.2656999999999998</v>
      </c>
      <c r="R68" s="14">
        <v>6.0763999999999996</v>
      </c>
      <c r="S68" s="14">
        <v>6.0857000000000001</v>
      </c>
      <c r="T68" s="14">
        <v>5.9394</v>
      </c>
      <c r="U68" s="14">
        <v>6.0273000000000003</v>
      </c>
      <c r="V68" s="14">
        <v>6.1214000000000004</v>
      </c>
      <c r="W68" s="14">
        <v>6.8737000000000004</v>
      </c>
      <c r="X68" s="14">
        <v>6.6795999999999998</v>
      </c>
      <c r="Y68" s="14">
        <v>6.5785</v>
      </c>
      <c r="Z68" s="14">
        <v>6.5210999999999997</v>
      </c>
      <c r="AA68" s="17">
        <v>6.6133923376646297</v>
      </c>
    </row>
    <row r="69" spans="1:27" x14ac:dyDescent="0.25">
      <c r="A69" s="10" t="s">
        <v>360</v>
      </c>
      <c r="B69" s="10" t="s">
        <v>361</v>
      </c>
      <c r="C69" s="14">
        <v>46.703400000000002</v>
      </c>
      <c r="D69" s="14">
        <v>51.679499999999997</v>
      </c>
      <c r="E69" s="14">
        <v>52.28</v>
      </c>
      <c r="F69" s="14">
        <v>17.944299999999998</v>
      </c>
      <c r="G69" s="14">
        <v>53.968699999999998</v>
      </c>
      <c r="H69" s="14">
        <v>52.146700000000003</v>
      </c>
      <c r="I69" s="14">
        <v>53.678100000000001</v>
      </c>
      <c r="J69" s="14">
        <v>60.211599999999997</v>
      </c>
      <c r="K69" s="14">
        <v>65.373699999999999</v>
      </c>
      <c r="L69" s="14">
        <v>71</v>
      </c>
      <c r="M69" s="14">
        <v>69.644199999999998</v>
      </c>
      <c r="N69" s="14">
        <v>71.9863</v>
      </c>
      <c r="O69" s="14">
        <v>75.073099999999997</v>
      </c>
      <c r="P69" s="14">
        <v>78.276799999999994</v>
      </c>
      <c r="Q69" s="14">
        <v>77.933099999999996</v>
      </c>
      <c r="R69" s="14">
        <v>72.269900000000007</v>
      </c>
      <c r="S69" s="14">
        <v>69.270200000000003</v>
      </c>
      <c r="T69" s="14">
        <v>68.295599999999993</v>
      </c>
      <c r="U69" s="14">
        <v>76.321100000000001</v>
      </c>
      <c r="V69" s="14">
        <v>81.035700000000006</v>
      </c>
      <c r="W69" s="14">
        <v>56.122900000000001</v>
      </c>
      <c r="X69" s="14">
        <v>46.403199999999998</v>
      </c>
      <c r="Y69" s="14">
        <v>47.323700000000002</v>
      </c>
      <c r="Z69" s="14">
        <v>50.653599999999997</v>
      </c>
      <c r="AA69" s="17">
        <v>59.939618946595402</v>
      </c>
    </row>
    <row r="70" spans="1:27" x14ac:dyDescent="0.25">
      <c r="A70" s="10" t="s">
        <v>362</v>
      </c>
      <c r="B70" s="10" t="s">
        <v>363</v>
      </c>
      <c r="C70" s="14">
        <v>15.396000000000001</v>
      </c>
      <c r="D70" s="14">
        <v>17.788699999999999</v>
      </c>
      <c r="E70" s="14">
        <v>20.9939</v>
      </c>
      <c r="F70" s="14" t="s">
        <v>80</v>
      </c>
      <c r="G70" s="14">
        <v>36.080500000000001</v>
      </c>
      <c r="H70" s="14">
        <v>41.2498</v>
      </c>
      <c r="I70" s="14">
        <v>33.497900000000001</v>
      </c>
      <c r="J70" s="14">
        <v>23.508800000000001</v>
      </c>
      <c r="K70" s="14">
        <v>27.821100000000001</v>
      </c>
      <c r="L70" s="14">
        <v>21.760999999999999</v>
      </c>
      <c r="M70" s="14">
        <v>23.088799999999999</v>
      </c>
      <c r="N70" s="14">
        <v>22.3307</v>
      </c>
      <c r="O70" s="14">
        <v>25.170999999999999</v>
      </c>
      <c r="P70" s="14">
        <v>27.122599999999998</v>
      </c>
      <c r="Q70" s="14">
        <v>27.103200000000001</v>
      </c>
      <c r="R70" s="14">
        <v>28.834199999999999</v>
      </c>
      <c r="S70" s="14">
        <v>32.095700000000001</v>
      </c>
      <c r="T70" s="14">
        <v>34.133699999999997</v>
      </c>
      <c r="U70" s="14">
        <v>26.558</v>
      </c>
      <c r="V70" s="14">
        <v>26.383600000000001</v>
      </c>
      <c r="W70" s="14">
        <v>31.462599999999998</v>
      </c>
      <c r="X70" s="14">
        <v>32.618600000000001</v>
      </c>
      <c r="Y70" s="14">
        <v>32.162199999999999</v>
      </c>
      <c r="Z70" s="14">
        <v>31.387799999999999</v>
      </c>
      <c r="AA70" s="17">
        <v>16.571114785166898</v>
      </c>
    </row>
    <row r="71" spans="1:27" x14ac:dyDescent="0.25">
      <c r="A71" s="10" t="s">
        <v>364</v>
      </c>
      <c r="B71" s="10" t="s">
        <v>365</v>
      </c>
      <c r="C71" s="14">
        <v>1964358.4593</v>
      </c>
      <c r="D71" s="14">
        <v>1787335.1195</v>
      </c>
      <c r="E71" s="14" t="s">
        <v>80</v>
      </c>
      <c r="F71" s="14" t="s">
        <v>80</v>
      </c>
      <c r="G71" s="14" t="s">
        <v>80</v>
      </c>
      <c r="H71" s="14">
        <v>2792679.3963000001</v>
      </c>
      <c r="I71" s="14">
        <v>3000000</v>
      </c>
      <c r="J71" s="14" t="s">
        <v>80</v>
      </c>
      <c r="K71" s="14">
        <v>2740067.8171999999</v>
      </c>
      <c r="L71" s="14">
        <v>3553602.8119999999</v>
      </c>
      <c r="M71" s="14" t="s">
        <v>80</v>
      </c>
      <c r="N71" s="14" t="s">
        <v>80</v>
      </c>
      <c r="O71" s="14">
        <v>3999964.2129000002</v>
      </c>
      <c r="P71" s="14">
        <v>3944082.0468000001</v>
      </c>
      <c r="Q71" s="14">
        <v>4445634.6505000005</v>
      </c>
      <c r="R71" s="14" t="s">
        <v>80</v>
      </c>
      <c r="S71" s="14">
        <v>6471913.0548999999</v>
      </c>
      <c r="T71" s="14" t="s">
        <v>80</v>
      </c>
      <c r="U71" s="14" t="s">
        <v>80</v>
      </c>
      <c r="V71" s="14" t="s">
        <v>80</v>
      </c>
      <c r="W71" s="14" t="s">
        <v>80</v>
      </c>
      <c r="X71" s="14">
        <v>14955625.222200001</v>
      </c>
      <c r="Y71" s="14" t="s">
        <v>80</v>
      </c>
      <c r="Z71" s="14" t="s">
        <v>80</v>
      </c>
      <c r="AA71" s="17"/>
    </row>
    <row r="72" spans="1:27" x14ac:dyDescent="0.25">
      <c r="A72" s="10" t="s">
        <v>366</v>
      </c>
      <c r="B72" s="10" t="s">
        <v>367</v>
      </c>
      <c r="C72" s="14">
        <v>4.3799999999999999E-2</v>
      </c>
      <c r="D72" s="14">
        <v>6.25E-2</v>
      </c>
      <c r="E72" s="14" t="s">
        <v>80</v>
      </c>
      <c r="F72" s="14">
        <v>0</v>
      </c>
      <c r="G72" s="14">
        <v>0</v>
      </c>
      <c r="H72" s="14">
        <v>0.47</v>
      </c>
      <c r="I72" s="14">
        <v>0.18</v>
      </c>
      <c r="J72" s="14">
        <v>0.52</v>
      </c>
      <c r="K72" s="14">
        <v>0.52</v>
      </c>
      <c r="L72" s="14">
        <v>0.52</v>
      </c>
      <c r="M72" s="14">
        <v>0.53</v>
      </c>
      <c r="N72" s="14">
        <v>1.1399999999999999</v>
      </c>
      <c r="O72" s="14">
        <v>0.97399999999999998</v>
      </c>
      <c r="P72" s="14">
        <v>1.01</v>
      </c>
      <c r="Q72" s="14">
        <v>2.61</v>
      </c>
      <c r="R72" s="14">
        <v>5.28</v>
      </c>
      <c r="S72" s="14">
        <v>3.45</v>
      </c>
      <c r="T72" s="14">
        <v>5.54</v>
      </c>
      <c r="U72" s="14">
        <v>2.6450999999999998</v>
      </c>
      <c r="V72" s="14">
        <v>6.0774999999999997</v>
      </c>
      <c r="W72" s="14">
        <v>7.8738999999999999</v>
      </c>
      <c r="X72" s="14">
        <v>9.0894999999999992</v>
      </c>
      <c r="Y72" s="14">
        <v>9.9867000000000008</v>
      </c>
      <c r="Z72" s="14" t="s">
        <v>80</v>
      </c>
      <c r="AA72" s="17"/>
    </row>
    <row r="73" spans="1:27" x14ac:dyDescent="0.25">
      <c r="A73" s="10" t="s">
        <v>368</v>
      </c>
      <c r="B73" s="10" t="s">
        <v>369</v>
      </c>
      <c r="C73" s="13">
        <v>87.486999999999995</v>
      </c>
      <c r="D73" s="13">
        <v>125.4731</v>
      </c>
      <c r="E73" s="13" t="s">
        <v>80</v>
      </c>
      <c r="F73" s="13">
        <v>0</v>
      </c>
      <c r="G73" s="13">
        <v>0</v>
      </c>
      <c r="H73" s="13">
        <v>948.601</v>
      </c>
      <c r="I73" s="13">
        <v>362.51960000000003</v>
      </c>
      <c r="J73" s="13">
        <v>1049.2807</v>
      </c>
      <c r="K73" s="13">
        <v>1049.5407</v>
      </c>
      <c r="L73" s="13">
        <v>1157</v>
      </c>
      <c r="M73" s="13">
        <v>1240</v>
      </c>
      <c r="N73" s="13">
        <v>3162.0517</v>
      </c>
      <c r="O73" s="13">
        <v>2697.3409999999999</v>
      </c>
      <c r="P73" s="13">
        <v>2786.0488999999998</v>
      </c>
      <c r="Q73" s="13">
        <v>7175.4642999999996</v>
      </c>
      <c r="R73" s="13">
        <v>14645.136</v>
      </c>
      <c r="S73" s="13">
        <v>9863.5048999999999</v>
      </c>
      <c r="T73" s="13">
        <v>15886.079299999999</v>
      </c>
      <c r="U73" s="13">
        <v>7530.1797999999999</v>
      </c>
      <c r="V73" s="13">
        <v>17365.960500000001</v>
      </c>
      <c r="W73" s="13">
        <v>22496.512200000001</v>
      </c>
      <c r="X73" s="13">
        <v>40965.581400000003</v>
      </c>
      <c r="Y73" s="13">
        <v>37744.972399999999</v>
      </c>
      <c r="Z73" s="13" t="s">
        <v>80</v>
      </c>
      <c r="AA73" s="16"/>
    </row>
    <row r="74" spans="1:27" x14ac:dyDescent="0.25">
      <c r="A74" s="10" t="s">
        <v>370</v>
      </c>
      <c r="B74" s="10" t="s">
        <v>149</v>
      </c>
      <c r="C74" s="14">
        <v>78.361900000000006</v>
      </c>
      <c r="D74" s="14">
        <v>75.930800000000005</v>
      </c>
      <c r="E74" s="14">
        <v>71.192999999999998</v>
      </c>
      <c r="F74" s="14">
        <v>57.2547</v>
      </c>
      <c r="G74" s="14">
        <v>58.791600000000003</v>
      </c>
      <c r="H74" s="14">
        <v>57.083500000000001</v>
      </c>
      <c r="I74" s="14">
        <v>51.0002</v>
      </c>
      <c r="J74" s="14">
        <v>52.608199999999997</v>
      </c>
      <c r="K74" s="14">
        <v>52.269100000000002</v>
      </c>
      <c r="L74" s="14">
        <v>67.605400000000003</v>
      </c>
      <c r="M74" s="14">
        <v>67.196700000000007</v>
      </c>
      <c r="N74" s="14">
        <v>66.062799999999996</v>
      </c>
      <c r="O74" s="14">
        <v>60.954500000000003</v>
      </c>
      <c r="P74" s="14">
        <v>59.434399999999997</v>
      </c>
      <c r="Q74" s="14">
        <v>57.774799999999999</v>
      </c>
      <c r="R74" s="14">
        <v>56.337699999999998</v>
      </c>
      <c r="S74" s="14">
        <v>53.973300000000002</v>
      </c>
      <c r="T74" s="14">
        <v>53.4955</v>
      </c>
      <c r="U74" s="14">
        <v>57.570700000000002</v>
      </c>
      <c r="V74" s="14">
        <v>65.724999999999994</v>
      </c>
      <c r="W74" s="14">
        <v>59.784599999999998</v>
      </c>
      <c r="X74" s="14">
        <v>56.985500000000002</v>
      </c>
      <c r="Y74" s="14">
        <v>57.253</v>
      </c>
      <c r="Z74" s="14">
        <v>57.875300000000003</v>
      </c>
      <c r="AA74" s="17">
        <v>58.351340768349502</v>
      </c>
    </row>
    <row r="75" spans="1:27" x14ac:dyDescent="0.25">
      <c r="A75" s="10" t="s">
        <v>371</v>
      </c>
      <c r="B75" s="10" t="s">
        <v>141</v>
      </c>
      <c r="C75" s="13">
        <v>617.74599999999998</v>
      </c>
      <c r="D75" s="13">
        <v>2082.4499999999998</v>
      </c>
      <c r="E75" s="13">
        <v>2754</v>
      </c>
      <c r="F75" s="13">
        <v>1131</v>
      </c>
      <c r="G75" s="13">
        <v>2059</v>
      </c>
      <c r="H75" s="13" t="s">
        <v>80</v>
      </c>
      <c r="I75" s="13" t="s">
        <v>80</v>
      </c>
      <c r="J75" s="13" t="s">
        <v>80</v>
      </c>
      <c r="K75" s="13" t="s">
        <v>80</v>
      </c>
      <c r="L75" s="13" t="s">
        <v>80</v>
      </c>
      <c r="M75" s="13" t="s">
        <v>80</v>
      </c>
      <c r="N75" s="13">
        <v>9175</v>
      </c>
      <c r="O75" s="13">
        <v>7953</v>
      </c>
      <c r="P75" s="13">
        <v>9728</v>
      </c>
      <c r="Q75" s="13">
        <v>11006</v>
      </c>
      <c r="R75" s="13">
        <v>13966</v>
      </c>
      <c r="S75" s="13">
        <v>16802</v>
      </c>
      <c r="T75" s="13">
        <v>19385</v>
      </c>
      <c r="U75" s="13">
        <v>4282</v>
      </c>
      <c r="V75" s="13">
        <v>4457</v>
      </c>
      <c r="W75" s="13">
        <v>2782</v>
      </c>
      <c r="X75" s="13">
        <v>1738</v>
      </c>
      <c r="Y75" s="13">
        <v>0</v>
      </c>
      <c r="Z75" s="13">
        <v>0</v>
      </c>
      <c r="AA75" s="16"/>
    </row>
    <row r="76" spans="1:27" x14ac:dyDescent="0.25">
      <c r="A76" s="7" t="s">
        <v>87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0"/>
  <sheetViews>
    <sheetView workbookViewId="0">
      <selection activeCell="E12" sqref="E12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372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263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</row>
    <row r="6" spans="1:27" x14ac:dyDescent="0.25">
      <c r="A6" s="6" t="s">
        <v>96</v>
      </c>
      <c r="B6" s="6" t="s">
        <v>68</v>
      </c>
      <c r="C6" s="19">
        <v>13838.406000000001</v>
      </c>
      <c r="D6" s="19">
        <v>14652.433999999999</v>
      </c>
      <c r="E6" s="19">
        <v>16762</v>
      </c>
      <c r="F6" s="19">
        <v>7666</v>
      </c>
      <c r="G6" s="19">
        <v>23988</v>
      </c>
      <c r="H6" s="19">
        <v>25282.664000000001</v>
      </c>
      <c r="I6" s="19">
        <v>32202</v>
      </c>
      <c r="J6" s="19">
        <v>33698</v>
      </c>
      <c r="K6" s="19">
        <v>35394</v>
      </c>
      <c r="L6" s="19">
        <v>60296</v>
      </c>
      <c r="M6" s="19">
        <v>70177</v>
      </c>
      <c r="N6" s="19">
        <v>79863</v>
      </c>
      <c r="O6" s="19">
        <v>83910</v>
      </c>
      <c r="P6" s="19">
        <v>85191</v>
      </c>
      <c r="Q6" s="19">
        <v>96708</v>
      </c>
      <c r="R6" s="19">
        <v>116327</v>
      </c>
      <c r="S6" s="19">
        <v>136950</v>
      </c>
      <c r="T6" s="19">
        <v>147974</v>
      </c>
      <c r="U6" s="19">
        <v>154383</v>
      </c>
      <c r="V6" s="19">
        <v>174222</v>
      </c>
      <c r="W6" s="19">
        <v>195022</v>
      </c>
      <c r="X6" s="19">
        <v>214727</v>
      </c>
      <c r="Y6" s="19">
        <v>239231</v>
      </c>
      <c r="Z6" s="19">
        <v>265307</v>
      </c>
      <c r="AA6" s="22">
        <v>269948</v>
      </c>
    </row>
    <row r="7" spans="1:27" x14ac:dyDescent="0.25">
      <c r="A7" s="6" t="s">
        <v>264</v>
      </c>
      <c r="B7" s="6" t="s">
        <v>93</v>
      </c>
      <c r="C7" s="19">
        <v>8525.17</v>
      </c>
      <c r="D7" s="19">
        <v>8709.5149999999994</v>
      </c>
      <c r="E7" s="19">
        <v>9514</v>
      </c>
      <c r="F7" s="19">
        <v>0</v>
      </c>
      <c r="G7" s="19">
        <v>14284</v>
      </c>
      <c r="H7" s="19">
        <v>17383.526000000002</v>
      </c>
      <c r="I7" s="19">
        <v>22627</v>
      </c>
      <c r="J7" s="19">
        <v>23183</v>
      </c>
      <c r="K7" s="19">
        <v>22732</v>
      </c>
      <c r="L7" s="19">
        <v>28375</v>
      </c>
      <c r="M7" s="19">
        <v>32420</v>
      </c>
      <c r="N7" s="19">
        <v>36792</v>
      </c>
      <c r="O7" s="19">
        <v>44718</v>
      </c>
      <c r="P7" s="19">
        <v>45660</v>
      </c>
      <c r="Q7" s="19">
        <v>52881</v>
      </c>
      <c r="R7" s="19">
        <v>65874</v>
      </c>
      <c r="S7" s="19">
        <v>76829</v>
      </c>
      <c r="T7" s="19">
        <v>81821</v>
      </c>
      <c r="U7" s="19">
        <v>85695</v>
      </c>
      <c r="V7" s="19">
        <v>93953</v>
      </c>
      <c r="W7" s="19">
        <v>116159</v>
      </c>
      <c r="X7" s="19">
        <v>127482</v>
      </c>
      <c r="Y7" s="19">
        <v>138316</v>
      </c>
      <c r="Z7" s="19">
        <v>146578</v>
      </c>
      <c r="AA7" s="22">
        <v>150042</v>
      </c>
    </row>
    <row r="8" spans="1:27" x14ac:dyDescent="0.25">
      <c r="A8" s="10" t="s">
        <v>265</v>
      </c>
      <c r="B8" s="10" t="s">
        <v>266</v>
      </c>
      <c r="C8" s="13">
        <v>24317.147000000001</v>
      </c>
      <c r="D8" s="13">
        <v>22409.578000000001</v>
      </c>
      <c r="E8" s="13">
        <v>24814</v>
      </c>
      <c r="F8" s="13">
        <v>35055</v>
      </c>
      <c r="G8" s="13">
        <v>34744</v>
      </c>
      <c r="H8" s="13">
        <v>40584.569000000003</v>
      </c>
      <c r="I8" s="13">
        <v>50416</v>
      </c>
      <c r="J8" s="13">
        <v>45451</v>
      </c>
      <c r="K8" s="13">
        <v>41479</v>
      </c>
      <c r="L8" s="13">
        <v>53003</v>
      </c>
      <c r="M8" s="13">
        <v>63008</v>
      </c>
      <c r="N8" s="13">
        <v>67871</v>
      </c>
      <c r="O8" s="13">
        <v>72579</v>
      </c>
      <c r="P8" s="13">
        <v>69302</v>
      </c>
      <c r="Q8" s="13">
        <v>80264</v>
      </c>
      <c r="R8" s="13">
        <v>110509</v>
      </c>
      <c r="S8" s="13">
        <v>137583</v>
      </c>
      <c r="T8" s="13">
        <v>150514</v>
      </c>
      <c r="U8" s="13">
        <v>133593</v>
      </c>
      <c r="V8" s="13">
        <v>134725</v>
      </c>
      <c r="W8" s="13">
        <v>268628</v>
      </c>
      <c r="X8" s="13">
        <v>375497</v>
      </c>
      <c r="Y8" s="13">
        <v>404605</v>
      </c>
      <c r="Z8" s="13">
        <v>405038</v>
      </c>
      <c r="AA8" s="16">
        <v>384532</v>
      </c>
    </row>
    <row r="9" spans="1:27" x14ac:dyDescent="0.25">
      <c r="A9" s="11" t="s">
        <v>267</v>
      </c>
      <c r="B9" s="11" t="s">
        <v>268</v>
      </c>
      <c r="C9" s="25">
        <v>24317.147000000001</v>
      </c>
      <c r="D9" s="25">
        <v>22409.578000000001</v>
      </c>
      <c r="E9" s="25">
        <v>24814</v>
      </c>
      <c r="F9" s="25">
        <v>35055</v>
      </c>
      <c r="G9" s="25">
        <v>34744</v>
      </c>
      <c r="H9" s="25">
        <v>40584.569000000003</v>
      </c>
      <c r="I9" s="25">
        <v>50416</v>
      </c>
      <c r="J9" s="25">
        <v>45451</v>
      </c>
      <c r="K9" s="25">
        <v>41479</v>
      </c>
      <c r="L9" s="25">
        <v>53003</v>
      </c>
      <c r="M9" s="25">
        <v>63008</v>
      </c>
      <c r="N9" s="25">
        <v>67871</v>
      </c>
      <c r="O9" s="25">
        <v>72579</v>
      </c>
      <c r="P9" s="25">
        <v>69302</v>
      </c>
      <c r="Q9" s="25">
        <v>80264</v>
      </c>
      <c r="R9" s="25">
        <v>110509</v>
      </c>
      <c r="S9" s="25">
        <v>137583</v>
      </c>
      <c r="T9" s="25">
        <v>150514</v>
      </c>
      <c r="U9" s="25">
        <v>133593</v>
      </c>
      <c r="V9" s="25">
        <v>134725</v>
      </c>
      <c r="W9" s="25">
        <v>268628</v>
      </c>
      <c r="X9" s="25">
        <v>375497</v>
      </c>
      <c r="Y9" s="25">
        <v>404605</v>
      </c>
      <c r="Z9" s="25">
        <v>405038</v>
      </c>
      <c r="AA9" s="27">
        <v>384532</v>
      </c>
    </row>
    <row r="10" spans="1:27" x14ac:dyDescent="0.25">
      <c r="A10" s="11" t="s">
        <v>269</v>
      </c>
      <c r="B10" s="11" t="s">
        <v>270</v>
      </c>
      <c r="C10" s="25">
        <v>0</v>
      </c>
      <c r="D10" s="25">
        <v>0</v>
      </c>
      <c r="E10" s="25" t="s">
        <v>80</v>
      </c>
      <c r="F10" s="25" t="s">
        <v>80</v>
      </c>
      <c r="G10" s="25" t="s">
        <v>80</v>
      </c>
      <c r="H10" s="25" t="s">
        <v>80</v>
      </c>
      <c r="I10" s="25" t="s">
        <v>80</v>
      </c>
      <c r="J10" s="25" t="s">
        <v>80</v>
      </c>
      <c r="K10" s="25" t="s">
        <v>80</v>
      </c>
      <c r="L10" s="25" t="s">
        <v>80</v>
      </c>
      <c r="M10" s="25" t="s">
        <v>80</v>
      </c>
      <c r="N10" s="25" t="s">
        <v>80</v>
      </c>
      <c r="O10" s="25" t="s">
        <v>80</v>
      </c>
      <c r="P10" s="25" t="s">
        <v>80</v>
      </c>
      <c r="Q10" s="25" t="s">
        <v>80</v>
      </c>
      <c r="R10" s="25" t="s">
        <v>80</v>
      </c>
      <c r="S10" s="25" t="s">
        <v>80</v>
      </c>
      <c r="T10" s="25" t="s">
        <v>80</v>
      </c>
      <c r="U10" s="25" t="s">
        <v>80</v>
      </c>
      <c r="V10" s="25" t="s">
        <v>80</v>
      </c>
      <c r="W10" s="25" t="s">
        <v>80</v>
      </c>
      <c r="X10" s="25" t="s">
        <v>80</v>
      </c>
      <c r="Y10" s="25" t="s">
        <v>80</v>
      </c>
      <c r="Z10" s="25" t="s">
        <v>80</v>
      </c>
      <c r="AA10" s="27"/>
    </row>
    <row r="11" spans="1:27" x14ac:dyDescent="0.25">
      <c r="A11" s="10" t="s">
        <v>271</v>
      </c>
      <c r="B11" s="10" t="s">
        <v>272</v>
      </c>
      <c r="C11" s="13">
        <v>15791.977000000001</v>
      </c>
      <c r="D11" s="13">
        <v>13700.063</v>
      </c>
      <c r="E11" s="13">
        <v>15300</v>
      </c>
      <c r="F11" s="13">
        <v>21808</v>
      </c>
      <c r="G11" s="13">
        <v>20460</v>
      </c>
      <c r="H11" s="13">
        <v>23201.043000000001</v>
      </c>
      <c r="I11" s="13">
        <v>27789</v>
      </c>
      <c r="J11" s="13">
        <v>22268</v>
      </c>
      <c r="K11" s="13">
        <v>18747</v>
      </c>
      <c r="L11" s="13">
        <v>24628</v>
      </c>
      <c r="M11" s="13">
        <v>30588</v>
      </c>
      <c r="N11" s="13">
        <v>31079</v>
      </c>
      <c r="O11" s="13">
        <v>27861</v>
      </c>
      <c r="P11" s="13">
        <v>23642</v>
      </c>
      <c r="Q11" s="13">
        <v>27383</v>
      </c>
      <c r="R11" s="13">
        <v>44635</v>
      </c>
      <c r="S11" s="13">
        <v>60754</v>
      </c>
      <c r="T11" s="13">
        <v>68693</v>
      </c>
      <c r="U11" s="13">
        <v>47898</v>
      </c>
      <c r="V11" s="13">
        <v>40772</v>
      </c>
      <c r="W11" s="13">
        <v>152469</v>
      </c>
      <c r="X11" s="13">
        <v>248015</v>
      </c>
      <c r="Y11" s="13">
        <v>266289</v>
      </c>
      <c r="Z11" s="13">
        <v>258460</v>
      </c>
      <c r="AA11" s="16">
        <v>234490</v>
      </c>
    </row>
    <row r="12" spans="1:27" x14ac:dyDescent="0.25">
      <c r="A12" s="6" t="s">
        <v>373</v>
      </c>
      <c r="B12" s="6" t="s">
        <v>95</v>
      </c>
      <c r="C12" s="19">
        <v>5313.2359999999999</v>
      </c>
      <c r="D12" s="19">
        <v>5942.9189999999999</v>
      </c>
      <c r="E12" s="19">
        <v>7248</v>
      </c>
      <c r="F12" s="19">
        <v>7666</v>
      </c>
      <c r="G12" s="19">
        <v>9704</v>
      </c>
      <c r="H12" s="19">
        <v>7899.1379999999999</v>
      </c>
      <c r="I12" s="19">
        <v>9575</v>
      </c>
      <c r="J12" s="19">
        <v>10515</v>
      </c>
      <c r="K12" s="19">
        <v>12662</v>
      </c>
      <c r="L12" s="19">
        <v>31921</v>
      </c>
      <c r="M12" s="19">
        <v>37757</v>
      </c>
      <c r="N12" s="19">
        <v>43071</v>
      </c>
      <c r="O12" s="19">
        <v>39192</v>
      </c>
      <c r="P12" s="19">
        <v>39531</v>
      </c>
      <c r="Q12" s="19">
        <v>43827</v>
      </c>
      <c r="R12" s="19">
        <v>50453</v>
      </c>
      <c r="S12" s="19">
        <v>60121</v>
      </c>
      <c r="T12" s="19">
        <v>66153</v>
      </c>
      <c r="U12" s="19">
        <v>68688</v>
      </c>
      <c r="V12" s="19">
        <v>80269</v>
      </c>
      <c r="W12" s="19">
        <v>78863</v>
      </c>
      <c r="X12" s="19">
        <v>87245</v>
      </c>
      <c r="Y12" s="19">
        <v>100915</v>
      </c>
      <c r="Z12" s="19">
        <v>118729</v>
      </c>
      <c r="AA12" s="22">
        <v>119906</v>
      </c>
    </row>
    <row r="13" spans="1:27" x14ac:dyDescent="0.25">
      <c r="A13" s="10" t="s">
        <v>275</v>
      </c>
      <c r="B13" s="10" t="s">
        <v>276</v>
      </c>
      <c r="C13" s="13">
        <v>390.43</v>
      </c>
      <c r="D13" s="13">
        <v>980.21600000000001</v>
      </c>
      <c r="E13" s="13">
        <v>751</v>
      </c>
      <c r="F13" s="13">
        <v>1037</v>
      </c>
      <c r="G13" s="13">
        <v>1380</v>
      </c>
      <c r="H13" s="13">
        <v>1291.92</v>
      </c>
      <c r="I13" s="13">
        <v>1040</v>
      </c>
      <c r="J13" s="13">
        <v>1244</v>
      </c>
      <c r="K13" s="13">
        <v>1689</v>
      </c>
      <c r="L13" s="13">
        <v>2778</v>
      </c>
      <c r="M13" s="13">
        <v>4152</v>
      </c>
      <c r="N13" s="13">
        <v>4971</v>
      </c>
      <c r="O13" s="13">
        <v>4420</v>
      </c>
      <c r="P13" s="13">
        <v>2954</v>
      </c>
      <c r="Q13" s="13">
        <v>2346</v>
      </c>
      <c r="R13" s="13">
        <v>2658</v>
      </c>
      <c r="S13" s="13">
        <v>4228</v>
      </c>
      <c r="T13" s="13">
        <v>5289</v>
      </c>
      <c r="U13" s="13">
        <v>4854</v>
      </c>
      <c r="V13" s="13">
        <v>4396</v>
      </c>
      <c r="W13" s="13">
        <v>3660</v>
      </c>
      <c r="X13" s="13">
        <v>3913</v>
      </c>
      <c r="Y13" s="13">
        <v>4984</v>
      </c>
      <c r="Z13" s="13">
        <v>8893</v>
      </c>
      <c r="AA13" s="16">
        <v>8535</v>
      </c>
    </row>
    <row r="14" spans="1:27" x14ac:dyDescent="0.25">
      <c r="A14" s="11" t="s">
        <v>277</v>
      </c>
      <c r="B14" s="11" t="s">
        <v>278</v>
      </c>
      <c r="C14" s="25" t="s">
        <v>80</v>
      </c>
      <c r="D14" s="25" t="s">
        <v>80</v>
      </c>
      <c r="E14" s="25" t="s">
        <v>80</v>
      </c>
      <c r="F14" s="25" t="s">
        <v>80</v>
      </c>
      <c r="G14" s="25" t="s">
        <v>80</v>
      </c>
      <c r="H14" s="25" t="s">
        <v>80</v>
      </c>
      <c r="I14" s="25" t="s">
        <v>80</v>
      </c>
      <c r="J14" s="25">
        <v>1221</v>
      </c>
      <c r="K14" s="25">
        <v>1475</v>
      </c>
      <c r="L14" s="25">
        <v>2495</v>
      </c>
      <c r="M14" s="25">
        <v>3892</v>
      </c>
      <c r="N14" s="25">
        <v>4100</v>
      </c>
      <c r="O14" s="25">
        <v>3889</v>
      </c>
      <c r="P14" s="25">
        <v>2314</v>
      </c>
      <c r="Q14" s="25">
        <v>1792</v>
      </c>
      <c r="R14" s="25">
        <v>452</v>
      </c>
      <c r="S14" s="25">
        <v>326</v>
      </c>
      <c r="T14" s="25">
        <v>2674</v>
      </c>
      <c r="U14" s="25">
        <v>1612</v>
      </c>
      <c r="V14" s="25">
        <v>698</v>
      </c>
      <c r="W14" s="25">
        <v>41</v>
      </c>
      <c r="X14" s="25">
        <v>2433</v>
      </c>
      <c r="Y14" s="25">
        <v>3283</v>
      </c>
      <c r="Z14" s="25">
        <v>5579</v>
      </c>
      <c r="AA14" s="27">
        <v>4705</v>
      </c>
    </row>
    <row r="15" spans="1:27" x14ac:dyDescent="0.25">
      <c r="A15" s="11" t="s">
        <v>279</v>
      </c>
      <c r="B15" s="11" t="s">
        <v>280</v>
      </c>
      <c r="C15" s="25" t="s">
        <v>80</v>
      </c>
      <c r="D15" s="25" t="s">
        <v>80</v>
      </c>
      <c r="E15" s="25" t="s">
        <v>80</v>
      </c>
      <c r="F15" s="25" t="s">
        <v>80</v>
      </c>
      <c r="G15" s="25" t="s">
        <v>80</v>
      </c>
      <c r="H15" s="25" t="s">
        <v>80</v>
      </c>
      <c r="I15" s="25" t="s">
        <v>80</v>
      </c>
      <c r="J15" s="25">
        <v>23</v>
      </c>
      <c r="K15" s="25">
        <v>214</v>
      </c>
      <c r="L15" s="25">
        <v>283</v>
      </c>
      <c r="M15" s="25">
        <v>260</v>
      </c>
      <c r="N15" s="25">
        <v>871</v>
      </c>
      <c r="O15" s="25">
        <v>531</v>
      </c>
      <c r="P15" s="25">
        <v>640</v>
      </c>
      <c r="Q15" s="25">
        <v>554</v>
      </c>
      <c r="R15" s="25" t="s">
        <v>80</v>
      </c>
      <c r="S15" s="25" t="s">
        <v>80</v>
      </c>
      <c r="T15" s="25" t="s">
        <v>80</v>
      </c>
      <c r="U15" s="25" t="s">
        <v>80</v>
      </c>
      <c r="V15" s="25" t="s">
        <v>80</v>
      </c>
      <c r="W15" s="25" t="s">
        <v>80</v>
      </c>
      <c r="X15" s="25" t="s">
        <v>80</v>
      </c>
      <c r="Y15" s="25" t="s">
        <v>80</v>
      </c>
      <c r="Z15" s="25" t="s">
        <v>80</v>
      </c>
      <c r="AA15" s="27"/>
    </row>
    <row r="16" spans="1:27" x14ac:dyDescent="0.25">
      <c r="A16" s="10" t="s">
        <v>374</v>
      </c>
      <c r="B16" s="10" t="s">
        <v>282</v>
      </c>
      <c r="C16" s="13" t="s">
        <v>80</v>
      </c>
      <c r="D16" s="13" t="s">
        <v>80</v>
      </c>
      <c r="E16" s="13" t="s">
        <v>80</v>
      </c>
      <c r="F16" s="13" t="s">
        <v>80</v>
      </c>
      <c r="G16" s="13" t="s">
        <v>80</v>
      </c>
      <c r="H16" s="13" t="s">
        <v>80</v>
      </c>
      <c r="I16" s="13" t="s">
        <v>80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2206</v>
      </c>
      <c r="S16" s="13">
        <v>3902</v>
      </c>
      <c r="T16" s="13">
        <v>2615</v>
      </c>
      <c r="U16" s="13">
        <v>3242</v>
      </c>
      <c r="V16" s="13">
        <v>3698</v>
      </c>
      <c r="W16" s="13">
        <v>3619</v>
      </c>
      <c r="X16" s="13">
        <v>1480</v>
      </c>
      <c r="Y16" s="13">
        <v>1701</v>
      </c>
      <c r="Z16" s="13">
        <v>3314</v>
      </c>
      <c r="AA16" s="16">
        <v>3830</v>
      </c>
    </row>
    <row r="17" spans="1:27" x14ac:dyDescent="0.25">
      <c r="A17" s="10" t="s">
        <v>283</v>
      </c>
      <c r="B17" s="10" t="s">
        <v>284</v>
      </c>
      <c r="C17" s="13">
        <v>4922.8059999999996</v>
      </c>
      <c r="D17" s="13">
        <v>4962.7030000000004</v>
      </c>
      <c r="E17" s="13">
        <v>6497</v>
      </c>
      <c r="F17" s="13">
        <v>6629</v>
      </c>
      <c r="G17" s="13">
        <v>8324</v>
      </c>
      <c r="H17" s="13">
        <v>6607.2179999999998</v>
      </c>
      <c r="I17" s="13">
        <v>8535</v>
      </c>
      <c r="J17" s="13">
        <v>8291</v>
      </c>
      <c r="K17" s="13">
        <v>9234</v>
      </c>
      <c r="L17" s="13">
        <v>11054</v>
      </c>
      <c r="M17" s="13">
        <v>12657</v>
      </c>
      <c r="N17" s="13">
        <v>13570</v>
      </c>
      <c r="O17" s="13">
        <v>12820</v>
      </c>
      <c r="P17" s="13">
        <v>14566</v>
      </c>
      <c r="Q17" s="13">
        <v>16683</v>
      </c>
      <c r="R17" s="13">
        <v>19542</v>
      </c>
      <c r="S17" s="13">
        <v>22567</v>
      </c>
      <c r="T17" s="13">
        <v>24063</v>
      </c>
      <c r="U17" s="13">
        <v>24003</v>
      </c>
      <c r="V17" s="13">
        <v>27589</v>
      </c>
      <c r="W17" s="13">
        <v>32348</v>
      </c>
      <c r="X17" s="13">
        <v>35073</v>
      </c>
      <c r="Y17" s="13">
        <v>40638</v>
      </c>
      <c r="Z17" s="13">
        <v>41176</v>
      </c>
      <c r="AA17" s="16">
        <v>40876</v>
      </c>
    </row>
    <row r="18" spans="1:27" x14ac:dyDescent="0.25">
      <c r="A18" s="10" t="s">
        <v>285</v>
      </c>
      <c r="B18" s="10" t="s">
        <v>286</v>
      </c>
      <c r="C18" s="13">
        <v>0</v>
      </c>
      <c r="D18" s="13">
        <v>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>
        <v>980</v>
      </c>
      <c r="K18" s="13">
        <v>1739</v>
      </c>
      <c r="L18" s="13">
        <v>18089</v>
      </c>
      <c r="M18" s="13">
        <v>20948</v>
      </c>
      <c r="N18" s="13">
        <v>24530</v>
      </c>
      <c r="O18" s="13">
        <v>21952</v>
      </c>
      <c r="P18" s="13">
        <v>22011</v>
      </c>
      <c r="Q18" s="13">
        <v>24798</v>
      </c>
      <c r="R18" s="13">
        <v>28253</v>
      </c>
      <c r="S18" s="13">
        <v>33326</v>
      </c>
      <c r="T18" s="13">
        <v>36801</v>
      </c>
      <c r="U18" s="13">
        <v>39831</v>
      </c>
      <c r="V18" s="13">
        <v>48284</v>
      </c>
      <c r="W18" s="13">
        <v>42855</v>
      </c>
      <c r="X18" s="13">
        <v>48259</v>
      </c>
      <c r="Y18" s="13">
        <v>55293</v>
      </c>
      <c r="Z18" s="13">
        <v>68660</v>
      </c>
      <c r="AA18" s="16">
        <v>70495</v>
      </c>
    </row>
    <row r="19" spans="1:27" x14ac:dyDescent="0.25">
      <c r="A19" s="6" t="s">
        <v>287</v>
      </c>
      <c r="B19" s="6" t="s">
        <v>100</v>
      </c>
      <c r="C19" s="19">
        <v>823.74599999999998</v>
      </c>
      <c r="D19" s="19">
        <v>808.91600000000005</v>
      </c>
      <c r="E19" s="19">
        <v>1193</v>
      </c>
      <c r="F19" s="19">
        <v>1446</v>
      </c>
      <c r="G19" s="19">
        <v>1530</v>
      </c>
      <c r="H19" s="19">
        <v>2645.4769999999999</v>
      </c>
      <c r="I19" s="19">
        <v>6896</v>
      </c>
      <c r="J19" s="19">
        <v>8286</v>
      </c>
      <c r="K19" s="19">
        <v>6889</v>
      </c>
      <c r="L19" s="19">
        <v>5438</v>
      </c>
      <c r="M19" s="19">
        <v>6172</v>
      </c>
      <c r="N19" s="19">
        <v>8942</v>
      </c>
      <c r="O19" s="19">
        <v>11196</v>
      </c>
      <c r="P19" s="19">
        <v>10687</v>
      </c>
      <c r="Q19" s="19">
        <v>13313</v>
      </c>
      <c r="R19" s="19">
        <v>15213</v>
      </c>
      <c r="S19" s="19">
        <v>16079</v>
      </c>
      <c r="T19" s="19">
        <v>15347</v>
      </c>
      <c r="U19" s="19">
        <v>21930</v>
      </c>
      <c r="V19" s="19">
        <v>11351</v>
      </c>
      <c r="W19" s="19">
        <v>11881</v>
      </c>
      <c r="X19" s="19">
        <v>15942</v>
      </c>
      <c r="Y19" s="19">
        <v>18122</v>
      </c>
      <c r="Z19" s="19">
        <v>21589</v>
      </c>
      <c r="AA19" s="22">
        <v>23069</v>
      </c>
    </row>
    <row r="20" spans="1:27" x14ac:dyDescent="0.25">
      <c r="A20" s="6" t="s">
        <v>288</v>
      </c>
      <c r="B20" s="6" t="s">
        <v>289</v>
      </c>
      <c r="C20" s="19">
        <v>13014.66</v>
      </c>
      <c r="D20" s="19">
        <v>13843.518</v>
      </c>
      <c r="E20" s="19">
        <v>15569</v>
      </c>
      <c r="F20" s="19">
        <v>6220</v>
      </c>
      <c r="G20" s="19">
        <v>22458</v>
      </c>
      <c r="H20" s="19">
        <v>22637.187000000002</v>
      </c>
      <c r="I20" s="19">
        <v>25306</v>
      </c>
      <c r="J20" s="19">
        <v>25412</v>
      </c>
      <c r="K20" s="19">
        <v>28505</v>
      </c>
      <c r="L20" s="19">
        <v>54858</v>
      </c>
      <c r="M20" s="19">
        <v>64005</v>
      </c>
      <c r="N20" s="19">
        <v>70921</v>
      </c>
      <c r="O20" s="19">
        <v>72714</v>
      </c>
      <c r="P20" s="19">
        <v>74504</v>
      </c>
      <c r="Q20" s="19">
        <v>83395</v>
      </c>
      <c r="R20" s="19">
        <v>101114</v>
      </c>
      <c r="S20" s="19">
        <v>120871</v>
      </c>
      <c r="T20" s="19">
        <v>132627</v>
      </c>
      <c r="U20" s="19">
        <v>132453</v>
      </c>
      <c r="V20" s="19">
        <v>162871</v>
      </c>
      <c r="W20" s="19">
        <v>183141</v>
      </c>
      <c r="X20" s="19">
        <v>198785</v>
      </c>
      <c r="Y20" s="19">
        <v>221109</v>
      </c>
      <c r="Z20" s="19">
        <v>243718</v>
      </c>
      <c r="AA20" s="22">
        <v>246879</v>
      </c>
    </row>
    <row r="21" spans="1:27" x14ac:dyDescent="0.25">
      <c r="A21" s="6" t="s">
        <v>290</v>
      </c>
      <c r="B21" s="6" t="s">
        <v>104</v>
      </c>
      <c r="C21" s="19">
        <v>11091.281999999999</v>
      </c>
      <c r="D21" s="19">
        <v>11321.811</v>
      </c>
      <c r="E21" s="19">
        <v>12237</v>
      </c>
      <c r="F21" s="19">
        <v>12614</v>
      </c>
      <c r="G21" s="19">
        <v>14801</v>
      </c>
      <c r="H21" s="19">
        <v>14432.235000000001</v>
      </c>
      <c r="I21" s="19">
        <v>17015</v>
      </c>
      <c r="J21" s="19">
        <v>18362</v>
      </c>
      <c r="K21" s="19">
        <v>19239</v>
      </c>
      <c r="L21" s="19">
        <v>41696</v>
      </c>
      <c r="M21" s="19">
        <v>48392</v>
      </c>
      <c r="N21" s="19">
        <v>54217</v>
      </c>
      <c r="O21" s="19">
        <v>52813</v>
      </c>
      <c r="P21" s="19">
        <v>52599</v>
      </c>
      <c r="Q21" s="19">
        <v>58430</v>
      </c>
      <c r="R21" s="19">
        <v>69170</v>
      </c>
      <c r="S21" s="19">
        <v>78206</v>
      </c>
      <c r="T21" s="19">
        <v>84511</v>
      </c>
      <c r="U21" s="19">
        <v>93510</v>
      </c>
      <c r="V21" s="19">
        <v>119049</v>
      </c>
      <c r="W21" s="19">
        <v>122119</v>
      </c>
      <c r="X21" s="19">
        <v>129224</v>
      </c>
      <c r="Y21" s="19">
        <v>145266</v>
      </c>
      <c r="Z21" s="19">
        <v>161824</v>
      </c>
      <c r="AA21" s="22">
        <v>164897</v>
      </c>
    </row>
    <row r="22" spans="1:27" x14ac:dyDescent="0.25">
      <c r="A22" s="10" t="s">
        <v>291</v>
      </c>
      <c r="B22" s="10" t="s">
        <v>292</v>
      </c>
      <c r="C22" s="13">
        <v>1142.615</v>
      </c>
      <c r="D22" s="13">
        <v>814.76199999999994</v>
      </c>
      <c r="E22" s="13">
        <v>1054</v>
      </c>
      <c r="F22" s="13">
        <v>1498</v>
      </c>
      <c r="G22" s="13">
        <v>1694</v>
      </c>
      <c r="H22" s="13" t="s">
        <v>80</v>
      </c>
      <c r="I22" s="13">
        <v>1208</v>
      </c>
      <c r="J22" s="13">
        <v>1338</v>
      </c>
      <c r="K22" s="13">
        <v>1548</v>
      </c>
      <c r="L22" s="13">
        <v>2879</v>
      </c>
      <c r="M22" s="13">
        <v>3766</v>
      </c>
      <c r="N22" s="13">
        <v>4294</v>
      </c>
      <c r="O22" s="13">
        <v>4267</v>
      </c>
      <c r="P22" s="13">
        <v>4847</v>
      </c>
      <c r="Q22" s="13">
        <v>6056</v>
      </c>
      <c r="R22" s="13">
        <v>7558</v>
      </c>
      <c r="S22" s="13">
        <v>9526</v>
      </c>
      <c r="T22" s="13">
        <v>10052</v>
      </c>
      <c r="U22" s="13">
        <v>10784</v>
      </c>
      <c r="V22" s="13">
        <v>13627</v>
      </c>
      <c r="W22" s="13">
        <v>15305</v>
      </c>
      <c r="X22" s="13">
        <v>18119</v>
      </c>
      <c r="Y22" s="13">
        <v>20851</v>
      </c>
      <c r="Z22" s="13">
        <v>20465</v>
      </c>
      <c r="AA22" s="16">
        <v>19543</v>
      </c>
    </row>
    <row r="23" spans="1:27" x14ac:dyDescent="0.25">
      <c r="A23" s="10" t="s">
        <v>293</v>
      </c>
      <c r="B23" s="10" t="s">
        <v>294</v>
      </c>
      <c r="C23" s="13">
        <v>9948.6669999999995</v>
      </c>
      <c r="D23" s="13">
        <v>10507.049000000001</v>
      </c>
      <c r="E23" s="13">
        <v>11183</v>
      </c>
      <c r="F23" s="13">
        <v>11116</v>
      </c>
      <c r="G23" s="13">
        <v>13107</v>
      </c>
      <c r="H23" s="13">
        <v>14432.235000000001</v>
      </c>
      <c r="I23" s="13">
        <v>15807</v>
      </c>
      <c r="J23" s="13">
        <v>17024</v>
      </c>
      <c r="K23" s="13">
        <v>17691</v>
      </c>
      <c r="L23" s="13">
        <v>38817</v>
      </c>
      <c r="M23" s="13">
        <v>44626</v>
      </c>
      <c r="N23" s="13">
        <v>49923</v>
      </c>
      <c r="O23" s="13">
        <v>48546</v>
      </c>
      <c r="P23" s="13">
        <v>47752</v>
      </c>
      <c r="Q23" s="13">
        <v>52374</v>
      </c>
      <c r="R23" s="13">
        <v>61612</v>
      </c>
      <c r="S23" s="13">
        <v>68680</v>
      </c>
      <c r="T23" s="13">
        <v>74459</v>
      </c>
      <c r="U23" s="13">
        <v>82726</v>
      </c>
      <c r="V23" s="13">
        <v>105422</v>
      </c>
      <c r="W23" s="13">
        <v>106814</v>
      </c>
      <c r="X23" s="13">
        <v>111105</v>
      </c>
      <c r="Y23" s="13">
        <v>124415</v>
      </c>
      <c r="Z23" s="13">
        <v>141359</v>
      </c>
      <c r="AA23" s="16">
        <v>145354</v>
      </c>
    </row>
    <row r="24" spans="1:27" x14ac:dyDescent="0.25">
      <c r="A24" s="6" t="s">
        <v>295</v>
      </c>
      <c r="B24" s="6" t="s">
        <v>75</v>
      </c>
      <c r="C24" s="19">
        <v>1923.3779999999999</v>
      </c>
      <c r="D24" s="19">
        <v>2521.7069999999999</v>
      </c>
      <c r="E24" s="19">
        <v>3332</v>
      </c>
      <c r="F24" s="19">
        <v>6853</v>
      </c>
      <c r="G24" s="19">
        <v>7657</v>
      </c>
      <c r="H24" s="19">
        <v>8204.9519999999993</v>
      </c>
      <c r="I24" s="19">
        <v>8291</v>
      </c>
      <c r="J24" s="19">
        <v>7050</v>
      </c>
      <c r="K24" s="19">
        <v>9266</v>
      </c>
      <c r="L24" s="19">
        <v>13162</v>
      </c>
      <c r="M24" s="19">
        <v>15613</v>
      </c>
      <c r="N24" s="19">
        <v>16704</v>
      </c>
      <c r="O24" s="19">
        <v>19901</v>
      </c>
      <c r="P24" s="19">
        <v>21905</v>
      </c>
      <c r="Q24" s="19">
        <v>24965</v>
      </c>
      <c r="R24" s="19">
        <v>31944</v>
      </c>
      <c r="S24" s="19">
        <v>42665</v>
      </c>
      <c r="T24" s="19">
        <v>48116</v>
      </c>
      <c r="U24" s="19">
        <v>38943</v>
      </c>
      <c r="V24" s="19">
        <v>43822</v>
      </c>
      <c r="W24" s="19">
        <v>61022</v>
      </c>
      <c r="X24" s="19">
        <v>69561</v>
      </c>
      <c r="Y24" s="19">
        <v>75843</v>
      </c>
      <c r="Z24" s="19">
        <v>81894</v>
      </c>
      <c r="AA24" s="22">
        <v>81982</v>
      </c>
    </row>
    <row r="25" spans="1:27" x14ac:dyDescent="0.25">
      <c r="A25" s="6" t="s">
        <v>296</v>
      </c>
      <c r="B25" s="6" t="s">
        <v>297</v>
      </c>
      <c r="C25" s="19">
        <v>-207.178</v>
      </c>
      <c r="D25" s="19">
        <v>-84.768000000000001</v>
      </c>
      <c r="E25" s="19">
        <v>-187</v>
      </c>
      <c r="F25" s="19">
        <v>-1444</v>
      </c>
      <c r="G25" s="19">
        <v>-998</v>
      </c>
      <c r="H25" s="19">
        <v>-2224.1060000000002</v>
      </c>
      <c r="I25" s="19">
        <v>-2496</v>
      </c>
      <c r="J25" s="19">
        <v>-872</v>
      </c>
      <c r="K25" s="19">
        <v>-581</v>
      </c>
      <c r="L25" s="19">
        <v>41</v>
      </c>
      <c r="M25" s="19">
        <v>-590</v>
      </c>
      <c r="N25" s="19">
        <v>-1130</v>
      </c>
      <c r="O25" s="19">
        <v>-1220</v>
      </c>
      <c r="P25" s="19">
        <v>-1201</v>
      </c>
      <c r="Q25" s="19">
        <v>-1246</v>
      </c>
      <c r="R25" s="19">
        <v>-1264</v>
      </c>
      <c r="S25" s="19">
        <v>-1385</v>
      </c>
      <c r="T25" s="19">
        <v>-1716</v>
      </c>
      <c r="U25" s="19">
        <v>-2003</v>
      </c>
      <c r="V25" s="19">
        <v>-2273</v>
      </c>
      <c r="W25" s="19">
        <v>-966</v>
      </c>
      <c r="X25" s="19">
        <v>-1413</v>
      </c>
      <c r="Y25" s="19">
        <v>-1713</v>
      </c>
      <c r="Z25" s="19">
        <v>-1724</v>
      </c>
      <c r="AA25" s="22">
        <v>-1676</v>
      </c>
    </row>
    <row r="26" spans="1:27" x14ac:dyDescent="0.25">
      <c r="A26" s="10" t="s">
        <v>298</v>
      </c>
      <c r="B26" s="10" t="s">
        <v>299</v>
      </c>
      <c r="C26" s="13">
        <v>-165.44399999999999</v>
      </c>
      <c r="D26" s="13">
        <v>-200.67099999999999</v>
      </c>
      <c r="E26" s="13">
        <v>-222</v>
      </c>
      <c r="F26" s="13">
        <v>-403</v>
      </c>
      <c r="G26" s="13">
        <v>-797</v>
      </c>
      <c r="H26" s="13" t="s">
        <v>80</v>
      </c>
      <c r="I26" s="13">
        <v>-276</v>
      </c>
      <c r="J26" s="13">
        <v>0</v>
      </c>
      <c r="K26" s="13">
        <v>0</v>
      </c>
      <c r="L26" s="13">
        <v>41</v>
      </c>
      <c r="M26" s="13">
        <v>-590</v>
      </c>
      <c r="N26" s="13">
        <v>-1130</v>
      </c>
      <c r="O26" s="13">
        <v>-1220</v>
      </c>
      <c r="P26" s="13">
        <v>-1201</v>
      </c>
      <c r="Q26" s="13">
        <v>-1246</v>
      </c>
      <c r="R26" s="13">
        <v>-1264</v>
      </c>
      <c r="S26" s="13">
        <v>-1385</v>
      </c>
      <c r="T26" s="13">
        <v>-1716</v>
      </c>
      <c r="U26" s="13">
        <v>-2003</v>
      </c>
      <c r="V26" s="13">
        <v>-2273</v>
      </c>
      <c r="W26" s="13">
        <v>-966</v>
      </c>
      <c r="X26" s="13">
        <v>-1413</v>
      </c>
      <c r="Y26" s="13">
        <v>-1713</v>
      </c>
      <c r="Z26" s="13">
        <v>-1724</v>
      </c>
      <c r="AA26" s="16">
        <v>-1676</v>
      </c>
    </row>
    <row r="27" spans="1:27" x14ac:dyDescent="0.25">
      <c r="A27" s="10" t="s">
        <v>375</v>
      </c>
      <c r="B27" s="10" t="s">
        <v>301</v>
      </c>
      <c r="C27" s="13">
        <v>-41.734000000000002</v>
      </c>
      <c r="D27" s="13">
        <v>115.90300000000001</v>
      </c>
      <c r="E27" s="13">
        <v>35</v>
      </c>
      <c r="F27" s="13">
        <v>-1041</v>
      </c>
      <c r="G27" s="13">
        <v>-201</v>
      </c>
      <c r="H27" s="13">
        <v>-2224.1060000000002</v>
      </c>
      <c r="I27" s="13">
        <v>-2220</v>
      </c>
      <c r="J27" s="13">
        <v>-872</v>
      </c>
      <c r="K27" s="13">
        <v>-581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6">
        <v>0</v>
      </c>
    </row>
    <row r="28" spans="1:27" x14ac:dyDescent="0.25">
      <c r="A28" s="6" t="s">
        <v>312</v>
      </c>
      <c r="B28" s="6" t="s">
        <v>303</v>
      </c>
      <c r="C28" s="19">
        <v>2130.556</v>
      </c>
      <c r="D28" s="19">
        <v>2606.4749999999999</v>
      </c>
      <c r="E28" s="19">
        <v>3519</v>
      </c>
      <c r="F28" s="19">
        <v>0</v>
      </c>
      <c r="G28" s="19">
        <v>8655</v>
      </c>
      <c r="H28" s="19">
        <v>10429.058000000001</v>
      </c>
      <c r="I28" s="19">
        <v>10787</v>
      </c>
      <c r="J28" s="19">
        <v>7922</v>
      </c>
      <c r="K28" s="19">
        <v>9847</v>
      </c>
      <c r="L28" s="19">
        <v>13121</v>
      </c>
      <c r="M28" s="19">
        <v>16203</v>
      </c>
      <c r="N28" s="19">
        <v>17834</v>
      </c>
      <c r="O28" s="19">
        <v>21121</v>
      </c>
      <c r="P28" s="19">
        <v>23106</v>
      </c>
      <c r="Q28" s="19">
        <v>26211</v>
      </c>
      <c r="R28" s="19">
        <v>33208</v>
      </c>
      <c r="S28" s="19">
        <v>44050</v>
      </c>
      <c r="T28" s="19">
        <v>49832</v>
      </c>
      <c r="U28" s="19">
        <v>40946</v>
      </c>
      <c r="V28" s="19">
        <v>46095</v>
      </c>
      <c r="W28" s="19">
        <v>61988</v>
      </c>
      <c r="X28" s="19">
        <v>70974</v>
      </c>
      <c r="Y28" s="19">
        <v>77556</v>
      </c>
      <c r="Z28" s="19">
        <v>83618</v>
      </c>
      <c r="AA28" s="22">
        <v>83658</v>
      </c>
    </row>
    <row r="29" spans="1:27" x14ac:dyDescent="0.25">
      <c r="A29" s="6" t="s">
        <v>313</v>
      </c>
      <c r="B29" s="6" t="s">
        <v>314</v>
      </c>
      <c r="C29" s="19">
        <v>348.428</v>
      </c>
      <c r="D29" s="19">
        <v>243.79900000000001</v>
      </c>
      <c r="E29" s="19">
        <v>714</v>
      </c>
      <c r="F29" s="19">
        <v>2264</v>
      </c>
      <c r="G29" s="19">
        <v>2487</v>
      </c>
      <c r="H29" s="19">
        <v>3292.788</v>
      </c>
      <c r="I29" s="19">
        <v>3400</v>
      </c>
      <c r="J29" s="19">
        <v>2045</v>
      </c>
      <c r="K29" s="19">
        <v>2805</v>
      </c>
      <c r="L29" s="19">
        <v>3552</v>
      </c>
      <c r="M29" s="19">
        <v>4128</v>
      </c>
      <c r="N29" s="19">
        <v>3555</v>
      </c>
      <c r="O29" s="19">
        <v>5668</v>
      </c>
      <c r="P29" s="19">
        <v>5991</v>
      </c>
      <c r="Q29" s="19">
        <v>6878</v>
      </c>
      <c r="R29" s="19">
        <v>9048</v>
      </c>
      <c r="S29" s="19">
        <v>11636</v>
      </c>
      <c r="T29" s="19">
        <v>12795</v>
      </c>
      <c r="U29" s="19">
        <v>10049</v>
      </c>
      <c r="V29" s="19">
        <v>10556</v>
      </c>
      <c r="W29" s="19">
        <v>15963</v>
      </c>
      <c r="X29" s="19">
        <v>17832</v>
      </c>
      <c r="Y29" s="19">
        <v>19532</v>
      </c>
      <c r="Z29" s="19">
        <v>21772</v>
      </c>
      <c r="AA29" s="22">
        <v>21788</v>
      </c>
    </row>
    <row r="30" spans="1:27" x14ac:dyDescent="0.25">
      <c r="A30" s="10" t="s">
        <v>315</v>
      </c>
      <c r="B30" s="10" t="s">
        <v>316</v>
      </c>
      <c r="C30" s="13" t="s">
        <v>80</v>
      </c>
      <c r="D30" s="13" t="s">
        <v>80</v>
      </c>
      <c r="E30" s="13" t="s">
        <v>80</v>
      </c>
      <c r="F30" s="13" t="s">
        <v>80</v>
      </c>
      <c r="G30" s="13" t="s">
        <v>80</v>
      </c>
      <c r="H30" s="13" t="s">
        <v>80</v>
      </c>
      <c r="I30" s="13" t="s">
        <v>80</v>
      </c>
      <c r="J30" s="13">
        <v>2581</v>
      </c>
      <c r="K30" s="13">
        <v>2735</v>
      </c>
      <c r="L30" s="13">
        <v>2619</v>
      </c>
      <c r="M30" s="13">
        <v>3653</v>
      </c>
      <c r="N30" s="13">
        <v>3671</v>
      </c>
      <c r="O30" s="13">
        <v>8040</v>
      </c>
      <c r="P30" s="13">
        <v>5605</v>
      </c>
      <c r="Q30" s="13">
        <v>7056</v>
      </c>
      <c r="R30" s="13">
        <v>8469</v>
      </c>
      <c r="S30" s="13">
        <v>10768</v>
      </c>
      <c r="T30" s="13">
        <v>10524</v>
      </c>
      <c r="U30" s="13">
        <v>9247</v>
      </c>
      <c r="V30" s="13">
        <v>7174</v>
      </c>
      <c r="W30" s="13" t="s">
        <v>80</v>
      </c>
      <c r="X30" s="13" t="s">
        <v>80</v>
      </c>
      <c r="Y30" s="13" t="s">
        <v>80</v>
      </c>
      <c r="Z30" s="13" t="s">
        <v>80</v>
      </c>
      <c r="AA30" s="16"/>
    </row>
    <row r="31" spans="1:27" x14ac:dyDescent="0.25">
      <c r="A31" s="10" t="s">
        <v>317</v>
      </c>
      <c r="B31" s="10" t="s">
        <v>318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>
        <v>-536</v>
      </c>
      <c r="K31" s="13">
        <v>70</v>
      </c>
      <c r="L31" s="13">
        <v>933</v>
      </c>
      <c r="M31" s="13">
        <v>475</v>
      </c>
      <c r="N31" s="13">
        <v>-116</v>
      </c>
      <c r="O31" s="13">
        <v>-2372</v>
      </c>
      <c r="P31" s="13">
        <v>386</v>
      </c>
      <c r="Q31" s="13">
        <v>-178</v>
      </c>
      <c r="R31" s="13">
        <v>579</v>
      </c>
      <c r="S31" s="13">
        <v>868</v>
      </c>
      <c r="T31" s="13">
        <v>2271</v>
      </c>
      <c r="U31" s="13">
        <v>802</v>
      </c>
      <c r="V31" s="13">
        <v>3382</v>
      </c>
      <c r="W31" s="13" t="s">
        <v>80</v>
      </c>
      <c r="X31" s="13" t="s">
        <v>80</v>
      </c>
      <c r="Y31" s="13" t="s">
        <v>80</v>
      </c>
      <c r="Z31" s="13" t="s">
        <v>80</v>
      </c>
      <c r="AA31" s="16"/>
    </row>
    <row r="32" spans="1:27" x14ac:dyDescent="0.25">
      <c r="A32" s="6" t="s">
        <v>319</v>
      </c>
      <c r="B32" s="6" t="s">
        <v>320</v>
      </c>
      <c r="C32" s="19" t="s">
        <v>80</v>
      </c>
      <c r="D32" s="19" t="s">
        <v>80</v>
      </c>
      <c r="E32" s="19" t="s">
        <v>80</v>
      </c>
      <c r="F32" s="19" t="s">
        <v>80</v>
      </c>
      <c r="G32" s="19" t="s">
        <v>80</v>
      </c>
      <c r="H32" s="19" t="s">
        <v>80</v>
      </c>
      <c r="I32" s="19" t="s">
        <v>80</v>
      </c>
      <c r="J32" s="19">
        <v>-313</v>
      </c>
      <c r="K32" s="19">
        <v>-320</v>
      </c>
      <c r="L32" s="19" t="s">
        <v>80</v>
      </c>
      <c r="M32" s="19" t="s">
        <v>80</v>
      </c>
      <c r="N32" s="19" t="s">
        <v>80</v>
      </c>
      <c r="O32" s="19" t="s">
        <v>80</v>
      </c>
      <c r="P32" s="19" t="s">
        <v>80</v>
      </c>
      <c r="Q32" s="19" t="s">
        <v>80</v>
      </c>
      <c r="R32" s="19" t="s">
        <v>80</v>
      </c>
      <c r="S32" s="19" t="s">
        <v>80</v>
      </c>
      <c r="T32" s="19" t="s">
        <v>80</v>
      </c>
      <c r="U32" s="19" t="s">
        <v>80</v>
      </c>
      <c r="V32" s="19" t="s">
        <v>80</v>
      </c>
      <c r="W32" s="19" t="s">
        <v>80</v>
      </c>
      <c r="X32" s="19" t="s">
        <v>80</v>
      </c>
      <c r="Y32" s="19" t="s">
        <v>80</v>
      </c>
      <c r="Z32" s="19" t="s">
        <v>80</v>
      </c>
      <c r="AA32" s="22"/>
    </row>
    <row r="33" spans="1:27" x14ac:dyDescent="0.25">
      <c r="A33" s="6" t="s">
        <v>321</v>
      </c>
      <c r="B33" s="6" t="s">
        <v>322</v>
      </c>
      <c r="C33" s="19">
        <v>1782.1279999999999</v>
      </c>
      <c r="D33" s="19">
        <v>2362.6759999999999</v>
      </c>
      <c r="E33" s="19">
        <v>2805</v>
      </c>
      <c r="F33" s="19">
        <v>6033</v>
      </c>
      <c r="G33" s="19">
        <v>6168</v>
      </c>
      <c r="H33" s="19">
        <v>7136.27</v>
      </c>
      <c r="I33" s="19">
        <v>7387</v>
      </c>
      <c r="J33" s="19">
        <v>6190</v>
      </c>
      <c r="K33" s="19">
        <v>7362</v>
      </c>
      <c r="L33" s="19">
        <v>9569</v>
      </c>
      <c r="M33" s="19">
        <v>12075</v>
      </c>
      <c r="N33" s="19">
        <v>14279</v>
      </c>
      <c r="O33" s="19">
        <v>15453</v>
      </c>
      <c r="P33" s="19">
        <v>17115</v>
      </c>
      <c r="Q33" s="19">
        <v>19333</v>
      </c>
      <c r="R33" s="19">
        <v>24160</v>
      </c>
      <c r="S33" s="19">
        <v>32414</v>
      </c>
      <c r="T33" s="19">
        <v>37037</v>
      </c>
      <c r="U33" s="19">
        <v>30897</v>
      </c>
      <c r="V33" s="19">
        <v>35539</v>
      </c>
      <c r="W33" s="19">
        <v>46025</v>
      </c>
      <c r="X33" s="19">
        <v>53142</v>
      </c>
      <c r="Y33" s="19">
        <v>58024</v>
      </c>
      <c r="Z33" s="19">
        <v>61846</v>
      </c>
      <c r="AA33" s="22">
        <v>61870</v>
      </c>
    </row>
    <row r="34" spans="1:27" x14ac:dyDescent="0.25">
      <c r="A34" s="6" t="s">
        <v>323</v>
      </c>
      <c r="B34" s="6" t="s">
        <v>324</v>
      </c>
      <c r="C34" s="19">
        <v>-410.83699999999999</v>
      </c>
      <c r="D34" s="19">
        <v>-0.69299999999999995</v>
      </c>
      <c r="E34" s="19" t="s">
        <v>80</v>
      </c>
      <c r="F34" s="19" t="s">
        <v>80</v>
      </c>
      <c r="G34" s="19" t="s">
        <v>80</v>
      </c>
      <c r="H34" s="19">
        <v>326.005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-233</v>
      </c>
      <c r="Q34" s="19">
        <v>-243</v>
      </c>
      <c r="R34" s="19">
        <v>-89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1023</v>
      </c>
      <c r="Z34" s="19">
        <v>2187</v>
      </c>
      <c r="AA34" s="22">
        <v>1852</v>
      </c>
    </row>
    <row r="35" spans="1:27" x14ac:dyDescent="0.25">
      <c r="A35" s="10" t="s">
        <v>325</v>
      </c>
      <c r="B35" s="10" t="s">
        <v>326</v>
      </c>
      <c r="C35" s="13" t="s">
        <v>80</v>
      </c>
      <c r="D35" s="13" t="s">
        <v>80</v>
      </c>
      <c r="E35" s="13" t="s">
        <v>80</v>
      </c>
      <c r="F35" s="13" t="s">
        <v>80</v>
      </c>
      <c r="G35" s="13" t="s">
        <v>80</v>
      </c>
      <c r="H35" s="13" t="s">
        <v>80</v>
      </c>
      <c r="I35" s="13" t="s">
        <v>80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-233</v>
      </c>
      <c r="Q35" s="13">
        <v>-243</v>
      </c>
      <c r="R35" s="13">
        <v>-89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1023</v>
      </c>
      <c r="Z35" s="13">
        <v>2187</v>
      </c>
      <c r="AA35" s="16">
        <v>1852</v>
      </c>
    </row>
    <row r="36" spans="1:27" x14ac:dyDescent="0.25">
      <c r="A36" s="10" t="s">
        <v>327</v>
      </c>
      <c r="B36" s="10" t="s">
        <v>328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 t="s">
        <v>80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</row>
    <row r="37" spans="1:27" x14ac:dyDescent="0.25">
      <c r="A37" s="6" t="s">
        <v>376</v>
      </c>
      <c r="B37" s="6" t="s">
        <v>330</v>
      </c>
      <c r="C37" s="19">
        <v>2192.9650000000001</v>
      </c>
      <c r="D37" s="19">
        <v>2363.3690000000001</v>
      </c>
      <c r="E37" s="19">
        <v>2805</v>
      </c>
      <c r="F37" s="19">
        <v>-2264</v>
      </c>
      <c r="G37" s="19">
        <v>6168</v>
      </c>
      <c r="H37" s="19">
        <v>6810.2650000000003</v>
      </c>
      <c r="I37" s="19">
        <v>7387</v>
      </c>
      <c r="J37" s="19">
        <v>6190</v>
      </c>
      <c r="K37" s="19">
        <v>7362</v>
      </c>
      <c r="L37" s="19">
        <v>9569</v>
      </c>
      <c r="M37" s="19">
        <v>12075</v>
      </c>
      <c r="N37" s="19">
        <v>14279</v>
      </c>
      <c r="O37" s="19">
        <v>15453</v>
      </c>
      <c r="P37" s="19">
        <v>17348</v>
      </c>
      <c r="Q37" s="19">
        <v>19576</v>
      </c>
      <c r="R37" s="19">
        <v>24249</v>
      </c>
      <c r="S37" s="19">
        <v>32414</v>
      </c>
      <c r="T37" s="19">
        <v>37037</v>
      </c>
      <c r="U37" s="19">
        <v>30897</v>
      </c>
      <c r="V37" s="19">
        <v>35539</v>
      </c>
      <c r="W37" s="19">
        <v>46025</v>
      </c>
      <c r="X37" s="19">
        <v>53142</v>
      </c>
      <c r="Y37" s="19">
        <v>57001</v>
      </c>
      <c r="Z37" s="19">
        <v>59659</v>
      </c>
      <c r="AA37" s="22">
        <v>60018</v>
      </c>
    </row>
    <row r="38" spans="1:27" x14ac:dyDescent="0.25">
      <c r="A38" s="10" t="s">
        <v>331</v>
      </c>
      <c r="B38" s="10" t="s">
        <v>332</v>
      </c>
      <c r="C38" s="13">
        <v>177.102</v>
      </c>
      <c r="D38" s="13">
        <v>144.87899999999999</v>
      </c>
      <c r="E38" s="13">
        <v>184</v>
      </c>
      <c r="F38" s="13">
        <v>316</v>
      </c>
      <c r="G38" s="13">
        <v>209</v>
      </c>
      <c r="H38" s="13" t="s">
        <v>80</v>
      </c>
      <c r="I38" s="13">
        <v>373</v>
      </c>
      <c r="J38" s="13">
        <v>336</v>
      </c>
      <c r="K38" s="13">
        <v>657</v>
      </c>
      <c r="L38" s="13">
        <v>1052</v>
      </c>
      <c r="M38" s="13">
        <v>1187</v>
      </c>
      <c r="N38" s="13">
        <v>771</v>
      </c>
      <c r="O38" s="13">
        <v>225</v>
      </c>
      <c r="P38" s="13">
        <v>240</v>
      </c>
      <c r="Q38" s="13">
        <v>268</v>
      </c>
      <c r="R38" s="13">
        <v>341</v>
      </c>
      <c r="S38" s="13">
        <v>456</v>
      </c>
      <c r="T38" s="13">
        <v>509</v>
      </c>
      <c r="U38" s="13">
        <v>389</v>
      </c>
      <c r="V38" s="13">
        <v>491</v>
      </c>
      <c r="W38" s="13">
        <v>617</v>
      </c>
      <c r="X38" s="13">
        <v>724</v>
      </c>
      <c r="Y38" s="13">
        <v>813</v>
      </c>
      <c r="Z38" s="13">
        <v>871</v>
      </c>
      <c r="AA38" s="16">
        <v>878</v>
      </c>
    </row>
    <row r="39" spans="1:27" x14ac:dyDescent="0.25">
      <c r="A39" s="6" t="s">
        <v>333</v>
      </c>
      <c r="B39" s="6" t="s">
        <v>334</v>
      </c>
      <c r="C39" s="19">
        <v>2015.8630000000001</v>
      </c>
      <c r="D39" s="19">
        <v>2218.4899999999998</v>
      </c>
      <c r="E39" s="19">
        <v>2621</v>
      </c>
      <c r="F39" s="19">
        <v>5717</v>
      </c>
      <c r="G39" s="19">
        <v>5959</v>
      </c>
      <c r="H39" s="19">
        <v>6810.2650000000003</v>
      </c>
      <c r="I39" s="19">
        <v>7014</v>
      </c>
      <c r="J39" s="19">
        <v>5854</v>
      </c>
      <c r="K39" s="19">
        <v>6705</v>
      </c>
      <c r="L39" s="19">
        <v>8517</v>
      </c>
      <c r="M39" s="19">
        <v>10888</v>
      </c>
      <c r="N39" s="19">
        <v>13508</v>
      </c>
      <c r="O39" s="19">
        <v>15228</v>
      </c>
      <c r="P39" s="19">
        <v>17108</v>
      </c>
      <c r="Q39" s="19">
        <v>19308</v>
      </c>
      <c r="R39" s="19">
        <v>23908</v>
      </c>
      <c r="S39" s="19">
        <v>31958</v>
      </c>
      <c r="T39" s="19">
        <v>36528</v>
      </c>
      <c r="U39" s="19">
        <v>30508</v>
      </c>
      <c r="V39" s="19">
        <v>35048</v>
      </c>
      <c r="W39" s="19">
        <v>45408</v>
      </c>
      <c r="X39" s="19">
        <v>52418</v>
      </c>
      <c r="Y39" s="19">
        <v>56188</v>
      </c>
      <c r="Z39" s="19">
        <v>58788</v>
      </c>
      <c r="AA39" s="22">
        <v>58958</v>
      </c>
    </row>
    <row r="40" spans="1:27" x14ac:dyDescent="0.25">
      <c r="A40" s="10" t="s">
        <v>335</v>
      </c>
      <c r="B40" s="10" t="s">
        <v>336</v>
      </c>
      <c r="C40" s="13">
        <v>0</v>
      </c>
      <c r="D40" s="13">
        <v>0</v>
      </c>
      <c r="E40" s="13" t="s">
        <v>80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6">
        <v>0</v>
      </c>
    </row>
    <row r="41" spans="1:27" x14ac:dyDescent="0.25">
      <c r="A41" s="10" t="s">
        <v>337</v>
      </c>
      <c r="B41" s="10" t="s">
        <v>338</v>
      </c>
      <c r="C41" s="13" t="s">
        <v>80</v>
      </c>
      <c r="D41" s="13" t="s">
        <v>80</v>
      </c>
      <c r="E41" s="13" t="s">
        <v>80</v>
      </c>
      <c r="F41" s="13" t="s">
        <v>80</v>
      </c>
      <c r="G41" s="13" t="s">
        <v>80</v>
      </c>
      <c r="H41" s="13" t="s">
        <v>80</v>
      </c>
      <c r="I41" s="13" t="s">
        <v>80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</row>
    <row r="42" spans="1:27" x14ac:dyDescent="0.25">
      <c r="A42" s="6" t="s">
        <v>339</v>
      </c>
      <c r="B42" s="6" t="s">
        <v>77</v>
      </c>
      <c r="C42" s="19">
        <v>2015.8630000000001</v>
      </c>
      <c r="D42" s="19">
        <v>2218.4899999999998</v>
      </c>
      <c r="E42" s="19">
        <v>2621</v>
      </c>
      <c r="F42" s="19">
        <v>5717</v>
      </c>
      <c r="G42" s="19">
        <v>5959</v>
      </c>
      <c r="H42" s="19">
        <v>6810.2650000000003</v>
      </c>
      <c r="I42" s="19">
        <v>7014</v>
      </c>
      <c r="J42" s="19">
        <v>5854</v>
      </c>
      <c r="K42" s="19">
        <v>6705</v>
      </c>
      <c r="L42" s="19">
        <v>8517</v>
      </c>
      <c r="M42" s="19">
        <v>10888</v>
      </c>
      <c r="N42" s="19">
        <v>13508</v>
      </c>
      <c r="O42" s="19">
        <v>15228</v>
      </c>
      <c r="P42" s="19">
        <v>17108</v>
      </c>
      <c r="Q42" s="19">
        <v>19308</v>
      </c>
      <c r="R42" s="19">
        <v>23908</v>
      </c>
      <c r="S42" s="19">
        <v>31958</v>
      </c>
      <c r="T42" s="19">
        <v>36528</v>
      </c>
      <c r="U42" s="19">
        <v>30508</v>
      </c>
      <c r="V42" s="19">
        <v>35048</v>
      </c>
      <c r="W42" s="19">
        <v>45408</v>
      </c>
      <c r="X42" s="19">
        <v>52418</v>
      </c>
      <c r="Y42" s="19">
        <v>56188</v>
      </c>
      <c r="Z42" s="19">
        <v>58788</v>
      </c>
      <c r="AA42" s="22">
        <v>58958</v>
      </c>
    </row>
    <row r="43" spans="1:27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1"/>
    </row>
    <row r="44" spans="1:27" x14ac:dyDescent="0.25">
      <c r="A44" s="6" t="s">
        <v>340</v>
      </c>
      <c r="B44" s="6" t="s">
        <v>77</v>
      </c>
      <c r="C44" s="19">
        <v>2015.8630000000001</v>
      </c>
      <c r="D44" s="19">
        <v>2218.4899999999998</v>
      </c>
      <c r="E44" s="19">
        <v>2621</v>
      </c>
      <c r="F44" s="19">
        <v>5717</v>
      </c>
      <c r="G44" s="19">
        <v>5959</v>
      </c>
      <c r="H44" s="19">
        <v>6810.2650000000003</v>
      </c>
      <c r="I44" s="19">
        <v>7014</v>
      </c>
      <c r="J44" s="19">
        <v>5854</v>
      </c>
      <c r="K44" s="19">
        <v>6705</v>
      </c>
      <c r="L44" s="19">
        <v>8517</v>
      </c>
      <c r="M44" s="19">
        <v>10888</v>
      </c>
      <c r="N44" s="19">
        <v>13508</v>
      </c>
      <c r="O44" s="19">
        <v>15228</v>
      </c>
      <c r="P44" s="19">
        <v>17108</v>
      </c>
      <c r="Q44" s="19">
        <v>19308</v>
      </c>
      <c r="R44" s="19">
        <v>23908</v>
      </c>
      <c r="S44" s="19">
        <v>31958</v>
      </c>
      <c r="T44" s="19">
        <v>36528</v>
      </c>
      <c r="U44" s="19">
        <v>30508</v>
      </c>
      <c r="V44" s="19">
        <v>35048</v>
      </c>
      <c r="W44" s="19">
        <v>45408</v>
      </c>
      <c r="X44" s="19">
        <v>52418</v>
      </c>
      <c r="Y44" s="19">
        <v>56188</v>
      </c>
      <c r="Z44" s="19">
        <v>58788</v>
      </c>
      <c r="AA44" s="22">
        <v>58958</v>
      </c>
    </row>
    <row r="45" spans="1:27" x14ac:dyDescent="0.25">
      <c r="A45" s="10" t="s">
        <v>341</v>
      </c>
      <c r="B45" s="10" t="s">
        <v>342</v>
      </c>
      <c r="C45" s="13" t="s">
        <v>80</v>
      </c>
      <c r="D45" s="13" t="s">
        <v>80</v>
      </c>
      <c r="E45" s="13" t="s">
        <v>80</v>
      </c>
      <c r="F45" s="13" t="s">
        <v>80</v>
      </c>
      <c r="G45" s="13" t="s">
        <v>80</v>
      </c>
      <c r="H45" s="13" t="s">
        <v>80</v>
      </c>
      <c r="I45" s="13" t="s">
        <v>80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233.8</v>
      </c>
      <c r="S45" s="13">
        <v>-66.5</v>
      </c>
      <c r="T45" s="13">
        <v>473.9</v>
      </c>
      <c r="U45" s="13">
        <v>38.5</v>
      </c>
      <c r="V45" s="13">
        <v>-90.3</v>
      </c>
      <c r="W45" s="13">
        <v>-440.3</v>
      </c>
      <c r="X45" s="13">
        <v>-653.1</v>
      </c>
      <c r="Y45" s="13">
        <v>-429.8</v>
      </c>
      <c r="Z45" s="13">
        <v>-240.8</v>
      </c>
      <c r="AA45" s="16">
        <v>-46.9</v>
      </c>
    </row>
    <row r="46" spans="1:27" x14ac:dyDescent="0.25">
      <c r="A46" s="10" t="s">
        <v>343</v>
      </c>
      <c r="B46" s="10" t="s">
        <v>324</v>
      </c>
      <c r="C46" s="13">
        <v>-410.83699999999999</v>
      </c>
      <c r="D46" s="13">
        <v>-0.69299999999999995</v>
      </c>
      <c r="E46" s="13" t="s">
        <v>80</v>
      </c>
      <c r="F46" s="13" t="s">
        <v>80</v>
      </c>
      <c r="G46" s="13" t="s">
        <v>80</v>
      </c>
      <c r="H46" s="13">
        <v>326.005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-233</v>
      </c>
      <c r="Q46" s="13">
        <v>-243</v>
      </c>
      <c r="R46" s="13">
        <v>-89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1023</v>
      </c>
      <c r="Z46" s="13">
        <v>2187</v>
      </c>
      <c r="AA46" s="16">
        <v>1852</v>
      </c>
    </row>
    <row r="47" spans="1:27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1"/>
    </row>
    <row r="48" spans="1:27" x14ac:dyDescent="0.25">
      <c r="A48" s="10" t="s">
        <v>344</v>
      </c>
      <c r="B48" s="10" t="s">
        <v>111</v>
      </c>
      <c r="C48" s="13">
        <v>1999.7045000000001</v>
      </c>
      <c r="D48" s="13">
        <v>2007.57</v>
      </c>
      <c r="E48" s="13">
        <v>2018.4</v>
      </c>
      <c r="F48" s="13">
        <v>2018.1</v>
      </c>
      <c r="G48" s="13">
        <v>2018.327</v>
      </c>
      <c r="H48" s="13">
        <v>2018.3</v>
      </c>
      <c r="I48" s="13">
        <v>2016.9592</v>
      </c>
      <c r="J48" s="13">
        <v>2017.1321</v>
      </c>
      <c r="K48" s="13">
        <v>2018.2575999999999</v>
      </c>
      <c r="L48" s="13">
        <v>2249.1039999999998</v>
      </c>
      <c r="M48" s="13">
        <v>2326.4</v>
      </c>
      <c r="N48" s="13">
        <v>2526.1</v>
      </c>
      <c r="O48" s="13">
        <v>2772.5</v>
      </c>
      <c r="P48" s="13">
        <v>2773.73</v>
      </c>
      <c r="Q48" s="13">
        <v>2773.73</v>
      </c>
      <c r="R48" s="13">
        <v>2749.03</v>
      </c>
      <c r="S48" s="13">
        <v>2883.4569999999999</v>
      </c>
      <c r="T48" s="13">
        <v>2865.0257999999999</v>
      </c>
      <c r="U48" s="13">
        <v>2846.8443000000002</v>
      </c>
      <c r="V48" s="13">
        <v>2857.4385000000002</v>
      </c>
      <c r="W48" s="13">
        <v>2856.6812</v>
      </c>
      <c r="X48" s="13">
        <v>2883.4566</v>
      </c>
      <c r="Y48" s="13">
        <v>2849.3429999999998</v>
      </c>
      <c r="Z48" s="13">
        <v>2828.0742</v>
      </c>
      <c r="AA48" s="16">
        <v>2813.156594</v>
      </c>
    </row>
    <row r="49" spans="1:27" x14ac:dyDescent="0.25">
      <c r="A49" s="6" t="s">
        <v>106</v>
      </c>
      <c r="B49" s="6" t="s">
        <v>107</v>
      </c>
      <c r="C49" s="20">
        <v>1.0081</v>
      </c>
      <c r="D49" s="20">
        <v>1.1051</v>
      </c>
      <c r="E49" s="20">
        <v>1.2975000000000001</v>
      </c>
      <c r="F49" s="20">
        <v>2.8330000000000002</v>
      </c>
      <c r="G49" s="20">
        <v>2.952</v>
      </c>
      <c r="H49" s="20">
        <v>3.3742999999999999</v>
      </c>
      <c r="I49" s="20">
        <v>3.4775</v>
      </c>
      <c r="J49" s="20">
        <v>2.9020999999999999</v>
      </c>
      <c r="K49" s="20">
        <v>3.3222</v>
      </c>
      <c r="L49" s="20">
        <v>3.7867999999999999</v>
      </c>
      <c r="M49" s="20">
        <v>4.68</v>
      </c>
      <c r="N49" s="20">
        <v>5.35</v>
      </c>
      <c r="O49" s="20">
        <v>5.49</v>
      </c>
      <c r="P49" s="20">
        <v>6.1707999999999998</v>
      </c>
      <c r="Q49" s="20">
        <v>6.9610000000000003</v>
      </c>
      <c r="R49" s="20">
        <v>8.6999999999999993</v>
      </c>
      <c r="S49" s="20">
        <v>11.0832</v>
      </c>
      <c r="T49" s="20">
        <v>12.749599999999999</v>
      </c>
      <c r="U49" s="20">
        <v>10.7164</v>
      </c>
      <c r="V49" s="20">
        <v>12.265499999999999</v>
      </c>
      <c r="W49" s="20">
        <v>15.8954</v>
      </c>
      <c r="X49" s="20">
        <v>18.178899999999999</v>
      </c>
      <c r="Y49" s="20">
        <v>19.72</v>
      </c>
      <c r="Z49" s="20">
        <v>20.786999999999999</v>
      </c>
      <c r="AA49" s="23">
        <v>20.842428000000002</v>
      </c>
    </row>
    <row r="50" spans="1:27" x14ac:dyDescent="0.25">
      <c r="A50" s="6" t="s">
        <v>345</v>
      </c>
      <c r="B50" s="6" t="s">
        <v>346</v>
      </c>
      <c r="C50" s="20">
        <v>0.80259999999999998</v>
      </c>
      <c r="D50" s="20">
        <v>1.1047</v>
      </c>
      <c r="E50" s="20">
        <v>1.2975000000000001</v>
      </c>
      <c r="F50" s="20">
        <v>2.9889999999999999</v>
      </c>
      <c r="G50" s="20">
        <v>2.952</v>
      </c>
      <c r="H50" s="20">
        <v>3.5358000000000001</v>
      </c>
      <c r="I50" s="20">
        <v>3.4775</v>
      </c>
      <c r="J50" s="20">
        <v>2.9020999999999999</v>
      </c>
      <c r="K50" s="20">
        <v>3.3222</v>
      </c>
      <c r="L50" s="20">
        <v>3.7867999999999999</v>
      </c>
      <c r="M50" s="20">
        <v>4.68</v>
      </c>
      <c r="N50" s="20">
        <v>5.35</v>
      </c>
      <c r="O50" s="20">
        <v>5.49</v>
      </c>
      <c r="P50" s="20">
        <v>6.0838999999999999</v>
      </c>
      <c r="Q50" s="20">
        <v>6.8734000000000002</v>
      </c>
      <c r="R50" s="20">
        <v>8.6645000000000003</v>
      </c>
      <c r="S50" s="20">
        <v>11.0832</v>
      </c>
      <c r="T50" s="20">
        <v>12.749599999999999</v>
      </c>
      <c r="U50" s="20">
        <v>10.7164</v>
      </c>
      <c r="V50" s="20">
        <v>12.265499999999999</v>
      </c>
      <c r="W50" s="20">
        <v>15.8954</v>
      </c>
      <c r="X50" s="20">
        <v>18.178899999999999</v>
      </c>
      <c r="Y50" s="20">
        <v>20.078700000000001</v>
      </c>
      <c r="Z50" s="20">
        <v>21.560600000000001</v>
      </c>
      <c r="AA50" s="23">
        <v>21.500131</v>
      </c>
    </row>
    <row r="51" spans="1:27" x14ac:dyDescent="0.25">
      <c r="A51" s="6" t="s">
        <v>347</v>
      </c>
      <c r="B51" s="6" t="s">
        <v>348</v>
      </c>
      <c r="C51" s="20">
        <v>0.80259999999999998</v>
      </c>
      <c r="D51" s="20">
        <v>1.1047</v>
      </c>
      <c r="E51" s="20" t="s">
        <v>80</v>
      </c>
      <c r="F51" s="20">
        <v>2.9889999999999999</v>
      </c>
      <c r="G51" s="20">
        <v>2.952</v>
      </c>
      <c r="H51" s="20">
        <v>3.5358000000000001</v>
      </c>
      <c r="I51" s="20">
        <v>3.4775</v>
      </c>
      <c r="J51" s="20">
        <v>2.9020999999999999</v>
      </c>
      <c r="K51" s="20">
        <v>3.3222</v>
      </c>
      <c r="L51" s="20">
        <v>3.7867999999999999</v>
      </c>
      <c r="M51" s="20">
        <v>4.68</v>
      </c>
      <c r="N51" s="20">
        <v>5.35</v>
      </c>
      <c r="O51" s="20">
        <v>5.49</v>
      </c>
      <c r="P51" s="20">
        <v>6.0838999999999999</v>
      </c>
      <c r="Q51" s="20">
        <v>6.8734000000000002</v>
      </c>
      <c r="R51" s="20">
        <v>8.7495999999999992</v>
      </c>
      <c r="S51" s="20">
        <v>11.0602</v>
      </c>
      <c r="T51" s="20">
        <v>12.914999999999999</v>
      </c>
      <c r="U51" s="20">
        <v>10.73</v>
      </c>
      <c r="V51" s="20">
        <v>12.2339</v>
      </c>
      <c r="W51" s="20">
        <v>15.741199999999999</v>
      </c>
      <c r="X51" s="20">
        <v>17.952400000000001</v>
      </c>
      <c r="Y51" s="20">
        <v>19.927800000000001</v>
      </c>
      <c r="Z51" s="20">
        <v>21.4755</v>
      </c>
      <c r="AA51" s="23">
        <v>21.483595000000001</v>
      </c>
    </row>
    <row r="52" spans="1:27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1"/>
    </row>
    <row r="53" spans="1:27" x14ac:dyDescent="0.25">
      <c r="A53" s="10" t="s">
        <v>349</v>
      </c>
      <c r="B53" s="10" t="s">
        <v>113</v>
      </c>
      <c r="C53" s="13">
        <v>1999.7045000000001</v>
      </c>
      <c r="D53" s="13">
        <v>2007.57</v>
      </c>
      <c r="E53" s="13" t="s">
        <v>80</v>
      </c>
      <c r="F53" s="13">
        <v>2018.1</v>
      </c>
      <c r="G53" s="13">
        <v>2018.327</v>
      </c>
      <c r="H53" s="13">
        <v>2018.3</v>
      </c>
      <c r="I53" s="13">
        <v>2016.9592</v>
      </c>
      <c r="J53" s="13">
        <v>2017.1321</v>
      </c>
      <c r="K53" s="13">
        <v>2018.2575999999999</v>
      </c>
      <c r="L53" s="13">
        <v>2249.1039999999998</v>
      </c>
      <c r="M53" s="13">
        <v>2326.4</v>
      </c>
      <c r="N53" s="13">
        <v>2526.1</v>
      </c>
      <c r="O53" s="13">
        <v>2773</v>
      </c>
      <c r="P53" s="13">
        <v>2773.73</v>
      </c>
      <c r="Q53" s="13">
        <v>2773.73</v>
      </c>
      <c r="R53" s="13">
        <v>2773.73</v>
      </c>
      <c r="S53" s="13">
        <v>2883.4569999999999</v>
      </c>
      <c r="T53" s="13">
        <v>2865.0257999999999</v>
      </c>
      <c r="U53" s="13">
        <v>2846.8443000000002</v>
      </c>
      <c r="V53" s="13">
        <v>2857.4385000000002</v>
      </c>
      <c r="W53" s="13">
        <v>2883.4566</v>
      </c>
      <c r="X53" s="13">
        <v>2883.4566</v>
      </c>
      <c r="Y53" s="13">
        <v>2849.3429999999998</v>
      </c>
      <c r="Z53" s="13">
        <v>2828.0742</v>
      </c>
      <c r="AA53" s="16">
        <v>2813.156594</v>
      </c>
    </row>
    <row r="54" spans="1:27" x14ac:dyDescent="0.25">
      <c r="A54" s="6" t="s">
        <v>108</v>
      </c>
      <c r="B54" s="6" t="s">
        <v>109</v>
      </c>
      <c r="C54" s="20">
        <v>1.0081</v>
      </c>
      <c r="D54" s="20">
        <v>1.1051</v>
      </c>
      <c r="E54" s="20" t="s">
        <v>80</v>
      </c>
      <c r="F54" s="20">
        <v>2.8330000000000002</v>
      </c>
      <c r="G54" s="20">
        <v>2.952</v>
      </c>
      <c r="H54" s="20">
        <v>3.3742999999999999</v>
      </c>
      <c r="I54" s="20">
        <v>3.4775</v>
      </c>
      <c r="J54" s="20">
        <v>2.9020999999999999</v>
      </c>
      <c r="K54" s="20">
        <v>3.3222</v>
      </c>
      <c r="L54" s="20">
        <v>3.7867999999999999</v>
      </c>
      <c r="M54" s="20">
        <v>4.68</v>
      </c>
      <c r="N54" s="20">
        <v>5.35</v>
      </c>
      <c r="O54" s="20">
        <v>5.49</v>
      </c>
      <c r="P54" s="20">
        <v>6.1707999999999998</v>
      </c>
      <c r="Q54" s="20">
        <v>6.9610000000000003</v>
      </c>
      <c r="R54" s="20">
        <v>8.6199999999999992</v>
      </c>
      <c r="S54" s="20">
        <v>11.0832</v>
      </c>
      <c r="T54" s="20">
        <v>12.749599999999999</v>
      </c>
      <c r="U54" s="20">
        <v>10.7164</v>
      </c>
      <c r="V54" s="20">
        <v>12.265499999999999</v>
      </c>
      <c r="W54" s="20">
        <v>15.7478</v>
      </c>
      <c r="X54" s="20">
        <v>18.178899999999999</v>
      </c>
      <c r="Y54" s="20">
        <v>19.72</v>
      </c>
      <c r="Z54" s="20">
        <v>20.786999999999999</v>
      </c>
      <c r="AA54" s="23">
        <v>20.842428000000002</v>
      </c>
    </row>
    <row r="55" spans="1:27" x14ac:dyDescent="0.25">
      <c r="A55" s="6" t="s">
        <v>350</v>
      </c>
      <c r="B55" s="6" t="s">
        <v>351</v>
      </c>
      <c r="C55" s="20" t="s">
        <v>80</v>
      </c>
      <c r="D55" s="20" t="s">
        <v>80</v>
      </c>
      <c r="E55" s="20" t="s">
        <v>80</v>
      </c>
      <c r="F55" s="20">
        <v>2.8330000000000002</v>
      </c>
      <c r="G55" s="20">
        <v>2.952</v>
      </c>
      <c r="H55" s="20">
        <v>3.5358000000000001</v>
      </c>
      <c r="I55" s="20">
        <v>3.4775</v>
      </c>
      <c r="J55" s="20">
        <v>2.9020999999999999</v>
      </c>
      <c r="K55" s="20">
        <v>3.3222</v>
      </c>
      <c r="L55" s="20">
        <v>3.7867999999999999</v>
      </c>
      <c r="M55" s="20">
        <v>4.68</v>
      </c>
      <c r="N55" s="20">
        <v>5.35</v>
      </c>
      <c r="O55" s="20">
        <v>5.49</v>
      </c>
      <c r="P55" s="20">
        <v>6.0838999999999999</v>
      </c>
      <c r="Q55" s="20">
        <v>6.8734000000000002</v>
      </c>
      <c r="R55" s="20">
        <v>8.5878999999999994</v>
      </c>
      <c r="S55" s="20">
        <v>11.0832</v>
      </c>
      <c r="T55" s="20">
        <v>12.749599999999999</v>
      </c>
      <c r="U55" s="20">
        <v>10.7164</v>
      </c>
      <c r="V55" s="20">
        <v>12.265499999999999</v>
      </c>
      <c r="W55" s="20">
        <v>15.7478</v>
      </c>
      <c r="X55" s="20">
        <v>18.178899999999999</v>
      </c>
      <c r="Y55" s="20">
        <v>20.078700000000001</v>
      </c>
      <c r="Z55" s="20">
        <v>21.560600000000001</v>
      </c>
      <c r="AA55" s="23">
        <v>21.500131</v>
      </c>
    </row>
    <row r="56" spans="1:27" x14ac:dyDescent="0.25">
      <c r="A56" s="6" t="s">
        <v>352</v>
      </c>
      <c r="B56" s="6" t="s">
        <v>79</v>
      </c>
      <c r="C56" s="20">
        <v>0.80259999999999998</v>
      </c>
      <c r="D56" s="20">
        <v>1.1047</v>
      </c>
      <c r="E56" s="20" t="s">
        <v>80</v>
      </c>
      <c r="F56" s="20">
        <v>2.8330000000000002</v>
      </c>
      <c r="G56" s="20">
        <v>2.952</v>
      </c>
      <c r="H56" s="20">
        <v>3.5358000000000001</v>
      </c>
      <c r="I56" s="20">
        <v>3.4775</v>
      </c>
      <c r="J56" s="20">
        <v>2.9020999999999999</v>
      </c>
      <c r="K56" s="20">
        <v>3.3222</v>
      </c>
      <c r="L56" s="20">
        <v>3.7867999999999999</v>
      </c>
      <c r="M56" s="20">
        <v>4.68</v>
      </c>
      <c r="N56" s="20">
        <v>5.35</v>
      </c>
      <c r="O56" s="20">
        <v>5.49</v>
      </c>
      <c r="P56" s="20">
        <v>6.0838999999999999</v>
      </c>
      <c r="Q56" s="20">
        <v>6.8734000000000002</v>
      </c>
      <c r="R56" s="20">
        <v>8.6722000000000001</v>
      </c>
      <c r="S56" s="20">
        <v>11.0602</v>
      </c>
      <c r="T56" s="20">
        <v>12.914999999999999</v>
      </c>
      <c r="U56" s="20">
        <v>10.73</v>
      </c>
      <c r="V56" s="20">
        <v>12.2339</v>
      </c>
      <c r="W56" s="20">
        <v>15.5951</v>
      </c>
      <c r="X56" s="20">
        <v>17.952400000000001</v>
      </c>
      <c r="Y56" s="20">
        <v>19.927800000000001</v>
      </c>
      <c r="Z56" s="20">
        <v>21.4755</v>
      </c>
      <c r="AA56" s="23">
        <v>21.483595000000001</v>
      </c>
    </row>
    <row r="57" spans="1:27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1"/>
    </row>
    <row r="58" spans="1:27" x14ac:dyDescent="0.25">
      <c r="A58" s="6" t="s">
        <v>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1"/>
    </row>
    <row r="59" spans="1:27" x14ac:dyDescent="0.25">
      <c r="A59" s="10" t="s">
        <v>353</v>
      </c>
      <c r="B59" s="10" t="s">
        <v>354</v>
      </c>
      <c r="C59" s="12" t="s">
        <v>355</v>
      </c>
      <c r="D59" s="12" t="s">
        <v>355</v>
      </c>
      <c r="E59" s="12" t="s">
        <v>355</v>
      </c>
      <c r="F59" s="12" t="s">
        <v>355</v>
      </c>
      <c r="G59" s="12" t="s">
        <v>355</v>
      </c>
      <c r="H59" s="12" t="s">
        <v>355</v>
      </c>
      <c r="I59" s="12" t="s">
        <v>355</v>
      </c>
      <c r="J59" s="12" t="s">
        <v>355</v>
      </c>
      <c r="K59" s="12" t="s">
        <v>355</v>
      </c>
      <c r="L59" s="12" t="s">
        <v>355</v>
      </c>
      <c r="M59" s="12" t="s">
        <v>355</v>
      </c>
      <c r="N59" s="12" t="s">
        <v>355</v>
      </c>
      <c r="O59" s="12" t="s">
        <v>355</v>
      </c>
      <c r="P59" s="12" t="s">
        <v>355</v>
      </c>
      <c r="Q59" s="12" t="s">
        <v>355</v>
      </c>
      <c r="R59" s="12" t="s">
        <v>355</v>
      </c>
      <c r="S59" s="12" t="s">
        <v>355</v>
      </c>
      <c r="T59" s="12" t="s">
        <v>355</v>
      </c>
      <c r="U59" s="12" t="s">
        <v>355</v>
      </c>
      <c r="V59" s="12" t="s">
        <v>355</v>
      </c>
      <c r="W59" s="12" t="s">
        <v>355</v>
      </c>
      <c r="X59" s="12" t="s">
        <v>355</v>
      </c>
      <c r="Y59" s="12" t="s">
        <v>355</v>
      </c>
      <c r="Z59" s="12" t="s">
        <v>355</v>
      </c>
      <c r="AA59" s="15"/>
    </row>
    <row r="60" spans="1:27" x14ac:dyDescent="0.25">
      <c r="A60" s="10" t="s">
        <v>0</v>
      </c>
      <c r="B60" s="10" t="s">
        <v>356</v>
      </c>
      <c r="C60" s="13">
        <v>29630.383000000002</v>
      </c>
      <c r="D60" s="13">
        <v>28352.496999999999</v>
      </c>
      <c r="E60" s="13">
        <v>32062</v>
      </c>
      <c r="F60" s="13">
        <v>42721</v>
      </c>
      <c r="G60" s="13">
        <v>44448</v>
      </c>
      <c r="H60" s="13">
        <v>48483.707000000002</v>
      </c>
      <c r="I60" s="13">
        <v>59991</v>
      </c>
      <c r="J60" s="13">
        <v>55966</v>
      </c>
      <c r="K60" s="13">
        <v>54141</v>
      </c>
      <c r="L60" s="13">
        <v>84924</v>
      </c>
      <c r="M60" s="13">
        <v>100765</v>
      </c>
      <c r="N60" s="13">
        <v>110942</v>
      </c>
      <c r="O60" s="13">
        <v>111771</v>
      </c>
      <c r="P60" s="13">
        <v>108833</v>
      </c>
      <c r="Q60" s="13">
        <v>124091</v>
      </c>
      <c r="R60" s="13">
        <v>160962</v>
      </c>
      <c r="S60" s="13">
        <v>197704</v>
      </c>
      <c r="T60" s="13">
        <v>216667</v>
      </c>
      <c r="U60" s="13">
        <v>202281</v>
      </c>
      <c r="V60" s="13">
        <v>214994</v>
      </c>
      <c r="W60" s="13">
        <v>347491</v>
      </c>
      <c r="X60" s="13">
        <v>462742</v>
      </c>
      <c r="Y60" s="13">
        <v>505520</v>
      </c>
      <c r="Z60" s="13">
        <v>523767</v>
      </c>
      <c r="AA60" s="16">
        <v>504438</v>
      </c>
    </row>
    <row r="61" spans="1:27" x14ac:dyDescent="0.25">
      <c r="A61" s="10" t="s">
        <v>358</v>
      </c>
      <c r="B61" s="10" t="s">
        <v>72</v>
      </c>
      <c r="C61" s="13">
        <v>2747.1239999999998</v>
      </c>
      <c r="D61" s="13">
        <v>3330.623</v>
      </c>
      <c r="E61" s="13">
        <v>4525</v>
      </c>
      <c r="F61" s="13">
        <v>-4948</v>
      </c>
      <c r="G61" s="13">
        <v>9187</v>
      </c>
      <c r="H61" s="13">
        <v>10850.429</v>
      </c>
      <c r="I61" s="13">
        <v>15187</v>
      </c>
      <c r="J61" s="13">
        <v>15336</v>
      </c>
      <c r="K61" s="13">
        <v>16155</v>
      </c>
      <c r="L61" s="13">
        <v>18600</v>
      </c>
      <c r="M61" s="13">
        <v>21785</v>
      </c>
      <c r="N61" s="13">
        <v>25646</v>
      </c>
      <c r="O61" s="13">
        <v>31097</v>
      </c>
      <c r="P61" s="13">
        <v>32592</v>
      </c>
      <c r="Q61" s="13">
        <v>38278</v>
      </c>
      <c r="R61" s="13">
        <v>47157</v>
      </c>
      <c r="S61" s="13">
        <v>58744</v>
      </c>
      <c r="T61" s="13">
        <v>63463</v>
      </c>
      <c r="U61" s="13">
        <v>60873</v>
      </c>
      <c r="V61" s="13">
        <v>55173</v>
      </c>
      <c r="W61" s="13">
        <v>72903</v>
      </c>
      <c r="X61" s="13">
        <v>85503</v>
      </c>
      <c r="Y61" s="13">
        <v>93965</v>
      </c>
      <c r="Z61" s="13">
        <v>103483</v>
      </c>
      <c r="AA61" s="16">
        <v>105051</v>
      </c>
    </row>
    <row r="62" spans="1:27" x14ac:dyDescent="0.25">
      <c r="A62" s="10" t="s">
        <v>359</v>
      </c>
      <c r="B62" s="10" t="s">
        <v>145</v>
      </c>
      <c r="C62" s="14">
        <v>6.5065</v>
      </c>
      <c r="D62" s="14">
        <v>5.0914999999999999</v>
      </c>
      <c r="E62" s="14">
        <v>6.3550000000000004</v>
      </c>
      <c r="F62" s="14">
        <v>0</v>
      </c>
      <c r="G62" s="14">
        <v>9.1807999999999996</v>
      </c>
      <c r="H62" s="14">
        <v>8.9541000000000004</v>
      </c>
      <c r="I62" s="14">
        <v>6.3994999999999997</v>
      </c>
      <c r="J62" s="14">
        <v>4.8289</v>
      </c>
      <c r="K62" s="14">
        <v>4.7290999999999999</v>
      </c>
      <c r="L62" s="14">
        <v>4.7858999999999998</v>
      </c>
      <c r="M62" s="14">
        <v>4.4329000000000001</v>
      </c>
      <c r="N62" s="14">
        <v>4.5408999999999997</v>
      </c>
      <c r="O62" s="14">
        <v>5.0437000000000003</v>
      </c>
      <c r="P62" s="14">
        <v>4.8265000000000002</v>
      </c>
      <c r="Q62" s="14">
        <v>5.2656999999999998</v>
      </c>
      <c r="R62" s="14">
        <v>6.0763999999999996</v>
      </c>
      <c r="S62" s="14">
        <v>6.0857000000000001</v>
      </c>
      <c r="T62" s="14">
        <v>5.9394</v>
      </c>
      <c r="U62" s="14">
        <v>6.0273000000000003</v>
      </c>
      <c r="V62" s="14">
        <v>6.1214000000000004</v>
      </c>
      <c r="W62" s="14">
        <v>6.8737000000000004</v>
      </c>
      <c r="X62" s="14">
        <v>6.6795999999999998</v>
      </c>
      <c r="Y62" s="14">
        <v>6.5785</v>
      </c>
      <c r="Z62" s="14">
        <v>6.5210999999999997</v>
      </c>
      <c r="AA62" s="17">
        <v>6.6133923376646297</v>
      </c>
    </row>
    <row r="63" spans="1:27" x14ac:dyDescent="0.25">
      <c r="A63" s="10" t="s">
        <v>360</v>
      </c>
      <c r="B63" s="10" t="s">
        <v>361</v>
      </c>
      <c r="C63" s="14">
        <v>46.703400000000002</v>
      </c>
      <c r="D63" s="14">
        <v>51.679499999999997</v>
      </c>
      <c r="E63" s="14">
        <v>52.28</v>
      </c>
      <c r="F63" s="14">
        <v>17.944299999999998</v>
      </c>
      <c r="G63" s="14">
        <v>53.968699999999998</v>
      </c>
      <c r="H63" s="14">
        <v>52.146700000000003</v>
      </c>
      <c r="I63" s="14">
        <v>53.678100000000001</v>
      </c>
      <c r="J63" s="14">
        <v>60.211599999999997</v>
      </c>
      <c r="K63" s="14">
        <v>65.373699999999999</v>
      </c>
      <c r="L63" s="14">
        <v>71</v>
      </c>
      <c r="M63" s="14">
        <v>69.644199999999998</v>
      </c>
      <c r="N63" s="14">
        <v>71.9863</v>
      </c>
      <c r="O63" s="14">
        <v>75.073099999999997</v>
      </c>
      <c r="P63" s="14">
        <v>78.276799999999994</v>
      </c>
      <c r="Q63" s="14">
        <v>77.933099999999996</v>
      </c>
      <c r="R63" s="14">
        <v>72.269900000000007</v>
      </c>
      <c r="S63" s="14">
        <v>69.270200000000003</v>
      </c>
      <c r="T63" s="14">
        <v>68.295599999999993</v>
      </c>
      <c r="U63" s="14">
        <v>76.321100000000001</v>
      </c>
      <c r="V63" s="14">
        <v>81.035700000000006</v>
      </c>
      <c r="W63" s="14">
        <v>56.122900000000001</v>
      </c>
      <c r="X63" s="14">
        <v>46.403199999999998</v>
      </c>
      <c r="Y63" s="14">
        <v>47.323700000000002</v>
      </c>
      <c r="Z63" s="14">
        <v>50.653599999999997</v>
      </c>
      <c r="AA63" s="17">
        <v>59.939618946595402</v>
      </c>
    </row>
    <row r="64" spans="1:27" x14ac:dyDescent="0.25">
      <c r="A64" s="10" t="s">
        <v>362</v>
      </c>
      <c r="B64" s="10" t="s">
        <v>363</v>
      </c>
      <c r="C64" s="14">
        <v>15.396000000000001</v>
      </c>
      <c r="D64" s="14">
        <v>17.788699999999999</v>
      </c>
      <c r="E64" s="14">
        <v>20.9939</v>
      </c>
      <c r="F64" s="14" t="s">
        <v>80</v>
      </c>
      <c r="G64" s="14">
        <v>36.080500000000001</v>
      </c>
      <c r="H64" s="14">
        <v>41.2498</v>
      </c>
      <c r="I64" s="14">
        <v>33.497900000000001</v>
      </c>
      <c r="J64" s="14">
        <v>23.508800000000001</v>
      </c>
      <c r="K64" s="14">
        <v>27.821100000000001</v>
      </c>
      <c r="L64" s="14">
        <v>21.760999999999999</v>
      </c>
      <c r="M64" s="14">
        <v>23.088799999999999</v>
      </c>
      <c r="N64" s="14">
        <v>22.3307</v>
      </c>
      <c r="O64" s="14">
        <v>25.170999999999999</v>
      </c>
      <c r="P64" s="14">
        <v>27.122599999999998</v>
      </c>
      <c r="Q64" s="14">
        <v>27.103200000000001</v>
      </c>
      <c r="R64" s="14">
        <v>28.5471</v>
      </c>
      <c r="S64" s="14">
        <v>32.164999999999999</v>
      </c>
      <c r="T64" s="14">
        <v>33.676200000000001</v>
      </c>
      <c r="U64" s="14">
        <v>26.522400000000001</v>
      </c>
      <c r="V64" s="14">
        <v>26.457599999999999</v>
      </c>
      <c r="W64" s="14">
        <v>31.7851</v>
      </c>
      <c r="X64" s="14">
        <v>33.053100000000001</v>
      </c>
      <c r="Y64" s="14">
        <v>32.418900000000001</v>
      </c>
      <c r="Z64" s="14">
        <v>31.517399999999999</v>
      </c>
      <c r="AA64" s="17">
        <v>16.584396893176201</v>
      </c>
    </row>
    <row r="65" spans="1:27" x14ac:dyDescent="0.25">
      <c r="A65" s="10" t="s">
        <v>364</v>
      </c>
      <c r="B65" s="10" t="s">
        <v>365</v>
      </c>
      <c r="C65" s="14">
        <v>1964358.4593</v>
      </c>
      <c r="D65" s="14">
        <v>1787335.1195</v>
      </c>
      <c r="E65" s="14" t="s">
        <v>80</v>
      </c>
      <c r="F65" s="14" t="s">
        <v>80</v>
      </c>
      <c r="G65" s="14" t="s">
        <v>80</v>
      </c>
      <c r="H65" s="14">
        <v>2792679.3963000001</v>
      </c>
      <c r="I65" s="14">
        <v>3000000</v>
      </c>
      <c r="J65" s="14" t="s">
        <v>80</v>
      </c>
      <c r="K65" s="14">
        <v>2740067.8171999999</v>
      </c>
      <c r="L65" s="14">
        <v>3553602.8119999999</v>
      </c>
      <c r="M65" s="14" t="s">
        <v>80</v>
      </c>
      <c r="N65" s="14" t="s">
        <v>80</v>
      </c>
      <c r="O65" s="14">
        <v>3999964.2129000002</v>
      </c>
      <c r="P65" s="14">
        <v>3944082.0468000001</v>
      </c>
      <c r="Q65" s="14">
        <v>4445634.6505000005</v>
      </c>
      <c r="R65" s="14" t="s">
        <v>80</v>
      </c>
      <c r="S65" s="14">
        <v>6471913.0548999999</v>
      </c>
      <c r="T65" s="14" t="s">
        <v>80</v>
      </c>
      <c r="U65" s="14" t="s">
        <v>80</v>
      </c>
      <c r="V65" s="14" t="s">
        <v>80</v>
      </c>
      <c r="W65" s="14" t="s">
        <v>80</v>
      </c>
      <c r="X65" s="14">
        <v>14955625.222200001</v>
      </c>
      <c r="Y65" s="14" t="s">
        <v>80</v>
      </c>
      <c r="Z65" s="14" t="s">
        <v>80</v>
      </c>
      <c r="AA65" s="17"/>
    </row>
    <row r="66" spans="1:27" x14ac:dyDescent="0.25">
      <c r="A66" s="10" t="s">
        <v>366</v>
      </c>
      <c r="B66" s="10" t="s">
        <v>367</v>
      </c>
      <c r="C66" s="14">
        <v>4.3799999999999999E-2</v>
      </c>
      <c r="D66" s="14">
        <v>6.25E-2</v>
      </c>
      <c r="E66" s="14" t="s">
        <v>80</v>
      </c>
      <c r="F66" s="14">
        <v>0</v>
      </c>
      <c r="G66" s="14">
        <v>0</v>
      </c>
      <c r="H66" s="14">
        <v>0.47</v>
      </c>
      <c r="I66" s="14">
        <v>0.18</v>
      </c>
      <c r="J66" s="14">
        <v>0.52</v>
      </c>
      <c r="K66" s="14">
        <v>0.52</v>
      </c>
      <c r="L66" s="14">
        <v>0.52</v>
      </c>
      <c r="M66" s="14">
        <v>0.53</v>
      </c>
      <c r="N66" s="14">
        <v>1.1399999999999999</v>
      </c>
      <c r="O66" s="14">
        <v>0.97399999999999998</v>
      </c>
      <c r="P66" s="14">
        <v>1.01</v>
      </c>
      <c r="Q66" s="14">
        <v>2.61</v>
      </c>
      <c r="R66" s="14">
        <v>5.28</v>
      </c>
      <c r="S66" s="14">
        <v>3.45</v>
      </c>
      <c r="T66" s="14">
        <v>5.54</v>
      </c>
      <c r="U66" s="14">
        <v>2.6450999999999998</v>
      </c>
      <c r="V66" s="14">
        <v>6.0774999999999997</v>
      </c>
      <c r="W66" s="14">
        <v>7.8738999999999999</v>
      </c>
      <c r="X66" s="14">
        <v>9.0894999999999992</v>
      </c>
      <c r="Y66" s="14">
        <v>9.9867000000000008</v>
      </c>
      <c r="Z66" s="14" t="s">
        <v>80</v>
      </c>
      <c r="AA66" s="17"/>
    </row>
    <row r="67" spans="1:27" x14ac:dyDescent="0.25">
      <c r="A67" s="10" t="s">
        <v>368</v>
      </c>
      <c r="B67" s="10" t="s">
        <v>369</v>
      </c>
      <c r="C67" s="13">
        <v>87.486999999999995</v>
      </c>
      <c r="D67" s="13">
        <v>125.4731</v>
      </c>
      <c r="E67" s="13" t="s">
        <v>80</v>
      </c>
      <c r="F67" s="13">
        <v>0</v>
      </c>
      <c r="G67" s="13">
        <v>0</v>
      </c>
      <c r="H67" s="13">
        <v>948.601</v>
      </c>
      <c r="I67" s="13">
        <v>362.51960000000003</v>
      </c>
      <c r="J67" s="13">
        <v>1049.2807</v>
      </c>
      <c r="K67" s="13">
        <v>1049.5407</v>
      </c>
      <c r="L67" s="13">
        <v>1157</v>
      </c>
      <c r="M67" s="13">
        <v>1240</v>
      </c>
      <c r="N67" s="13">
        <v>3162.0517</v>
      </c>
      <c r="O67" s="13">
        <v>2697.3409999999999</v>
      </c>
      <c r="P67" s="13">
        <v>2786.0488999999998</v>
      </c>
      <c r="Q67" s="13">
        <v>7175.4642999999996</v>
      </c>
      <c r="R67" s="13">
        <v>14645.136</v>
      </c>
      <c r="S67" s="13">
        <v>9863.5048999999999</v>
      </c>
      <c r="T67" s="13">
        <v>15886.079299999999</v>
      </c>
      <c r="U67" s="13">
        <v>7530.1797999999999</v>
      </c>
      <c r="V67" s="13">
        <v>17365.960500000001</v>
      </c>
      <c r="W67" s="13">
        <v>22496.512200000001</v>
      </c>
      <c r="X67" s="13">
        <v>40965.581400000003</v>
      </c>
      <c r="Y67" s="13">
        <v>37744.972399999999</v>
      </c>
      <c r="Z67" s="13" t="s">
        <v>80</v>
      </c>
      <c r="AA67" s="16"/>
    </row>
    <row r="68" spans="1:27" x14ac:dyDescent="0.25">
      <c r="A68" s="10" t="s">
        <v>370</v>
      </c>
      <c r="B68" s="10" t="s">
        <v>149</v>
      </c>
      <c r="C68" s="14">
        <v>78.361900000000006</v>
      </c>
      <c r="D68" s="14">
        <v>75.930800000000005</v>
      </c>
      <c r="E68" s="14">
        <v>71.192999999999998</v>
      </c>
      <c r="F68" s="14">
        <v>57.2547</v>
      </c>
      <c r="G68" s="14">
        <v>58.791600000000003</v>
      </c>
      <c r="H68" s="14">
        <v>57.083500000000001</v>
      </c>
      <c r="I68" s="14">
        <v>51.0002</v>
      </c>
      <c r="J68" s="14">
        <v>52.608199999999997</v>
      </c>
      <c r="K68" s="14">
        <v>52.269100000000002</v>
      </c>
      <c r="L68" s="14">
        <v>67.605400000000003</v>
      </c>
      <c r="M68" s="14">
        <v>67.196700000000007</v>
      </c>
      <c r="N68" s="14">
        <v>66.062799999999996</v>
      </c>
      <c r="O68" s="14">
        <v>60.954500000000003</v>
      </c>
      <c r="P68" s="14">
        <v>59.434399999999997</v>
      </c>
      <c r="Q68" s="14">
        <v>57.774799999999999</v>
      </c>
      <c r="R68" s="14">
        <v>56.644799999999996</v>
      </c>
      <c r="S68" s="14">
        <v>53.898800000000001</v>
      </c>
      <c r="T68" s="14">
        <v>53.9863</v>
      </c>
      <c r="U68" s="14">
        <v>57.609000000000002</v>
      </c>
      <c r="V68" s="14">
        <v>65.644599999999997</v>
      </c>
      <c r="W68" s="14">
        <v>59.434600000000003</v>
      </c>
      <c r="X68" s="14">
        <v>56.510899999999999</v>
      </c>
      <c r="Y68" s="14">
        <v>56.971800000000002</v>
      </c>
      <c r="Z68" s="14">
        <v>57.7348</v>
      </c>
      <c r="AA68" s="17">
        <v>58.496367090626897</v>
      </c>
    </row>
    <row r="69" spans="1:27" x14ac:dyDescent="0.25">
      <c r="A69" s="10" t="s">
        <v>371</v>
      </c>
      <c r="B69" s="10" t="s">
        <v>141</v>
      </c>
      <c r="C69" s="13">
        <v>617.74599999999998</v>
      </c>
      <c r="D69" s="13">
        <v>2082.4499999999998</v>
      </c>
      <c r="E69" s="13">
        <v>2754</v>
      </c>
      <c r="F69" s="13">
        <v>1131</v>
      </c>
      <c r="G69" s="13">
        <v>2059</v>
      </c>
      <c r="H69" s="13" t="s">
        <v>80</v>
      </c>
      <c r="I69" s="13" t="s">
        <v>80</v>
      </c>
      <c r="J69" s="13" t="s">
        <v>80</v>
      </c>
      <c r="K69" s="13" t="s">
        <v>80</v>
      </c>
      <c r="L69" s="13" t="s">
        <v>80</v>
      </c>
      <c r="M69" s="13" t="s">
        <v>80</v>
      </c>
      <c r="N69" s="13">
        <v>9175</v>
      </c>
      <c r="O69" s="13">
        <v>7953</v>
      </c>
      <c r="P69" s="13">
        <v>9728</v>
      </c>
      <c r="Q69" s="13">
        <v>11006</v>
      </c>
      <c r="R69" s="13">
        <v>13966</v>
      </c>
      <c r="S69" s="13">
        <v>16802</v>
      </c>
      <c r="T69" s="13">
        <v>19385</v>
      </c>
      <c r="U69" s="13">
        <v>4282</v>
      </c>
      <c r="V69" s="13">
        <v>4457</v>
      </c>
      <c r="W69" s="13">
        <v>2782</v>
      </c>
      <c r="X69" s="13">
        <v>1738</v>
      </c>
      <c r="Y69" s="13">
        <v>0</v>
      </c>
      <c r="Z69" s="13">
        <v>0</v>
      </c>
      <c r="AA69" s="16"/>
    </row>
    <row r="70" spans="1:27" x14ac:dyDescent="0.25">
      <c r="A70" s="7" t="s">
        <v>87</v>
      </c>
      <c r="B70" s="7"/>
      <c r="C70" s="7" t="s">
        <v>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7"/>
  <sheetViews>
    <sheetView topLeftCell="H1" workbookViewId="0">
      <selection activeCell="S13" sqref="S13"/>
    </sheetView>
  </sheetViews>
  <sheetFormatPr baseColWidth="10"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377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89</v>
      </c>
      <c r="B4" s="3"/>
      <c r="C4" s="4" t="s">
        <v>7</v>
      </c>
      <c r="D4" s="4" t="s">
        <v>8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</row>
    <row r="5" spans="1:23" x14ac:dyDescent="0.25">
      <c r="A5" s="9" t="s">
        <v>31</v>
      </c>
      <c r="B5" s="9"/>
      <c r="C5" s="5" t="s">
        <v>32</v>
      </c>
      <c r="D5" s="5" t="s">
        <v>33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</row>
    <row r="6" spans="1:23" x14ac:dyDescent="0.25">
      <c r="A6" s="6" t="s">
        <v>378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379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380</v>
      </c>
      <c r="B8" s="10" t="s">
        <v>381</v>
      </c>
      <c r="C8" s="13">
        <v>15869.066000000001</v>
      </c>
      <c r="D8" s="13">
        <v>13755.433999999999</v>
      </c>
      <c r="E8" s="13" t="s">
        <v>80</v>
      </c>
      <c r="F8" s="13">
        <v>27789</v>
      </c>
      <c r="G8" s="13">
        <v>22268</v>
      </c>
      <c r="H8" s="13">
        <v>18747</v>
      </c>
      <c r="I8" s="13">
        <v>24628</v>
      </c>
      <c r="J8" s="13">
        <v>30588</v>
      </c>
      <c r="K8" s="13">
        <v>31079</v>
      </c>
      <c r="L8" s="13">
        <v>27861</v>
      </c>
      <c r="M8" s="13">
        <v>23642</v>
      </c>
      <c r="N8" s="13">
        <v>27383</v>
      </c>
      <c r="O8" s="13">
        <v>44635</v>
      </c>
      <c r="P8" s="13">
        <v>60754</v>
      </c>
      <c r="Q8" s="13">
        <v>68693</v>
      </c>
      <c r="R8" s="13">
        <v>47898</v>
      </c>
      <c r="S8" s="13">
        <v>40772</v>
      </c>
      <c r="T8" s="13">
        <v>152469</v>
      </c>
      <c r="U8" s="13">
        <v>248015</v>
      </c>
      <c r="V8" s="13">
        <v>266289</v>
      </c>
      <c r="W8" s="13">
        <v>258460</v>
      </c>
    </row>
    <row r="9" spans="1:23" x14ac:dyDescent="0.25">
      <c r="A9" s="10" t="s">
        <v>92</v>
      </c>
      <c r="B9" s="10" t="s">
        <v>382</v>
      </c>
      <c r="C9" s="13" t="s">
        <v>80</v>
      </c>
      <c r="D9" s="13" t="s">
        <v>80</v>
      </c>
      <c r="E9" s="13">
        <v>17383.526000000002</v>
      </c>
      <c r="F9" s="13" t="s">
        <v>80</v>
      </c>
      <c r="G9" s="13" t="s">
        <v>80</v>
      </c>
      <c r="H9" s="13">
        <v>22732</v>
      </c>
      <c r="I9" s="13">
        <v>28242</v>
      </c>
      <c r="J9" s="13">
        <v>33253</v>
      </c>
      <c r="K9" s="13">
        <v>37181</v>
      </c>
      <c r="L9" s="13">
        <v>44096</v>
      </c>
      <c r="M9" s="13">
        <v>46576</v>
      </c>
      <c r="N9" s="13">
        <v>53057</v>
      </c>
      <c r="O9" s="13">
        <v>63366</v>
      </c>
      <c r="P9" s="13">
        <v>74825</v>
      </c>
      <c r="Q9" s="13">
        <v>80577</v>
      </c>
      <c r="R9" s="13">
        <v>82831</v>
      </c>
      <c r="S9" s="13">
        <v>80041</v>
      </c>
      <c r="T9" s="13">
        <v>116159</v>
      </c>
      <c r="U9" s="13">
        <v>127482</v>
      </c>
      <c r="V9" s="13">
        <v>138316</v>
      </c>
      <c r="W9" s="13">
        <v>146578</v>
      </c>
    </row>
    <row r="10" spans="1:23" x14ac:dyDescent="0.25">
      <c r="A10" s="10" t="s">
        <v>383</v>
      </c>
      <c r="B10" s="10" t="s">
        <v>384</v>
      </c>
      <c r="C10" s="13">
        <v>7701.424</v>
      </c>
      <c r="D10" s="13">
        <v>7900.5990000000002</v>
      </c>
      <c r="E10" s="13">
        <v>14738.049000000001</v>
      </c>
      <c r="F10" s="13">
        <v>15731</v>
      </c>
      <c r="G10" s="13">
        <v>14897</v>
      </c>
      <c r="H10" s="13">
        <v>15843</v>
      </c>
      <c r="I10" s="13">
        <v>22804</v>
      </c>
      <c r="J10" s="13" t="s">
        <v>80</v>
      </c>
      <c r="K10" s="13">
        <v>28239</v>
      </c>
      <c r="L10" s="13">
        <v>32900</v>
      </c>
      <c r="M10" s="13">
        <v>35889</v>
      </c>
      <c r="N10" s="13">
        <v>39744</v>
      </c>
      <c r="O10" s="13">
        <v>48153</v>
      </c>
      <c r="P10" s="13">
        <v>58746</v>
      </c>
      <c r="Q10" s="13" t="s">
        <v>80</v>
      </c>
      <c r="R10" s="13" t="s">
        <v>80</v>
      </c>
      <c r="S10" s="13" t="s">
        <v>80</v>
      </c>
      <c r="T10" s="13" t="s">
        <v>80</v>
      </c>
      <c r="U10" s="13" t="s">
        <v>80</v>
      </c>
      <c r="V10" s="13" t="s">
        <v>80</v>
      </c>
      <c r="W10" s="13" t="s">
        <v>80</v>
      </c>
    </row>
    <row r="11" spans="1:23" x14ac:dyDescent="0.25">
      <c r="A11" s="10" t="s">
        <v>385</v>
      </c>
      <c r="B11" s="10" t="s">
        <v>386</v>
      </c>
      <c r="C11" s="13">
        <v>-77.088999999999999</v>
      </c>
      <c r="D11" s="13">
        <v>-55.371000000000002</v>
      </c>
      <c r="E11" s="13">
        <v>363.43200000000002</v>
      </c>
      <c r="F11" s="13" t="s">
        <v>80</v>
      </c>
      <c r="G11" s="13" t="s">
        <v>80</v>
      </c>
      <c r="H11" s="13" t="s">
        <v>80</v>
      </c>
      <c r="I11" s="13" t="s">
        <v>80</v>
      </c>
      <c r="J11" s="13" t="s">
        <v>80</v>
      </c>
      <c r="K11" s="13" t="s">
        <v>80</v>
      </c>
      <c r="L11" s="13" t="s">
        <v>80</v>
      </c>
      <c r="M11" s="13" t="s">
        <v>80</v>
      </c>
      <c r="N11" s="13" t="s">
        <v>80</v>
      </c>
      <c r="O11" s="13" t="s">
        <v>80</v>
      </c>
      <c r="P11" s="13" t="s">
        <v>80</v>
      </c>
      <c r="Q11" s="13" t="s">
        <v>80</v>
      </c>
      <c r="R11" s="13" t="s">
        <v>80</v>
      </c>
      <c r="S11" s="13" t="s">
        <v>80</v>
      </c>
      <c r="T11" s="13" t="s">
        <v>80</v>
      </c>
      <c r="U11" s="13" t="s">
        <v>80</v>
      </c>
      <c r="V11" s="13" t="s">
        <v>80</v>
      </c>
      <c r="W11" s="13" t="s">
        <v>80</v>
      </c>
    </row>
    <row r="12" spans="1:23" x14ac:dyDescent="0.25">
      <c r="A12" s="6" t="s">
        <v>387</v>
      </c>
      <c r="B12" s="6" t="s">
        <v>388</v>
      </c>
      <c r="C12" s="19">
        <v>24317.147000000001</v>
      </c>
      <c r="D12" s="19">
        <v>22409.578000000001</v>
      </c>
      <c r="E12" s="19" t="s">
        <v>80</v>
      </c>
      <c r="F12" s="19">
        <v>50416</v>
      </c>
      <c r="G12" s="19">
        <v>45451</v>
      </c>
      <c r="H12" s="19">
        <v>41479</v>
      </c>
      <c r="I12" s="19">
        <v>53003</v>
      </c>
      <c r="J12" s="19">
        <v>63008</v>
      </c>
      <c r="K12" s="19">
        <v>67871</v>
      </c>
      <c r="L12" s="19">
        <v>72579</v>
      </c>
      <c r="M12" s="19">
        <v>69302</v>
      </c>
      <c r="N12" s="19">
        <v>80264</v>
      </c>
      <c r="O12" s="19">
        <v>110509</v>
      </c>
      <c r="P12" s="19">
        <v>137583</v>
      </c>
      <c r="Q12" s="19">
        <v>150514</v>
      </c>
      <c r="R12" s="19">
        <v>133593</v>
      </c>
      <c r="S12" s="19">
        <v>134725</v>
      </c>
      <c r="T12" s="19">
        <v>268628</v>
      </c>
      <c r="U12" s="19">
        <v>375497</v>
      </c>
      <c r="V12" s="19">
        <v>404605</v>
      </c>
      <c r="W12" s="19">
        <v>405038</v>
      </c>
    </row>
    <row r="13" spans="1:23" x14ac:dyDescent="0.25">
      <c r="A13" s="10" t="s">
        <v>389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 s="10" t="s">
        <v>390</v>
      </c>
      <c r="B14" s="10" t="s">
        <v>391</v>
      </c>
      <c r="C14" s="13" t="s">
        <v>80</v>
      </c>
      <c r="D14" s="13" t="s">
        <v>80</v>
      </c>
      <c r="E14" s="13" t="s">
        <v>80</v>
      </c>
      <c r="F14" s="13" t="s">
        <v>80</v>
      </c>
      <c r="G14" s="13">
        <v>980</v>
      </c>
      <c r="H14" s="13">
        <v>1739</v>
      </c>
      <c r="I14" s="13">
        <v>2814</v>
      </c>
      <c r="J14" s="13">
        <v>4001</v>
      </c>
      <c r="K14" s="13">
        <v>5819</v>
      </c>
      <c r="L14" s="13">
        <v>3260</v>
      </c>
      <c r="M14" s="13">
        <v>2937</v>
      </c>
      <c r="N14" s="13">
        <v>3491</v>
      </c>
      <c r="O14" s="13">
        <v>3210</v>
      </c>
      <c r="P14" s="13">
        <v>4259</v>
      </c>
      <c r="Q14" s="13">
        <v>4264</v>
      </c>
      <c r="R14" s="13">
        <v>2982</v>
      </c>
      <c r="S14" s="13">
        <v>2714</v>
      </c>
      <c r="T14" s="13" t="s">
        <v>80</v>
      </c>
      <c r="U14" s="13" t="s">
        <v>80</v>
      </c>
      <c r="V14" s="13" t="s">
        <v>80</v>
      </c>
      <c r="W14" s="13" t="s">
        <v>80</v>
      </c>
    </row>
    <row r="15" spans="1:23" x14ac:dyDescent="0.25">
      <c r="A15" s="10" t="s">
        <v>392</v>
      </c>
      <c r="B15" s="10" t="s">
        <v>393</v>
      </c>
      <c r="C15" s="13">
        <v>390.43</v>
      </c>
      <c r="D15" s="13">
        <v>980.21600000000001</v>
      </c>
      <c r="E15" s="13">
        <v>1291.92</v>
      </c>
      <c r="F15" s="13">
        <v>1040</v>
      </c>
      <c r="G15" s="13">
        <v>1244</v>
      </c>
      <c r="H15" s="13">
        <v>1689</v>
      </c>
      <c r="I15" s="13">
        <v>2778</v>
      </c>
      <c r="J15" s="13">
        <v>4152</v>
      </c>
      <c r="K15" s="13">
        <v>4971</v>
      </c>
      <c r="L15" s="13">
        <v>4420</v>
      </c>
      <c r="M15" s="13">
        <v>2954</v>
      </c>
      <c r="N15" s="13">
        <v>2346</v>
      </c>
      <c r="O15" s="13">
        <v>2657</v>
      </c>
      <c r="P15" s="13">
        <v>4228</v>
      </c>
      <c r="Q15" s="13">
        <v>5289</v>
      </c>
      <c r="R15" s="13">
        <v>4854</v>
      </c>
      <c r="S15" s="13">
        <v>4396</v>
      </c>
      <c r="T15" s="13">
        <v>3660</v>
      </c>
      <c r="U15" s="13">
        <v>3913</v>
      </c>
      <c r="V15" s="13">
        <v>4984</v>
      </c>
      <c r="W15" s="13">
        <v>8893</v>
      </c>
    </row>
    <row r="16" spans="1:23" x14ac:dyDescent="0.25">
      <c r="A16" s="10" t="s">
        <v>394</v>
      </c>
      <c r="B16" s="10" t="s">
        <v>395</v>
      </c>
      <c r="C16" s="13">
        <v>4922.8059999999996</v>
      </c>
      <c r="D16" s="13">
        <v>4962.7030000000004</v>
      </c>
      <c r="E16" s="13">
        <v>6607.2179999999998</v>
      </c>
      <c r="F16" s="13">
        <v>8535</v>
      </c>
      <c r="G16" s="13">
        <v>8291</v>
      </c>
      <c r="H16" s="13">
        <v>9234</v>
      </c>
      <c r="I16" s="13">
        <v>11054</v>
      </c>
      <c r="J16" s="13">
        <v>12657</v>
      </c>
      <c r="K16" s="13">
        <v>13570</v>
      </c>
      <c r="L16" s="13">
        <v>12820</v>
      </c>
      <c r="M16" s="13">
        <v>14566</v>
      </c>
      <c r="N16" s="13">
        <v>16683</v>
      </c>
      <c r="O16" s="13">
        <v>19542</v>
      </c>
      <c r="P16" s="13">
        <v>22567</v>
      </c>
      <c r="Q16" s="13">
        <v>24063</v>
      </c>
      <c r="R16" s="13">
        <v>24003</v>
      </c>
      <c r="S16" s="13">
        <v>27589</v>
      </c>
      <c r="T16" s="13">
        <v>32348</v>
      </c>
      <c r="U16" s="13">
        <v>35073</v>
      </c>
      <c r="V16" s="13">
        <v>40638</v>
      </c>
      <c r="W16" s="13">
        <v>41176</v>
      </c>
    </row>
    <row r="17" spans="1:23" x14ac:dyDescent="0.25">
      <c r="A17" s="10" t="s">
        <v>396</v>
      </c>
      <c r="B17" s="10" t="s">
        <v>397</v>
      </c>
      <c r="C17" s="13" t="s">
        <v>80</v>
      </c>
      <c r="D17" s="13" t="s">
        <v>80</v>
      </c>
      <c r="E17" s="13" t="s">
        <v>80</v>
      </c>
      <c r="F17" s="13" t="s">
        <v>80</v>
      </c>
      <c r="G17" s="13" t="s">
        <v>80</v>
      </c>
      <c r="H17" s="13" t="s">
        <v>80</v>
      </c>
      <c r="I17" s="13">
        <v>15275</v>
      </c>
      <c r="J17" s="13">
        <v>16321</v>
      </c>
      <c r="K17" s="13">
        <v>18026</v>
      </c>
      <c r="L17" s="13">
        <v>18692</v>
      </c>
      <c r="M17" s="13">
        <v>19074</v>
      </c>
      <c r="N17" s="13">
        <v>21307</v>
      </c>
      <c r="O17" s="13">
        <v>25043</v>
      </c>
      <c r="P17" s="13">
        <v>29067</v>
      </c>
      <c r="Q17" s="13">
        <v>32537</v>
      </c>
      <c r="R17" s="13">
        <v>36849</v>
      </c>
      <c r="S17" s="13">
        <v>45570</v>
      </c>
      <c r="T17" s="13">
        <v>42855</v>
      </c>
      <c r="U17" s="13">
        <v>48259</v>
      </c>
      <c r="V17" s="13">
        <v>55293</v>
      </c>
      <c r="W17" s="13">
        <v>68660</v>
      </c>
    </row>
    <row r="18" spans="1:23" x14ac:dyDescent="0.25">
      <c r="A18" s="10" t="s">
        <v>96</v>
      </c>
      <c r="B18" s="10" t="s">
        <v>398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 t="s">
        <v>80</v>
      </c>
      <c r="K18" s="13" t="s">
        <v>80</v>
      </c>
      <c r="L18" s="13" t="s">
        <v>80</v>
      </c>
      <c r="M18" s="13">
        <v>63267</v>
      </c>
      <c r="N18" s="13">
        <v>69522</v>
      </c>
      <c r="O18" s="13">
        <v>81218</v>
      </c>
      <c r="P18" s="13" t="s">
        <v>80</v>
      </c>
      <c r="Q18" s="13" t="s">
        <v>80</v>
      </c>
      <c r="R18" s="13" t="s">
        <v>80</v>
      </c>
      <c r="S18" s="13" t="s">
        <v>80</v>
      </c>
      <c r="T18" s="13" t="s">
        <v>80</v>
      </c>
      <c r="U18" s="13" t="s">
        <v>80</v>
      </c>
      <c r="V18" s="13" t="s">
        <v>80</v>
      </c>
      <c r="W18" s="13" t="s">
        <v>80</v>
      </c>
    </row>
    <row r="19" spans="1:23" x14ac:dyDescent="0.25">
      <c r="A19" s="10" t="s">
        <v>399</v>
      </c>
      <c r="B19" s="10" t="s">
        <v>400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 t="s">
        <v>80</v>
      </c>
      <c r="J19" s="13" t="s">
        <v>80</v>
      </c>
      <c r="K19" s="13" t="s">
        <v>80</v>
      </c>
      <c r="L19" s="13" t="s">
        <v>80</v>
      </c>
      <c r="M19" s="13">
        <v>9867</v>
      </c>
      <c r="N19" s="13">
        <v>10628</v>
      </c>
      <c r="O19" s="13">
        <v>11983</v>
      </c>
      <c r="P19" s="13" t="s">
        <v>80</v>
      </c>
      <c r="Q19" s="13" t="s">
        <v>80</v>
      </c>
      <c r="R19" s="13" t="s">
        <v>80</v>
      </c>
      <c r="S19" s="13" t="s">
        <v>80</v>
      </c>
      <c r="T19" s="13" t="s">
        <v>80</v>
      </c>
      <c r="U19" s="13" t="s">
        <v>80</v>
      </c>
      <c r="V19" s="13" t="s">
        <v>80</v>
      </c>
      <c r="W19" s="13" t="s">
        <v>80</v>
      </c>
    </row>
    <row r="20" spans="1:23" x14ac:dyDescent="0.25">
      <c r="A20" s="10" t="s">
        <v>401</v>
      </c>
      <c r="B20" s="10" t="s">
        <v>402</v>
      </c>
      <c r="C20" s="13" t="s">
        <v>80</v>
      </c>
      <c r="D20" s="13" t="s">
        <v>80</v>
      </c>
      <c r="E20" s="13" t="s">
        <v>80</v>
      </c>
      <c r="F20" s="13" t="s">
        <v>80</v>
      </c>
      <c r="G20" s="13" t="s">
        <v>80</v>
      </c>
      <c r="H20" s="13" t="s">
        <v>80</v>
      </c>
      <c r="I20" s="13" t="s">
        <v>80</v>
      </c>
      <c r="J20" s="13">
        <v>626</v>
      </c>
      <c r="K20" s="13">
        <v>685</v>
      </c>
      <c r="L20" s="13" t="s">
        <v>80</v>
      </c>
      <c r="M20" s="13" t="s">
        <v>80</v>
      </c>
      <c r="N20" s="13" t="s">
        <v>80</v>
      </c>
      <c r="O20" s="13" t="s">
        <v>80</v>
      </c>
      <c r="P20" s="13" t="s">
        <v>80</v>
      </c>
      <c r="Q20" s="13" t="s">
        <v>80</v>
      </c>
      <c r="R20" s="13" t="s">
        <v>80</v>
      </c>
      <c r="S20" s="13" t="s">
        <v>80</v>
      </c>
      <c r="T20" s="13" t="s">
        <v>80</v>
      </c>
      <c r="U20" s="13" t="s">
        <v>80</v>
      </c>
      <c r="V20" s="13" t="s">
        <v>80</v>
      </c>
      <c r="W20" s="13" t="s">
        <v>80</v>
      </c>
    </row>
    <row r="21" spans="1:23" x14ac:dyDescent="0.25">
      <c r="A21" s="10" t="s">
        <v>403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10" t="s">
        <v>404</v>
      </c>
      <c r="B22" s="10" t="s">
        <v>405</v>
      </c>
      <c r="C22" s="13" t="s">
        <v>80</v>
      </c>
      <c r="D22" s="13" t="s">
        <v>80</v>
      </c>
      <c r="E22" s="13">
        <v>14432.235000000001</v>
      </c>
      <c r="F22" s="13" t="s">
        <v>80</v>
      </c>
      <c r="G22" s="13" t="s">
        <v>80</v>
      </c>
      <c r="H22" s="13" t="s">
        <v>80</v>
      </c>
      <c r="I22" s="13" t="s">
        <v>80</v>
      </c>
      <c r="J22" s="13">
        <v>10398</v>
      </c>
      <c r="K22" s="13">
        <v>13077</v>
      </c>
      <c r="L22" s="13" t="s">
        <v>80</v>
      </c>
      <c r="M22" s="13" t="s">
        <v>80</v>
      </c>
      <c r="N22" s="13" t="s">
        <v>80</v>
      </c>
      <c r="O22" s="13" t="s">
        <v>80</v>
      </c>
      <c r="P22" s="13" t="s">
        <v>80</v>
      </c>
      <c r="Q22" s="13" t="s">
        <v>80</v>
      </c>
      <c r="R22" s="13" t="s">
        <v>80</v>
      </c>
      <c r="S22" s="13" t="s">
        <v>80</v>
      </c>
      <c r="T22" s="13" t="s">
        <v>80</v>
      </c>
      <c r="U22" s="13" t="s">
        <v>80</v>
      </c>
      <c r="V22" s="13" t="s">
        <v>80</v>
      </c>
      <c r="W22" s="13" t="s">
        <v>80</v>
      </c>
    </row>
    <row r="23" spans="1:23" x14ac:dyDescent="0.25">
      <c r="A23" s="10" t="s">
        <v>406</v>
      </c>
      <c r="B23" s="10" t="s">
        <v>407</v>
      </c>
      <c r="C23" s="13" t="s">
        <v>80</v>
      </c>
      <c r="D23" s="13" t="s">
        <v>80</v>
      </c>
      <c r="E23" s="13" t="s">
        <v>80</v>
      </c>
      <c r="F23" s="13" t="s">
        <v>80</v>
      </c>
      <c r="G23" s="13">
        <v>17024</v>
      </c>
      <c r="H23" s="13">
        <v>17691</v>
      </c>
      <c r="I23" s="13">
        <v>23409</v>
      </c>
      <c r="J23" s="13">
        <v>4899</v>
      </c>
      <c r="K23" s="13">
        <v>4874</v>
      </c>
      <c r="L23" s="13">
        <v>29232</v>
      </c>
      <c r="M23" s="13">
        <v>29594</v>
      </c>
      <c r="N23" s="13">
        <v>31243</v>
      </c>
      <c r="O23" s="13">
        <v>34061</v>
      </c>
      <c r="P23" s="13">
        <v>37609</v>
      </c>
      <c r="Q23" s="13">
        <v>40678</v>
      </c>
      <c r="R23" s="13">
        <v>43013</v>
      </c>
      <c r="S23" s="13">
        <v>45940</v>
      </c>
      <c r="T23" s="13">
        <v>44772</v>
      </c>
      <c r="U23" s="13">
        <v>48582</v>
      </c>
      <c r="V23" s="13">
        <v>52255</v>
      </c>
      <c r="W23" s="13">
        <v>57779</v>
      </c>
    </row>
    <row r="24" spans="1:23" x14ac:dyDescent="0.25">
      <c r="A24" s="10" t="s">
        <v>408</v>
      </c>
      <c r="B24" s="10" t="s">
        <v>409</v>
      </c>
      <c r="C24" s="13" t="s">
        <v>80</v>
      </c>
      <c r="D24" s="13" t="s">
        <v>80</v>
      </c>
      <c r="E24" s="13" t="s">
        <v>80</v>
      </c>
      <c r="F24" s="13" t="s">
        <v>80</v>
      </c>
      <c r="G24" s="13" t="s">
        <v>80</v>
      </c>
      <c r="H24" s="13" t="s">
        <v>80</v>
      </c>
      <c r="I24" s="13" t="s">
        <v>80</v>
      </c>
      <c r="J24" s="13">
        <v>2954</v>
      </c>
      <c r="K24" s="13">
        <v>3219</v>
      </c>
      <c r="L24" s="13" t="s">
        <v>80</v>
      </c>
      <c r="M24" s="13" t="s">
        <v>80</v>
      </c>
      <c r="N24" s="13">
        <v>4689</v>
      </c>
      <c r="O24" s="13" t="s">
        <v>80</v>
      </c>
      <c r="P24" s="13" t="s">
        <v>80</v>
      </c>
      <c r="Q24" s="13" t="s">
        <v>80</v>
      </c>
      <c r="R24" s="13" t="s">
        <v>80</v>
      </c>
      <c r="S24" s="13" t="s">
        <v>80</v>
      </c>
      <c r="T24" s="13" t="s">
        <v>80</v>
      </c>
      <c r="U24" s="13" t="s">
        <v>80</v>
      </c>
      <c r="V24" s="13" t="s">
        <v>80</v>
      </c>
      <c r="W24" s="13" t="s">
        <v>80</v>
      </c>
    </row>
    <row r="25" spans="1:23" x14ac:dyDescent="0.25">
      <c r="A25" s="10" t="s">
        <v>410</v>
      </c>
      <c r="B25" s="10" t="s">
        <v>411</v>
      </c>
      <c r="C25" s="13" t="s">
        <v>80</v>
      </c>
      <c r="D25" s="13" t="s">
        <v>80</v>
      </c>
      <c r="E25" s="13" t="s">
        <v>80</v>
      </c>
      <c r="F25" s="13" t="s">
        <v>80</v>
      </c>
      <c r="G25" s="13" t="s">
        <v>80</v>
      </c>
      <c r="H25" s="13" t="s">
        <v>80</v>
      </c>
      <c r="I25" s="13" t="s">
        <v>80</v>
      </c>
      <c r="J25" s="13">
        <v>4877</v>
      </c>
      <c r="K25" s="13">
        <v>5436</v>
      </c>
      <c r="L25" s="13" t="s">
        <v>80</v>
      </c>
      <c r="M25" s="13" t="s">
        <v>80</v>
      </c>
      <c r="N25" s="13" t="s">
        <v>80</v>
      </c>
      <c r="O25" s="13" t="s">
        <v>80</v>
      </c>
      <c r="P25" s="13" t="s">
        <v>80</v>
      </c>
      <c r="Q25" s="13" t="s">
        <v>80</v>
      </c>
      <c r="R25" s="13" t="s">
        <v>80</v>
      </c>
      <c r="S25" s="13" t="s">
        <v>80</v>
      </c>
      <c r="T25" s="13">
        <v>4548</v>
      </c>
      <c r="U25" s="13">
        <v>3278</v>
      </c>
      <c r="V25" s="13">
        <v>3446</v>
      </c>
      <c r="W25" s="13">
        <v>2038</v>
      </c>
    </row>
    <row r="26" spans="1:23" x14ac:dyDescent="0.25">
      <c r="A26" s="10" t="s">
        <v>412</v>
      </c>
      <c r="B26" s="10" t="s">
        <v>413</v>
      </c>
      <c r="C26" s="13">
        <v>9948.6669999999995</v>
      </c>
      <c r="D26" s="13">
        <v>10507.049000000001</v>
      </c>
      <c r="E26" s="13" t="s">
        <v>80</v>
      </c>
      <c r="F26" s="13">
        <v>15807</v>
      </c>
      <c r="G26" s="13" t="s">
        <v>80</v>
      </c>
      <c r="H26" s="13" t="s">
        <v>80</v>
      </c>
      <c r="I26" s="13" t="s">
        <v>80</v>
      </c>
      <c r="J26" s="13" t="s">
        <v>80</v>
      </c>
      <c r="K26" s="13" t="s">
        <v>80</v>
      </c>
      <c r="L26" s="13" t="s">
        <v>80</v>
      </c>
      <c r="M26" s="13" t="s">
        <v>80</v>
      </c>
      <c r="N26" s="13" t="s">
        <v>80</v>
      </c>
      <c r="O26" s="13" t="s">
        <v>80</v>
      </c>
      <c r="P26" s="13" t="s">
        <v>80</v>
      </c>
      <c r="Q26" s="13" t="s">
        <v>80</v>
      </c>
      <c r="R26" s="13" t="s">
        <v>80</v>
      </c>
      <c r="S26" s="13" t="s">
        <v>80</v>
      </c>
      <c r="T26" s="13" t="s">
        <v>80</v>
      </c>
      <c r="U26" s="13" t="s">
        <v>80</v>
      </c>
      <c r="V26" s="13" t="s">
        <v>80</v>
      </c>
      <c r="W26" s="13" t="s">
        <v>80</v>
      </c>
    </row>
    <row r="27" spans="1:23" x14ac:dyDescent="0.25">
      <c r="A27" s="10" t="s">
        <v>414</v>
      </c>
      <c r="B27" s="10" t="s">
        <v>415</v>
      </c>
      <c r="C27" s="13" t="s">
        <v>80</v>
      </c>
      <c r="D27" s="13" t="s">
        <v>80</v>
      </c>
      <c r="E27" s="13" t="s">
        <v>80</v>
      </c>
      <c r="F27" s="13" t="s">
        <v>80</v>
      </c>
      <c r="G27" s="13" t="s">
        <v>80</v>
      </c>
      <c r="H27" s="13" t="s">
        <v>80</v>
      </c>
      <c r="I27" s="13" t="s">
        <v>80</v>
      </c>
      <c r="J27" s="13">
        <v>1826</v>
      </c>
      <c r="K27" s="13">
        <v>1726</v>
      </c>
      <c r="L27" s="13" t="s">
        <v>80</v>
      </c>
      <c r="M27" s="13" t="s">
        <v>80</v>
      </c>
      <c r="N27" s="13" t="s">
        <v>80</v>
      </c>
      <c r="O27" s="13" t="s">
        <v>80</v>
      </c>
      <c r="P27" s="13" t="s">
        <v>80</v>
      </c>
      <c r="Q27" s="13" t="s">
        <v>80</v>
      </c>
      <c r="R27" s="13" t="s">
        <v>80</v>
      </c>
      <c r="S27" s="13" t="s">
        <v>80</v>
      </c>
      <c r="T27" s="13" t="s">
        <v>80</v>
      </c>
      <c r="U27" s="13" t="s">
        <v>80</v>
      </c>
      <c r="V27" s="13" t="s">
        <v>80</v>
      </c>
      <c r="W27" s="13" t="s">
        <v>80</v>
      </c>
    </row>
    <row r="28" spans="1:23" x14ac:dyDescent="0.25">
      <c r="A28" s="10" t="s">
        <v>416</v>
      </c>
      <c r="B28" s="10" t="s">
        <v>417</v>
      </c>
      <c r="C28" s="13">
        <v>1142.615</v>
      </c>
      <c r="D28" s="13">
        <v>814.76199999999994</v>
      </c>
      <c r="E28" s="13" t="s">
        <v>80</v>
      </c>
      <c r="F28" s="13">
        <v>1208</v>
      </c>
      <c r="G28" s="13">
        <v>1338</v>
      </c>
      <c r="H28" s="13">
        <v>1548</v>
      </c>
      <c r="I28" s="13">
        <v>2879</v>
      </c>
      <c r="J28" s="13">
        <v>3766</v>
      </c>
      <c r="K28" s="13">
        <v>4294</v>
      </c>
      <c r="L28" s="13">
        <v>4267</v>
      </c>
      <c r="M28" s="13">
        <v>4847</v>
      </c>
      <c r="N28" s="13">
        <v>6056</v>
      </c>
      <c r="O28" s="13">
        <v>7558</v>
      </c>
      <c r="P28" s="13">
        <v>9526</v>
      </c>
      <c r="Q28" s="13">
        <v>10052</v>
      </c>
      <c r="R28" s="13">
        <v>10784</v>
      </c>
      <c r="S28" s="13">
        <v>13627</v>
      </c>
      <c r="T28" s="13">
        <v>15305</v>
      </c>
      <c r="U28" s="13">
        <v>18119</v>
      </c>
      <c r="V28" s="13">
        <v>20851</v>
      </c>
      <c r="W28" s="13">
        <v>20465</v>
      </c>
    </row>
    <row r="29" spans="1:23" x14ac:dyDescent="0.25">
      <c r="A29" s="10" t="s">
        <v>418</v>
      </c>
      <c r="B29" s="10" t="s">
        <v>419</v>
      </c>
      <c r="C29" s="13">
        <v>1923.3779999999999</v>
      </c>
      <c r="D29" s="13">
        <v>2521.7069999999999</v>
      </c>
      <c r="E29" s="13">
        <v>8204.9519999999993</v>
      </c>
      <c r="F29" s="13">
        <v>8291</v>
      </c>
      <c r="G29" s="13">
        <v>7050</v>
      </c>
      <c r="H29" s="13">
        <v>9266</v>
      </c>
      <c r="I29" s="13">
        <v>13162</v>
      </c>
      <c r="J29" s="13">
        <v>15613</v>
      </c>
      <c r="K29" s="13">
        <v>16704</v>
      </c>
      <c r="L29" s="13">
        <v>19901</v>
      </c>
      <c r="M29" s="13">
        <v>21905</v>
      </c>
      <c r="N29" s="13">
        <v>24965</v>
      </c>
      <c r="O29" s="13">
        <v>31944</v>
      </c>
      <c r="P29" s="13">
        <v>42665</v>
      </c>
      <c r="Q29" s="13">
        <v>48116</v>
      </c>
      <c r="R29" s="13">
        <v>38943</v>
      </c>
      <c r="S29" s="13">
        <v>43822</v>
      </c>
      <c r="T29" s="13">
        <v>61022</v>
      </c>
      <c r="U29" s="13">
        <v>69561</v>
      </c>
      <c r="V29" s="13">
        <v>75843</v>
      </c>
      <c r="W29" s="13">
        <v>81894</v>
      </c>
    </row>
    <row r="30" spans="1:23" x14ac:dyDescent="0.25">
      <c r="A30" s="10" t="s">
        <v>420</v>
      </c>
      <c r="B30" s="10" t="s">
        <v>421</v>
      </c>
      <c r="C30" s="13" t="s">
        <v>80</v>
      </c>
      <c r="D30" s="13" t="s">
        <v>80</v>
      </c>
      <c r="E30" s="13" t="s">
        <v>80</v>
      </c>
      <c r="F30" s="13" t="s">
        <v>80</v>
      </c>
      <c r="G30" s="13" t="s">
        <v>80</v>
      </c>
      <c r="H30" s="13" t="s">
        <v>80</v>
      </c>
      <c r="I30" s="13">
        <v>15408</v>
      </c>
      <c r="J30" s="13">
        <v>16765</v>
      </c>
      <c r="K30" s="13">
        <v>18824</v>
      </c>
      <c r="L30" s="13">
        <v>19314</v>
      </c>
      <c r="M30" s="13">
        <v>18158</v>
      </c>
      <c r="N30" s="13">
        <v>21131</v>
      </c>
      <c r="O30" s="13">
        <v>27551</v>
      </c>
      <c r="P30" s="13">
        <v>31071</v>
      </c>
      <c r="Q30" s="13">
        <v>33781</v>
      </c>
      <c r="R30" s="13">
        <v>39713</v>
      </c>
      <c r="S30" s="13">
        <v>59482</v>
      </c>
      <c r="T30" s="13">
        <v>57494</v>
      </c>
      <c r="U30" s="13">
        <v>59245</v>
      </c>
      <c r="V30" s="13">
        <v>68714</v>
      </c>
      <c r="W30" s="13">
        <v>81542</v>
      </c>
    </row>
    <row r="31" spans="1:23" x14ac:dyDescent="0.25">
      <c r="A31" s="10" t="s">
        <v>422</v>
      </c>
      <c r="B31" s="10" t="s">
        <v>423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>
        <v>2907</v>
      </c>
      <c r="K31" s="13">
        <v>2767</v>
      </c>
      <c r="L31" s="13" t="s">
        <v>80</v>
      </c>
      <c r="M31" s="13" t="s">
        <v>80</v>
      </c>
      <c r="N31" s="13" t="s">
        <v>80</v>
      </c>
      <c r="O31" s="13" t="s">
        <v>80</v>
      </c>
      <c r="P31" s="13" t="s">
        <v>80</v>
      </c>
      <c r="Q31" s="13" t="s">
        <v>80</v>
      </c>
      <c r="R31" s="13" t="s">
        <v>80</v>
      </c>
      <c r="S31" s="13" t="s">
        <v>80</v>
      </c>
      <c r="T31" s="13" t="s">
        <v>80</v>
      </c>
      <c r="U31" s="13" t="s">
        <v>80</v>
      </c>
      <c r="V31" s="13" t="s">
        <v>80</v>
      </c>
      <c r="W31" s="13" t="s">
        <v>80</v>
      </c>
    </row>
    <row r="32" spans="1:23" x14ac:dyDescent="0.25">
      <c r="A32" s="10" t="s">
        <v>424</v>
      </c>
      <c r="B32" s="10" t="s">
        <v>425</v>
      </c>
      <c r="C32" s="13">
        <v>823.74599999999998</v>
      </c>
      <c r="D32" s="13">
        <v>808.91600000000005</v>
      </c>
      <c r="E32" s="13">
        <v>2645.4769999999999</v>
      </c>
      <c r="F32" s="13">
        <v>6896</v>
      </c>
      <c r="G32" s="13">
        <v>8286</v>
      </c>
      <c r="H32" s="13">
        <v>6889</v>
      </c>
      <c r="I32" s="13">
        <v>5438</v>
      </c>
      <c r="J32" s="13">
        <v>6172</v>
      </c>
      <c r="K32" s="13">
        <v>8942</v>
      </c>
      <c r="L32" s="13">
        <v>11196</v>
      </c>
      <c r="M32" s="13">
        <v>10687</v>
      </c>
      <c r="N32" s="13">
        <v>13313</v>
      </c>
      <c r="O32" s="13">
        <v>15213</v>
      </c>
      <c r="P32" s="13">
        <v>16079</v>
      </c>
      <c r="Q32" s="13">
        <v>15347</v>
      </c>
      <c r="R32" s="13">
        <v>21930</v>
      </c>
      <c r="S32" s="13">
        <v>11351</v>
      </c>
      <c r="T32" s="13">
        <v>11881</v>
      </c>
      <c r="U32" s="13">
        <v>15942</v>
      </c>
      <c r="V32" s="13">
        <v>18122</v>
      </c>
      <c r="W32" s="13">
        <v>21589</v>
      </c>
    </row>
    <row r="33" spans="1:23" x14ac:dyDescent="0.25">
      <c r="A33" s="10" t="s">
        <v>426</v>
      </c>
      <c r="B33" s="10" t="s">
        <v>427</v>
      </c>
      <c r="C33" s="13" t="s">
        <v>80</v>
      </c>
      <c r="D33" s="13" t="s">
        <v>80</v>
      </c>
      <c r="E33" s="13" t="s">
        <v>80</v>
      </c>
      <c r="F33" s="13" t="s">
        <v>80</v>
      </c>
      <c r="G33" s="13" t="s">
        <v>80</v>
      </c>
      <c r="H33" s="13" t="s">
        <v>80</v>
      </c>
      <c r="I33" s="13" t="s">
        <v>80</v>
      </c>
      <c r="J33" s="13" t="s">
        <v>80</v>
      </c>
      <c r="K33" s="13" t="s">
        <v>80</v>
      </c>
      <c r="L33" s="13" t="s">
        <v>80</v>
      </c>
      <c r="M33" s="13" t="s">
        <v>80</v>
      </c>
      <c r="N33" s="13">
        <v>-4689</v>
      </c>
      <c r="O33" s="13" t="s">
        <v>80</v>
      </c>
      <c r="P33" s="13" t="s">
        <v>80</v>
      </c>
      <c r="Q33" s="13" t="s">
        <v>80</v>
      </c>
      <c r="R33" s="13" t="s">
        <v>80</v>
      </c>
      <c r="S33" s="13" t="s">
        <v>80</v>
      </c>
      <c r="T33" s="13" t="s">
        <v>80</v>
      </c>
      <c r="U33" s="13" t="s">
        <v>80</v>
      </c>
      <c r="V33" s="13" t="s">
        <v>80</v>
      </c>
      <c r="W33" s="13" t="s">
        <v>80</v>
      </c>
    </row>
    <row r="34" spans="1:23" x14ac:dyDescent="0.25">
      <c r="A34" s="10" t="s">
        <v>428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0" t="s">
        <v>429</v>
      </c>
      <c r="B35" s="10" t="s">
        <v>430</v>
      </c>
      <c r="C35" s="13">
        <v>-165.44399999999999</v>
      </c>
      <c r="D35" s="13">
        <v>-200.67099999999999</v>
      </c>
      <c r="E35" s="13" t="s">
        <v>80</v>
      </c>
      <c r="F35" s="13">
        <v>-276</v>
      </c>
      <c r="G35" s="13" t="s">
        <v>80</v>
      </c>
      <c r="H35" s="13" t="s">
        <v>80</v>
      </c>
      <c r="I35" s="13">
        <v>41</v>
      </c>
      <c r="J35" s="13">
        <v>-590</v>
      </c>
      <c r="K35" s="13">
        <v>-1130</v>
      </c>
      <c r="L35" s="13">
        <v>-1220</v>
      </c>
      <c r="M35" s="13">
        <v>-1201</v>
      </c>
      <c r="N35" s="13">
        <v>-1246</v>
      </c>
      <c r="O35" s="13">
        <v>-1264</v>
      </c>
      <c r="P35" s="13">
        <v>-1385</v>
      </c>
      <c r="Q35" s="13">
        <v>-1716</v>
      </c>
      <c r="R35" s="13">
        <v>-2003</v>
      </c>
      <c r="S35" s="13">
        <v>-2273</v>
      </c>
      <c r="T35" s="13">
        <v>-966</v>
      </c>
      <c r="U35" s="13">
        <v>-1413</v>
      </c>
      <c r="V35" s="13">
        <v>-1713</v>
      </c>
      <c r="W35" s="13">
        <v>-1724</v>
      </c>
    </row>
    <row r="36" spans="1:23" x14ac:dyDescent="0.25">
      <c r="A36" s="10" t="s">
        <v>431</v>
      </c>
      <c r="B36" s="10" t="s">
        <v>432</v>
      </c>
      <c r="C36" s="13">
        <v>-2439.4769999999999</v>
      </c>
      <c r="D36" s="13">
        <v>-2550.7350000000001</v>
      </c>
      <c r="E36" s="13">
        <v>-2224.1060000000002</v>
      </c>
      <c r="F36" s="13">
        <v>-2220</v>
      </c>
      <c r="G36" s="13">
        <v>-2438</v>
      </c>
      <c r="H36" s="13">
        <v>-1879</v>
      </c>
      <c r="I36" s="13" t="s">
        <v>80</v>
      </c>
      <c r="J36" s="13" t="s">
        <v>80</v>
      </c>
      <c r="K36" s="13" t="s">
        <v>80</v>
      </c>
      <c r="L36" s="13" t="s">
        <v>80</v>
      </c>
      <c r="M36" s="13" t="s">
        <v>80</v>
      </c>
      <c r="N36" s="13" t="s">
        <v>80</v>
      </c>
      <c r="O36" s="13" t="s">
        <v>80</v>
      </c>
      <c r="P36" s="13" t="s">
        <v>80</v>
      </c>
      <c r="Q36" s="13" t="s">
        <v>80</v>
      </c>
      <c r="R36" s="13" t="s">
        <v>80</v>
      </c>
      <c r="S36" s="13" t="s">
        <v>80</v>
      </c>
      <c r="T36" s="13" t="s">
        <v>80</v>
      </c>
      <c r="U36" s="13" t="s">
        <v>80</v>
      </c>
      <c r="V36" s="13" t="s">
        <v>80</v>
      </c>
      <c r="W36" s="13" t="s">
        <v>80</v>
      </c>
    </row>
    <row r="37" spans="1:23" x14ac:dyDescent="0.25">
      <c r="A37" s="10" t="s">
        <v>433</v>
      </c>
      <c r="B37" s="10" t="s">
        <v>434</v>
      </c>
      <c r="C37" s="13">
        <v>2397.7429999999999</v>
      </c>
      <c r="D37" s="13">
        <v>2666.6379999999999</v>
      </c>
      <c r="E37" s="13" t="s">
        <v>80</v>
      </c>
      <c r="F37" s="13" t="s">
        <v>80</v>
      </c>
      <c r="G37" s="13">
        <v>1566</v>
      </c>
      <c r="H37" s="13">
        <v>1298</v>
      </c>
      <c r="I37" s="13" t="s">
        <v>80</v>
      </c>
      <c r="J37" s="13" t="s">
        <v>80</v>
      </c>
      <c r="K37" s="13" t="s">
        <v>80</v>
      </c>
      <c r="L37" s="13" t="s">
        <v>80</v>
      </c>
      <c r="M37" s="13" t="s">
        <v>80</v>
      </c>
      <c r="N37" s="13" t="s">
        <v>80</v>
      </c>
      <c r="O37" s="13" t="s">
        <v>80</v>
      </c>
      <c r="P37" s="13" t="s">
        <v>80</v>
      </c>
      <c r="Q37" s="13" t="s">
        <v>80</v>
      </c>
      <c r="R37" s="13" t="s">
        <v>80</v>
      </c>
      <c r="S37" s="13" t="s">
        <v>80</v>
      </c>
      <c r="T37" s="13" t="s">
        <v>80</v>
      </c>
      <c r="U37" s="13" t="s">
        <v>80</v>
      </c>
      <c r="V37" s="13" t="s">
        <v>80</v>
      </c>
      <c r="W37" s="13" t="s">
        <v>80</v>
      </c>
    </row>
    <row r="38" spans="1:23" x14ac:dyDescent="0.25">
      <c r="A38" s="10" t="s">
        <v>435</v>
      </c>
      <c r="B38" s="10" t="s">
        <v>436</v>
      </c>
      <c r="C38" s="13">
        <v>348.428</v>
      </c>
      <c r="D38" s="13">
        <v>243.79900000000001</v>
      </c>
      <c r="E38" s="13" t="s">
        <v>80</v>
      </c>
      <c r="F38" s="13">
        <v>3400</v>
      </c>
      <c r="G38" s="13">
        <v>2045</v>
      </c>
      <c r="H38" s="13">
        <v>2805</v>
      </c>
      <c r="I38" s="13">
        <v>3552</v>
      </c>
      <c r="J38" s="13" t="s">
        <v>80</v>
      </c>
      <c r="K38" s="13">
        <v>3555</v>
      </c>
      <c r="L38" s="13">
        <v>5668</v>
      </c>
      <c r="M38" s="13">
        <v>5991</v>
      </c>
      <c r="N38" s="13">
        <v>6878</v>
      </c>
      <c r="O38" s="13">
        <v>9048</v>
      </c>
      <c r="P38" s="13">
        <v>11636</v>
      </c>
      <c r="Q38" s="13">
        <v>12795</v>
      </c>
      <c r="R38" s="13">
        <v>10049</v>
      </c>
      <c r="S38" s="13">
        <v>10556</v>
      </c>
      <c r="T38" s="13">
        <v>15963</v>
      </c>
      <c r="U38" s="13">
        <v>17832</v>
      </c>
      <c r="V38" s="13">
        <v>19532</v>
      </c>
      <c r="W38" s="13">
        <v>21772</v>
      </c>
    </row>
    <row r="39" spans="1:23" x14ac:dyDescent="0.25">
      <c r="A39" s="10" t="s">
        <v>437</v>
      </c>
      <c r="B39" s="10" t="s">
        <v>438</v>
      </c>
      <c r="C39" s="13">
        <v>1965.1120000000001</v>
      </c>
      <c r="D39" s="13">
        <v>2405.8040000000001</v>
      </c>
      <c r="E39" s="13" t="s">
        <v>80</v>
      </c>
      <c r="F39" s="13">
        <v>10511</v>
      </c>
      <c r="G39" s="13">
        <v>7922</v>
      </c>
      <c r="H39" s="13">
        <v>9847</v>
      </c>
      <c r="I39" s="13">
        <v>13121</v>
      </c>
      <c r="J39" s="13">
        <v>16203</v>
      </c>
      <c r="K39" s="13">
        <v>17834</v>
      </c>
      <c r="L39" s="13">
        <v>21121</v>
      </c>
      <c r="M39" s="13">
        <v>23106</v>
      </c>
      <c r="N39" s="13">
        <v>26211</v>
      </c>
      <c r="O39" s="13">
        <v>33208</v>
      </c>
      <c r="P39" s="13">
        <v>44050</v>
      </c>
      <c r="Q39" s="13">
        <v>49832</v>
      </c>
      <c r="R39" s="13">
        <v>40946</v>
      </c>
      <c r="S39" s="13">
        <v>46095</v>
      </c>
      <c r="T39" s="13">
        <v>61988</v>
      </c>
      <c r="U39" s="13">
        <v>70974</v>
      </c>
      <c r="V39" s="13">
        <v>77556</v>
      </c>
      <c r="W39" s="13">
        <v>83618</v>
      </c>
    </row>
    <row r="40" spans="1:23" x14ac:dyDescent="0.25">
      <c r="A40" s="10" t="s">
        <v>439</v>
      </c>
      <c r="B40" s="10" t="s">
        <v>440</v>
      </c>
      <c r="C40" s="13">
        <v>341.26</v>
      </c>
      <c r="D40" s="13">
        <v>343.29599999999999</v>
      </c>
      <c r="E40" s="13">
        <v>3780.076</v>
      </c>
      <c r="F40" s="13">
        <v>3645</v>
      </c>
      <c r="G40" s="13">
        <v>2581</v>
      </c>
      <c r="H40" s="13">
        <v>2735</v>
      </c>
      <c r="I40" s="13">
        <v>2619</v>
      </c>
      <c r="J40" s="13">
        <v>3653</v>
      </c>
      <c r="K40" s="13">
        <v>3671</v>
      </c>
      <c r="L40" s="13">
        <v>8040</v>
      </c>
      <c r="M40" s="13">
        <v>5605</v>
      </c>
      <c r="N40" s="13">
        <v>7056</v>
      </c>
      <c r="O40" s="13">
        <v>8469</v>
      </c>
      <c r="P40" s="13">
        <v>10768</v>
      </c>
      <c r="Q40" s="13">
        <v>10524</v>
      </c>
      <c r="R40" s="13">
        <v>9247</v>
      </c>
      <c r="S40" s="13">
        <v>7174</v>
      </c>
      <c r="T40" s="13" t="s">
        <v>80</v>
      </c>
      <c r="U40" s="13" t="s">
        <v>80</v>
      </c>
      <c r="V40" s="13" t="s">
        <v>80</v>
      </c>
      <c r="W40" s="13" t="s">
        <v>80</v>
      </c>
    </row>
    <row r="41" spans="1:23" x14ac:dyDescent="0.25">
      <c r="A41" s="10" t="s">
        <v>441</v>
      </c>
      <c r="B41" s="10" t="s">
        <v>442</v>
      </c>
      <c r="C41" s="13">
        <v>7.1680000000000001</v>
      </c>
      <c r="D41" s="13">
        <v>-99.497</v>
      </c>
      <c r="E41" s="13">
        <v>-487.28800000000001</v>
      </c>
      <c r="F41" s="13">
        <v>-245</v>
      </c>
      <c r="G41" s="13">
        <v>-536</v>
      </c>
      <c r="H41" s="13">
        <v>70</v>
      </c>
      <c r="I41" s="13">
        <v>933</v>
      </c>
      <c r="J41" s="13">
        <v>475</v>
      </c>
      <c r="K41" s="13">
        <v>-116</v>
      </c>
      <c r="L41" s="13">
        <v>-2372</v>
      </c>
      <c r="M41" s="13">
        <v>386</v>
      </c>
      <c r="N41" s="13">
        <v>-178</v>
      </c>
      <c r="O41" s="13">
        <v>579</v>
      </c>
      <c r="P41" s="13">
        <v>868</v>
      </c>
      <c r="Q41" s="13">
        <v>2271</v>
      </c>
      <c r="R41" s="13">
        <v>802</v>
      </c>
      <c r="S41" s="13">
        <v>3382</v>
      </c>
      <c r="T41" s="13" t="s">
        <v>80</v>
      </c>
      <c r="U41" s="13" t="s">
        <v>80</v>
      </c>
      <c r="V41" s="13" t="s">
        <v>80</v>
      </c>
      <c r="W41" s="13" t="s">
        <v>80</v>
      </c>
    </row>
    <row r="42" spans="1:23" x14ac:dyDescent="0.25">
      <c r="A42" s="10" t="s">
        <v>443</v>
      </c>
      <c r="B42" s="10" t="s">
        <v>444</v>
      </c>
      <c r="C42" s="13">
        <v>2192.9650000000001</v>
      </c>
      <c r="D42" s="13">
        <v>2363.3690000000001</v>
      </c>
      <c r="E42" s="13" t="s">
        <v>80</v>
      </c>
      <c r="F42" s="13">
        <v>7387</v>
      </c>
      <c r="G42" s="13">
        <v>6190</v>
      </c>
      <c r="H42" s="13">
        <v>7362</v>
      </c>
      <c r="I42" s="13">
        <v>9569</v>
      </c>
      <c r="J42" s="13" t="s">
        <v>80</v>
      </c>
      <c r="K42" s="13" t="s">
        <v>80</v>
      </c>
      <c r="L42" s="13">
        <v>15453</v>
      </c>
      <c r="M42" s="13">
        <v>17115</v>
      </c>
      <c r="N42" s="13">
        <v>19333</v>
      </c>
      <c r="O42" s="13">
        <v>24160</v>
      </c>
      <c r="P42" s="13">
        <v>32414</v>
      </c>
      <c r="Q42" s="13">
        <v>37037</v>
      </c>
      <c r="R42" s="13">
        <v>30897</v>
      </c>
      <c r="S42" s="13">
        <v>35539</v>
      </c>
      <c r="T42" s="13">
        <v>46025</v>
      </c>
      <c r="U42" s="13">
        <v>53142</v>
      </c>
      <c r="V42" s="13">
        <v>58024</v>
      </c>
      <c r="W42" s="13">
        <v>61846</v>
      </c>
    </row>
    <row r="43" spans="1:23" x14ac:dyDescent="0.25">
      <c r="A43" s="10" t="s">
        <v>445</v>
      </c>
      <c r="B43" s="10" t="s">
        <v>446</v>
      </c>
      <c r="C43" s="13" t="s">
        <v>80</v>
      </c>
      <c r="D43" s="13" t="s">
        <v>80</v>
      </c>
      <c r="E43" s="13" t="s">
        <v>80</v>
      </c>
      <c r="F43" s="13" t="s">
        <v>80</v>
      </c>
      <c r="G43" s="13">
        <v>-313</v>
      </c>
      <c r="H43" s="13">
        <v>-320</v>
      </c>
      <c r="I43" s="13" t="s">
        <v>80</v>
      </c>
      <c r="J43" s="13" t="s">
        <v>80</v>
      </c>
      <c r="K43" s="13" t="s">
        <v>80</v>
      </c>
      <c r="L43" s="13" t="s">
        <v>80</v>
      </c>
      <c r="M43" s="13" t="s">
        <v>80</v>
      </c>
      <c r="N43" s="13" t="s">
        <v>80</v>
      </c>
      <c r="O43" s="13" t="s">
        <v>80</v>
      </c>
      <c r="P43" s="13" t="s">
        <v>80</v>
      </c>
      <c r="Q43" s="13" t="s">
        <v>80</v>
      </c>
      <c r="R43" s="13" t="s">
        <v>80</v>
      </c>
      <c r="S43" s="13" t="s">
        <v>80</v>
      </c>
      <c r="T43" s="13" t="s">
        <v>80</v>
      </c>
      <c r="U43" s="13" t="s">
        <v>80</v>
      </c>
      <c r="V43" s="13" t="s">
        <v>80</v>
      </c>
      <c r="W43" s="13" t="s">
        <v>80</v>
      </c>
    </row>
    <row r="44" spans="1:23" x14ac:dyDescent="0.25">
      <c r="A44" s="10" t="s">
        <v>447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25">
      <c r="A45" s="10" t="s">
        <v>448</v>
      </c>
      <c r="B45" s="10" t="s">
        <v>449</v>
      </c>
      <c r="C45" s="13">
        <v>-410.83699999999999</v>
      </c>
      <c r="D45" s="13">
        <v>-0.69299999999999995</v>
      </c>
      <c r="E45" s="13">
        <v>326.005</v>
      </c>
      <c r="F45" s="13" t="s">
        <v>80</v>
      </c>
      <c r="G45" s="13" t="s">
        <v>80</v>
      </c>
      <c r="H45" s="13" t="s">
        <v>80</v>
      </c>
      <c r="I45" s="13" t="s">
        <v>80</v>
      </c>
      <c r="J45" s="13">
        <v>0</v>
      </c>
      <c r="K45" s="13">
        <v>0</v>
      </c>
      <c r="L45" s="13" t="s">
        <v>80</v>
      </c>
      <c r="M45" s="13">
        <v>-233</v>
      </c>
      <c r="N45" s="13">
        <v>-243</v>
      </c>
      <c r="O45" s="13">
        <v>-89</v>
      </c>
      <c r="P45" s="13">
        <v>0</v>
      </c>
      <c r="Q45" s="13" t="s">
        <v>80</v>
      </c>
      <c r="R45" s="13" t="s">
        <v>80</v>
      </c>
      <c r="S45" s="13">
        <v>0</v>
      </c>
      <c r="T45" s="13" t="s">
        <v>80</v>
      </c>
      <c r="U45" s="13" t="s">
        <v>80</v>
      </c>
      <c r="V45" s="13">
        <v>1023</v>
      </c>
      <c r="W45" s="13">
        <v>2187</v>
      </c>
    </row>
    <row r="46" spans="1:23" x14ac:dyDescent="0.25">
      <c r="A46" s="10" t="s">
        <v>450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10" t="s">
        <v>451</v>
      </c>
      <c r="B47" s="10" t="s">
        <v>452</v>
      </c>
      <c r="C47" s="13">
        <v>177.102</v>
      </c>
      <c r="D47" s="13">
        <v>144.87899999999999</v>
      </c>
      <c r="E47" s="13" t="s">
        <v>80</v>
      </c>
      <c r="F47" s="13">
        <v>373</v>
      </c>
      <c r="G47" s="13">
        <v>336</v>
      </c>
      <c r="H47" s="13">
        <v>657</v>
      </c>
      <c r="I47" s="13">
        <v>1052</v>
      </c>
      <c r="J47" s="13">
        <v>1187</v>
      </c>
      <c r="K47" s="13">
        <v>771</v>
      </c>
      <c r="L47" s="13">
        <v>225</v>
      </c>
      <c r="M47" s="13">
        <v>240</v>
      </c>
      <c r="N47" s="13">
        <v>268</v>
      </c>
      <c r="O47" s="13">
        <v>341</v>
      </c>
      <c r="P47" s="13">
        <v>456</v>
      </c>
      <c r="Q47" s="13">
        <v>509</v>
      </c>
      <c r="R47" s="13">
        <v>389</v>
      </c>
      <c r="S47" s="13">
        <v>491</v>
      </c>
      <c r="T47" s="13">
        <v>617</v>
      </c>
      <c r="U47" s="13">
        <v>724</v>
      </c>
      <c r="V47" s="13">
        <v>813</v>
      </c>
      <c r="W47" s="13">
        <v>871</v>
      </c>
    </row>
    <row r="48" spans="1:23" x14ac:dyDescent="0.25">
      <c r="A48" s="10" t="s">
        <v>453</v>
      </c>
      <c r="B48" s="10" t="s">
        <v>454</v>
      </c>
      <c r="C48" s="14" t="s">
        <v>80</v>
      </c>
      <c r="D48" s="14" t="s">
        <v>80</v>
      </c>
      <c r="E48" s="14" t="s">
        <v>80</v>
      </c>
      <c r="F48" s="14">
        <v>0.18</v>
      </c>
      <c r="G48" s="14" t="s">
        <v>80</v>
      </c>
      <c r="H48" s="14" t="s">
        <v>80</v>
      </c>
      <c r="I48" s="14" t="s">
        <v>80</v>
      </c>
      <c r="J48" s="14" t="s">
        <v>80</v>
      </c>
      <c r="K48" s="14" t="s">
        <v>80</v>
      </c>
      <c r="L48" s="14" t="s">
        <v>80</v>
      </c>
      <c r="M48" s="14" t="s">
        <v>80</v>
      </c>
      <c r="N48" s="14" t="s">
        <v>80</v>
      </c>
      <c r="O48" s="14" t="s">
        <v>80</v>
      </c>
      <c r="P48" s="14" t="s">
        <v>80</v>
      </c>
      <c r="Q48" s="14" t="s">
        <v>80</v>
      </c>
      <c r="R48" s="14" t="s">
        <v>80</v>
      </c>
      <c r="S48" s="14" t="s">
        <v>80</v>
      </c>
      <c r="T48" s="14" t="s">
        <v>80</v>
      </c>
      <c r="U48" s="14" t="s">
        <v>80</v>
      </c>
      <c r="V48" s="14" t="s">
        <v>80</v>
      </c>
      <c r="W48" s="14" t="s">
        <v>80</v>
      </c>
    </row>
    <row r="49" spans="1:23" x14ac:dyDescent="0.25">
      <c r="A49" s="10" t="s">
        <v>455</v>
      </c>
      <c r="B49" s="10" t="s">
        <v>456</v>
      </c>
      <c r="C49" s="14" t="s">
        <v>80</v>
      </c>
      <c r="D49" s="14" t="s">
        <v>80</v>
      </c>
      <c r="E49" s="14" t="s">
        <v>80</v>
      </c>
      <c r="F49" s="14" t="s">
        <v>80</v>
      </c>
      <c r="G49" s="14" t="s">
        <v>80</v>
      </c>
      <c r="H49" s="14" t="s">
        <v>80</v>
      </c>
      <c r="I49" s="14" t="s">
        <v>80</v>
      </c>
      <c r="J49" s="14" t="s">
        <v>80</v>
      </c>
      <c r="K49" s="14" t="s">
        <v>80</v>
      </c>
      <c r="L49" s="14" t="s">
        <v>80</v>
      </c>
      <c r="M49" s="14" t="s">
        <v>80</v>
      </c>
      <c r="N49" s="14" t="s">
        <v>80</v>
      </c>
      <c r="O49" s="14" t="s">
        <v>80</v>
      </c>
      <c r="P49" s="14" t="s">
        <v>80</v>
      </c>
      <c r="Q49" s="14" t="s">
        <v>80</v>
      </c>
      <c r="R49" s="14" t="s">
        <v>80</v>
      </c>
      <c r="S49" s="14" t="s">
        <v>80</v>
      </c>
      <c r="T49" s="14" t="s">
        <v>80</v>
      </c>
      <c r="U49" s="14" t="s">
        <v>80</v>
      </c>
      <c r="V49" s="14">
        <v>19.72</v>
      </c>
      <c r="W49" s="14">
        <v>20.786999999999999</v>
      </c>
    </row>
    <row r="50" spans="1:23" x14ac:dyDescent="0.25">
      <c r="A50" s="10" t="s">
        <v>457</v>
      </c>
      <c r="B50" s="10" t="s">
        <v>458</v>
      </c>
      <c r="C50" s="13" t="s">
        <v>80</v>
      </c>
      <c r="D50" s="13" t="s">
        <v>80</v>
      </c>
      <c r="E50" s="13" t="s">
        <v>80</v>
      </c>
      <c r="F50" s="13" t="s">
        <v>80</v>
      </c>
      <c r="G50" s="13" t="s">
        <v>80</v>
      </c>
      <c r="H50" s="13" t="s">
        <v>80</v>
      </c>
      <c r="I50" s="13" t="s">
        <v>80</v>
      </c>
      <c r="J50" s="13" t="s">
        <v>80</v>
      </c>
      <c r="K50" s="13" t="s">
        <v>80</v>
      </c>
      <c r="L50" s="13" t="s">
        <v>80</v>
      </c>
      <c r="M50" s="13" t="s">
        <v>80</v>
      </c>
      <c r="N50" s="13" t="s">
        <v>80</v>
      </c>
      <c r="O50" s="13">
        <v>2749.03</v>
      </c>
      <c r="P50" s="13" t="s">
        <v>80</v>
      </c>
      <c r="Q50" s="13" t="s">
        <v>80</v>
      </c>
      <c r="R50" s="13" t="s">
        <v>80</v>
      </c>
      <c r="S50" s="13" t="s">
        <v>80</v>
      </c>
      <c r="T50" s="13">
        <v>2856.6812</v>
      </c>
      <c r="U50" s="13">
        <v>2883.4566</v>
      </c>
      <c r="V50" s="13" t="s">
        <v>80</v>
      </c>
      <c r="W50" s="13" t="s">
        <v>80</v>
      </c>
    </row>
    <row r="51" spans="1:23" x14ac:dyDescent="0.25">
      <c r="A51" s="10" t="s">
        <v>459</v>
      </c>
      <c r="B51" s="10" t="s">
        <v>460</v>
      </c>
      <c r="C51" s="13" t="s">
        <v>80</v>
      </c>
      <c r="D51" s="13" t="s">
        <v>80</v>
      </c>
      <c r="E51" s="13" t="s">
        <v>80</v>
      </c>
      <c r="F51" s="13" t="s">
        <v>80</v>
      </c>
      <c r="G51" s="13" t="s">
        <v>80</v>
      </c>
      <c r="H51" s="13" t="s">
        <v>80</v>
      </c>
      <c r="I51" s="13" t="s">
        <v>80</v>
      </c>
      <c r="J51" s="13" t="s">
        <v>80</v>
      </c>
      <c r="K51" s="13" t="s">
        <v>80</v>
      </c>
      <c r="L51" s="13" t="s">
        <v>80</v>
      </c>
      <c r="M51" s="13" t="s">
        <v>80</v>
      </c>
      <c r="N51" s="13" t="s">
        <v>80</v>
      </c>
      <c r="O51" s="13" t="s">
        <v>80</v>
      </c>
      <c r="P51" s="13" t="s">
        <v>80</v>
      </c>
      <c r="Q51" s="13" t="s">
        <v>80</v>
      </c>
      <c r="R51" s="13" t="s">
        <v>80</v>
      </c>
      <c r="S51" s="13" t="s">
        <v>80</v>
      </c>
      <c r="T51" s="13">
        <v>2883.4566</v>
      </c>
      <c r="U51" s="13">
        <v>2883.4566</v>
      </c>
      <c r="V51" s="13" t="s">
        <v>80</v>
      </c>
      <c r="W51" s="13" t="s">
        <v>80</v>
      </c>
    </row>
    <row r="52" spans="1:23" x14ac:dyDescent="0.25">
      <c r="A52" s="10" t="s">
        <v>461</v>
      </c>
      <c r="B52" s="10" t="s">
        <v>462</v>
      </c>
      <c r="C52" s="13" t="s">
        <v>80</v>
      </c>
      <c r="D52" s="13" t="s">
        <v>80</v>
      </c>
      <c r="E52" s="13" t="s">
        <v>80</v>
      </c>
      <c r="F52" s="13" t="s">
        <v>80</v>
      </c>
      <c r="G52" s="13" t="s">
        <v>80</v>
      </c>
      <c r="H52" s="13" t="s">
        <v>80</v>
      </c>
      <c r="I52" s="13" t="s">
        <v>80</v>
      </c>
      <c r="J52" s="13" t="s">
        <v>80</v>
      </c>
      <c r="K52" s="13" t="s">
        <v>80</v>
      </c>
      <c r="L52" s="13" t="s">
        <v>80</v>
      </c>
      <c r="M52" s="13" t="s">
        <v>80</v>
      </c>
      <c r="N52" s="13" t="s">
        <v>80</v>
      </c>
      <c r="O52" s="13">
        <v>2773.73</v>
      </c>
      <c r="P52" s="13">
        <v>2883.4569999999999</v>
      </c>
      <c r="Q52" s="13">
        <v>2865.0257999999999</v>
      </c>
      <c r="R52" s="13">
        <v>2846.8443000000002</v>
      </c>
      <c r="S52" s="13">
        <v>2857.4385000000002</v>
      </c>
      <c r="T52" s="13" t="s">
        <v>80</v>
      </c>
      <c r="U52" s="13" t="s">
        <v>80</v>
      </c>
      <c r="V52" s="13" t="s">
        <v>80</v>
      </c>
      <c r="W52" s="13" t="s">
        <v>80</v>
      </c>
    </row>
    <row r="53" spans="1:23" x14ac:dyDescent="0.25">
      <c r="A53" s="6" t="s">
        <v>463</v>
      </c>
      <c r="B53" s="6" t="s">
        <v>464</v>
      </c>
      <c r="C53" s="19">
        <v>2015.8630000000001</v>
      </c>
      <c r="D53" s="19">
        <v>2218.4899999999998</v>
      </c>
      <c r="E53" s="19">
        <v>6810.2650000000003</v>
      </c>
      <c r="F53" s="19">
        <v>7014</v>
      </c>
      <c r="G53" s="19">
        <v>5854</v>
      </c>
      <c r="H53" s="19">
        <v>6705</v>
      </c>
      <c r="I53" s="19">
        <v>8517</v>
      </c>
      <c r="J53" s="19">
        <v>10888</v>
      </c>
      <c r="K53" s="19">
        <v>13508</v>
      </c>
      <c r="L53" s="19">
        <v>15228</v>
      </c>
      <c r="M53" s="19">
        <v>17108</v>
      </c>
      <c r="N53" s="19">
        <v>19308</v>
      </c>
      <c r="O53" s="19">
        <v>23908</v>
      </c>
      <c r="P53" s="19">
        <v>31958</v>
      </c>
      <c r="Q53" s="19">
        <v>36528</v>
      </c>
      <c r="R53" s="19">
        <v>30508</v>
      </c>
      <c r="S53" s="19">
        <v>35048</v>
      </c>
      <c r="T53" s="19">
        <v>45408</v>
      </c>
      <c r="U53" s="19">
        <v>52418</v>
      </c>
      <c r="V53" s="19">
        <v>56188</v>
      </c>
      <c r="W53" s="19">
        <v>58788</v>
      </c>
    </row>
    <row r="54" spans="1:23" x14ac:dyDescent="0.25">
      <c r="A54" s="10" t="s">
        <v>465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25">
      <c r="A55" s="6" t="s">
        <v>466</v>
      </c>
      <c r="B55" s="6" t="s">
        <v>467</v>
      </c>
      <c r="C55" s="19" t="s">
        <v>80</v>
      </c>
      <c r="D55" s="19" t="s">
        <v>80</v>
      </c>
      <c r="E55" s="19" t="s">
        <v>80</v>
      </c>
      <c r="F55" s="19" t="s">
        <v>80</v>
      </c>
      <c r="G55" s="19" t="s">
        <v>80</v>
      </c>
      <c r="H55" s="19" t="s">
        <v>80</v>
      </c>
      <c r="I55" s="19" t="s">
        <v>80</v>
      </c>
      <c r="J55" s="19" t="s">
        <v>80</v>
      </c>
      <c r="K55" s="19" t="s">
        <v>80</v>
      </c>
      <c r="L55" s="19">
        <v>65303</v>
      </c>
      <c r="M55" s="19">
        <v>64510</v>
      </c>
      <c r="N55" s="19">
        <v>73204</v>
      </c>
      <c r="O55" s="19">
        <v>100315</v>
      </c>
      <c r="P55" s="19">
        <v>125631</v>
      </c>
      <c r="Q55" s="19">
        <v>100315</v>
      </c>
      <c r="R55" s="19">
        <v>138752</v>
      </c>
      <c r="S55" s="19">
        <v>134725</v>
      </c>
      <c r="T55" s="19">
        <v>268628</v>
      </c>
      <c r="U55" s="19">
        <v>375497</v>
      </c>
      <c r="V55" s="19">
        <v>404605</v>
      </c>
      <c r="W55" s="19">
        <v>405038</v>
      </c>
    </row>
    <row r="56" spans="1:23" x14ac:dyDescent="0.25">
      <c r="A56" s="10" t="s">
        <v>468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5">
      <c r="A57" s="6" t="s">
        <v>469</v>
      </c>
      <c r="B57" s="6" t="s">
        <v>470</v>
      </c>
      <c r="C57" s="19" t="s">
        <v>80</v>
      </c>
      <c r="D57" s="19" t="s">
        <v>80</v>
      </c>
      <c r="E57" s="19" t="s">
        <v>80</v>
      </c>
      <c r="F57" s="19" t="s">
        <v>80</v>
      </c>
      <c r="G57" s="19" t="s">
        <v>80</v>
      </c>
      <c r="H57" s="19" t="s">
        <v>80</v>
      </c>
      <c r="I57" s="19" t="s">
        <v>80</v>
      </c>
      <c r="J57" s="19" t="s">
        <v>80</v>
      </c>
      <c r="K57" s="19" t="s">
        <v>80</v>
      </c>
      <c r="L57" s="19" t="s">
        <v>80</v>
      </c>
      <c r="M57" s="19" t="s">
        <v>80</v>
      </c>
      <c r="N57" s="19" t="s">
        <v>80</v>
      </c>
      <c r="O57" s="19" t="s">
        <v>80</v>
      </c>
      <c r="P57" s="19" t="s">
        <v>80</v>
      </c>
      <c r="Q57" s="19" t="s">
        <v>80</v>
      </c>
      <c r="R57" s="19" t="s">
        <v>80</v>
      </c>
      <c r="S57" s="19" t="s">
        <v>80</v>
      </c>
      <c r="T57" s="19">
        <v>-86</v>
      </c>
      <c r="U57" s="19">
        <v>-192</v>
      </c>
      <c r="V57" s="19">
        <v>573</v>
      </c>
      <c r="W57" s="19">
        <v>-431</v>
      </c>
    </row>
    <row r="58" spans="1:23" x14ac:dyDescent="0.25">
      <c r="A58" s="6" t="s">
        <v>471</v>
      </c>
      <c r="B58" s="6" t="s">
        <v>472</v>
      </c>
      <c r="C58" s="19" t="s">
        <v>80</v>
      </c>
      <c r="D58" s="19" t="s">
        <v>80</v>
      </c>
      <c r="E58" s="19" t="s">
        <v>80</v>
      </c>
      <c r="F58" s="19" t="s">
        <v>80</v>
      </c>
      <c r="G58" s="19" t="s">
        <v>80</v>
      </c>
      <c r="H58" s="19" t="s">
        <v>80</v>
      </c>
      <c r="I58" s="19" t="s">
        <v>80</v>
      </c>
      <c r="J58" s="19" t="s">
        <v>80</v>
      </c>
      <c r="K58" s="19" t="s">
        <v>80</v>
      </c>
      <c r="L58" s="19" t="s">
        <v>80</v>
      </c>
      <c r="M58" s="19" t="s">
        <v>80</v>
      </c>
      <c r="N58" s="19" t="s">
        <v>80</v>
      </c>
      <c r="O58" s="19" t="s">
        <v>80</v>
      </c>
      <c r="P58" s="19" t="s">
        <v>80</v>
      </c>
      <c r="Q58" s="19" t="s">
        <v>80</v>
      </c>
      <c r="R58" s="19" t="s">
        <v>80</v>
      </c>
      <c r="S58" s="19" t="s">
        <v>80</v>
      </c>
      <c r="T58" s="19">
        <v>-4376</v>
      </c>
      <c r="U58" s="19">
        <v>1417</v>
      </c>
      <c r="V58" s="19">
        <v>-1783</v>
      </c>
      <c r="W58" s="19">
        <v>2656</v>
      </c>
    </row>
    <row r="59" spans="1:23" x14ac:dyDescent="0.25">
      <c r="A59" s="6" t="s">
        <v>473</v>
      </c>
      <c r="B59" s="6" t="s">
        <v>474</v>
      </c>
      <c r="C59" s="19" t="s">
        <v>80</v>
      </c>
      <c r="D59" s="19" t="s">
        <v>80</v>
      </c>
      <c r="E59" s="19" t="s">
        <v>80</v>
      </c>
      <c r="F59" s="19" t="s">
        <v>80</v>
      </c>
      <c r="G59" s="19" t="s">
        <v>80</v>
      </c>
      <c r="H59" s="19" t="s">
        <v>80</v>
      </c>
      <c r="I59" s="19" t="s">
        <v>80</v>
      </c>
      <c r="J59" s="19" t="s">
        <v>80</v>
      </c>
      <c r="K59" s="19" t="s">
        <v>80</v>
      </c>
      <c r="L59" s="19" t="s">
        <v>80</v>
      </c>
      <c r="M59" s="19" t="s">
        <v>80</v>
      </c>
      <c r="N59" s="19" t="s">
        <v>80</v>
      </c>
      <c r="O59" s="19" t="s">
        <v>80</v>
      </c>
      <c r="P59" s="19" t="s">
        <v>80</v>
      </c>
      <c r="Q59" s="19" t="s">
        <v>80</v>
      </c>
      <c r="R59" s="19" t="s">
        <v>80</v>
      </c>
      <c r="S59" s="19" t="s">
        <v>80</v>
      </c>
      <c r="T59" s="19">
        <v>1118</v>
      </c>
      <c r="U59" s="19">
        <v>1725</v>
      </c>
      <c r="V59" s="19">
        <v>-1047</v>
      </c>
      <c r="W59" s="19">
        <v>1914</v>
      </c>
    </row>
    <row r="60" spans="1:23" x14ac:dyDescent="0.25">
      <c r="A60" s="6" t="s">
        <v>475</v>
      </c>
      <c r="B60" s="6" t="s">
        <v>476</v>
      </c>
      <c r="C60" s="19" t="s">
        <v>80</v>
      </c>
      <c r="D60" s="19" t="s">
        <v>80</v>
      </c>
      <c r="E60" s="19" t="s">
        <v>80</v>
      </c>
      <c r="F60" s="19" t="s">
        <v>80</v>
      </c>
      <c r="G60" s="19" t="s">
        <v>80</v>
      </c>
      <c r="H60" s="19" t="s">
        <v>80</v>
      </c>
      <c r="I60" s="19" t="s">
        <v>80</v>
      </c>
      <c r="J60" s="19" t="s">
        <v>80</v>
      </c>
      <c r="K60" s="19" t="s">
        <v>80</v>
      </c>
      <c r="L60" s="19" t="s">
        <v>80</v>
      </c>
      <c r="M60" s="19" t="s">
        <v>80</v>
      </c>
      <c r="N60" s="19" t="s">
        <v>80</v>
      </c>
      <c r="O60" s="19" t="s">
        <v>80</v>
      </c>
      <c r="P60" s="19" t="s">
        <v>80</v>
      </c>
      <c r="Q60" s="19" t="s">
        <v>80</v>
      </c>
      <c r="R60" s="19" t="s">
        <v>80</v>
      </c>
      <c r="S60" s="19" t="s">
        <v>80</v>
      </c>
      <c r="T60" s="19">
        <v>92</v>
      </c>
      <c r="U60" s="19">
        <v>-81</v>
      </c>
      <c r="V60" s="19">
        <v>-859</v>
      </c>
      <c r="W60" s="19">
        <v>-945</v>
      </c>
    </row>
    <row r="61" spans="1:23" x14ac:dyDescent="0.25">
      <c r="A61" s="6" t="s">
        <v>477</v>
      </c>
      <c r="B61" s="6" t="s">
        <v>478</v>
      </c>
      <c r="C61" s="19" t="s">
        <v>80</v>
      </c>
      <c r="D61" s="19" t="s">
        <v>80</v>
      </c>
      <c r="E61" s="19" t="s">
        <v>80</v>
      </c>
      <c r="F61" s="19" t="s">
        <v>80</v>
      </c>
      <c r="G61" s="19" t="s">
        <v>80</v>
      </c>
      <c r="H61" s="19" t="s">
        <v>80</v>
      </c>
      <c r="I61" s="19" t="s">
        <v>80</v>
      </c>
      <c r="J61" s="19" t="s">
        <v>80</v>
      </c>
      <c r="K61" s="19" t="s">
        <v>80</v>
      </c>
      <c r="L61" s="19" t="s">
        <v>80</v>
      </c>
      <c r="M61" s="19" t="s">
        <v>80</v>
      </c>
      <c r="N61" s="19" t="s">
        <v>80</v>
      </c>
      <c r="O61" s="19" t="s">
        <v>80</v>
      </c>
      <c r="P61" s="19" t="s">
        <v>80</v>
      </c>
      <c r="Q61" s="19" t="s">
        <v>80</v>
      </c>
      <c r="R61" s="19" t="s">
        <v>80</v>
      </c>
      <c r="S61" s="19" t="s">
        <v>80</v>
      </c>
      <c r="T61" s="19">
        <v>315</v>
      </c>
      <c r="U61" s="19">
        <v>-7</v>
      </c>
      <c r="V61" s="19">
        <v>239</v>
      </c>
      <c r="W61" s="19">
        <v>-317</v>
      </c>
    </row>
    <row r="62" spans="1:23" x14ac:dyDescent="0.25">
      <c r="A62" s="6" t="s">
        <v>479</v>
      </c>
      <c r="B62" s="6" t="s">
        <v>480</v>
      </c>
      <c r="C62" s="19" t="s">
        <v>80</v>
      </c>
      <c r="D62" s="19" t="s">
        <v>80</v>
      </c>
      <c r="E62" s="19" t="s">
        <v>80</v>
      </c>
      <c r="F62" s="19" t="s">
        <v>80</v>
      </c>
      <c r="G62" s="19" t="s">
        <v>80</v>
      </c>
      <c r="H62" s="19" t="s">
        <v>80</v>
      </c>
      <c r="I62" s="19" t="s">
        <v>80</v>
      </c>
      <c r="J62" s="19" t="s">
        <v>80</v>
      </c>
      <c r="K62" s="19" t="s">
        <v>80</v>
      </c>
      <c r="L62" s="19" t="s">
        <v>80</v>
      </c>
      <c r="M62" s="19" t="s">
        <v>80</v>
      </c>
      <c r="N62" s="19" t="s">
        <v>80</v>
      </c>
      <c r="O62" s="19" t="s">
        <v>80</v>
      </c>
      <c r="P62" s="19" t="s">
        <v>80</v>
      </c>
      <c r="Q62" s="19" t="s">
        <v>80</v>
      </c>
      <c r="R62" s="19">
        <v>30508</v>
      </c>
      <c r="S62" s="19">
        <v>35048</v>
      </c>
      <c r="T62" s="19">
        <v>42520</v>
      </c>
      <c r="U62" s="19">
        <v>55230</v>
      </c>
      <c r="V62" s="19">
        <v>53358</v>
      </c>
      <c r="W62" s="19">
        <v>61612</v>
      </c>
    </row>
    <row r="63" spans="1:23" x14ac:dyDescent="0.25">
      <c r="A63" s="6" t="s">
        <v>481</v>
      </c>
      <c r="B63" s="6" t="s">
        <v>482</v>
      </c>
      <c r="C63" s="19" t="s">
        <v>80</v>
      </c>
      <c r="D63" s="19" t="s">
        <v>80</v>
      </c>
      <c r="E63" s="19" t="s">
        <v>80</v>
      </c>
      <c r="F63" s="19" t="s">
        <v>80</v>
      </c>
      <c r="G63" s="19" t="s">
        <v>80</v>
      </c>
      <c r="H63" s="19" t="s">
        <v>80</v>
      </c>
      <c r="I63" s="19" t="s">
        <v>80</v>
      </c>
      <c r="J63" s="19" t="s">
        <v>80</v>
      </c>
      <c r="K63" s="19" t="s">
        <v>80</v>
      </c>
      <c r="L63" s="19" t="s">
        <v>80</v>
      </c>
      <c r="M63" s="19" t="s">
        <v>80</v>
      </c>
      <c r="N63" s="19" t="s">
        <v>80</v>
      </c>
      <c r="O63" s="19" t="s">
        <v>80</v>
      </c>
      <c r="P63" s="19" t="s">
        <v>80</v>
      </c>
      <c r="Q63" s="19" t="s">
        <v>80</v>
      </c>
      <c r="R63" s="19">
        <v>389</v>
      </c>
      <c r="S63" s="19">
        <v>491</v>
      </c>
      <c r="T63" s="19">
        <v>568</v>
      </c>
      <c r="U63" s="19">
        <v>774</v>
      </c>
      <c r="V63" s="19">
        <v>766</v>
      </c>
      <c r="W63" s="19">
        <v>924</v>
      </c>
    </row>
    <row r="64" spans="1:23" x14ac:dyDescent="0.25">
      <c r="A64" s="6" t="s">
        <v>483</v>
      </c>
      <c r="B64" s="6" t="s">
        <v>484</v>
      </c>
      <c r="C64" s="19" t="s">
        <v>80</v>
      </c>
      <c r="D64" s="19" t="s">
        <v>80</v>
      </c>
      <c r="E64" s="19" t="s">
        <v>80</v>
      </c>
      <c r="F64" s="19" t="s">
        <v>80</v>
      </c>
      <c r="G64" s="19" t="s">
        <v>80</v>
      </c>
      <c r="H64" s="19" t="s">
        <v>80</v>
      </c>
      <c r="I64" s="19" t="s">
        <v>80</v>
      </c>
      <c r="J64" s="19" t="s">
        <v>80</v>
      </c>
      <c r="K64" s="19" t="s">
        <v>80</v>
      </c>
      <c r="L64" s="19" t="s">
        <v>80</v>
      </c>
      <c r="M64" s="19" t="s">
        <v>80</v>
      </c>
      <c r="N64" s="19" t="s">
        <v>80</v>
      </c>
      <c r="O64" s="19" t="s">
        <v>80</v>
      </c>
      <c r="P64" s="19" t="s">
        <v>80</v>
      </c>
      <c r="Q64" s="19" t="s">
        <v>80</v>
      </c>
      <c r="R64" s="19" t="s">
        <v>80</v>
      </c>
      <c r="S64" s="19" t="s">
        <v>80</v>
      </c>
      <c r="T64" s="19">
        <v>46025</v>
      </c>
      <c r="U64" s="19">
        <v>53142</v>
      </c>
      <c r="V64" s="19">
        <v>57001</v>
      </c>
      <c r="W64" s="19">
        <v>59659</v>
      </c>
    </row>
    <row r="65" spans="1:23" x14ac:dyDescent="0.25">
      <c r="A65" s="6" t="s">
        <v>485</v>
      </c>
      <c r="B65" s="6" t="s">
        <v>486</v>
      </c>
      <c r="C65" s="19" t="s">
        <v>80</v>
      </c>
      <c r="D65" s="19" t="s">
        <v>80</v>
      </c>
      <c r="E65" s="19" t="s">
        <v>80</v>
      </c>
      <c r="F65" s="19" t="s">
        <v>80</v>
      </c>
      <c r="G65" s="19" t="s">
        <v>80</v>
      </c>
      <c r="H65" s="19" t="s">
        <v>80</v>
      </c>
      <c r="I65" s="19" t="s">
        <v>80</v>
      </c>
      <c r="J65" s="19" t="s">
        <v>80</v>
      </c>
      <c r="K65" s="19" t="s">
        <v>80</v>
      </c>
      <c r="L65" s="19" t="s">
        <v>80</v>
      </c>
      <c r="M65" s="19" t="s">
        <v>80</v>
      </c>
      <c r="N65" s="19" t="s">
        <v>80</v>
      </c>
      <c r="O65" s="19" t="s">
        <v>80</v>
      </c>
      <c r="P65" s="19" t="s">
        <v>80</v>
      </c>
      <c r="Q65" s="19" t="s">
        <v>80</v>
      </c>
      <c r="R65" s="19">
        <v>30897</v>
      </c>
      <c r="S65" s="19">
        <v>35539</v>
      </c>
      <c r="T65" s="19">
        <v>43088</v>
      </c>
      <c r="U65" s="19">
        <v>56004</v>
      </c>
      <c r="V65" s="19">
        <v>54124</v>
      </c>
      <c r="W65" s="19">
        <v>62536</v>
      </c>
    </row>
    <row r="66" spans="1:23" x14ac:dyDescent="0.25">
      <c r="A66" s="10" t="s">
        <v>487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10" t="s">
        <v>488</v>
      </c>
      <c r="B67" s="10" t="s">
        <v>489</v>
      </c>
      <c r="C67" s="13" t="s">
        <v>80</v>
      </c>
      <c r="D67" s="13" t="s">
        <v>80</v>
      </c>
      <c r="E67" s="13" t="s">
        <v>80</v>
      </c>
      <c r="F67" s="13" t="s">
        <v>80</v>
      </c>
      <c r="G67" s="13" t="s">
        <v>80</v>
      </c>
      <c r="H67" s="13" t="s">
        <v>80</v>
      </c>
      <c r="I67" s="13" t="s">
        <v>80</v>
      </c>
      <c r="J67" s="13" t="s">
        <v>80</v>
      </c>
      <c r="K67" s="13" t="s">
        <v>80</v>
      </c>
      <c r="L67" s="13" t="s">
        <v>80</v>
      </c>
      <c r="M67" s="13" t="s">
        <v>80</v>
      </c>
      <c r="N67" s="13" t="s">
        <v>80</v>
      </c>
      <c r="O67" s="13">
        <v>3370</v>
      </c>
      <c r="P67" s="13">
        <v>3408</v>
      </c>
      <c r="Q67" s="13">
        <v>4914</v>
      </c>
      <c r="R67" s="13">
        <v>5916</v>
      </c>
      <c r="S67" s="13">
        <v>7067</v>
      </c>
      <c r="T67" s="13">
        <v>804</v>
      </c>
      <c r="U67" s="13">
        <v>800</v>
      </c>
      <c r="V67" s="13">
        <v>1053</v>
      </c>
      <c r="W67" s="13">
        <v>1030</v>
      </c>
    </row>
    <row r="68" spans="1:23" x14ac:dyDescent="0.25">
      <c r="A68" s="10" t="s">
        <v>404</v>
      </c>
      <c r="B68" s="10" t="s">
        <v>490</v>
      </c>
      <c r="C68" s="13" t="s">
        <v>80</v>
      </c>
      <c r="D68" s="13" t="s">
        <v>80</v>
      </c>
      <c r="E68" s="13" t="s">
        <v>80</v>
      </c>
      <c r="F68" s="13" t="s">
        <v>80</v>
      </c>
      <c r="G68" s="13" t="s">
        <v>80</v>
      </c>
      <c r="H68" s="13" t="s">
        <v>80</v>
      </c>
      <c r="I68" s="13" t="s">
        <v>80</v>
      </c>
      <c r="J68" s="13" t="s">
        <v>80</v>
      </c>
      <c r="K68" s="13" t="s">
        <v>80</v>
      </c>
      <c r="L68" s="13">
        <v>12986</v>
      </c>
      <c r="M68" s="13">
        <v>12404</v>
      </c>
      <c r="N68" s="13">
        <v>12876</v>
      </c>
      <c r="O68" s="13">
        <v>13447</v>
      </c>
      <c r="P68" s="13">
        <v>15022</v>
      </c>
      <c r="Q68" s="13">
        <v>15862</v>
      </c>
      <c r="R68" s="13">
        <v>16517</v>
      </c>
      <c r="S68" s="13">
        <v>17348</v>
      </c>
      <c r="T68" s="13">
        <v>19580</v>
      </c>
      <c r="U68" s="13">
        <v>22013</v>
      </c>
      <c r="V68" s="13" t="s">
        <v>80</v>
      </c>
      <c r="W68" s="13" t="s">
        <v>80</v>
      </c>
    </row>
    <row r="69" spans="1:23" x14ac:dyDescent="0.25">
      <c r="A69" s="10" t="s">
        <v>491</v>
      </c>
      <c r="B69" s="10" t="s">
        <v>492</v>
      </c>
      <c r="C69" s="13" t="s">
        <v>80</v>
      </c>
      <c r="D69" s="13" t="s">
        <v>80</v>
      </c>
      <c r="E69" s="13" t="s">
        <v>80</v>
      </c>
      <c r="F69" s="13" t="s">
        <v>80</v>
      </c>
      <c r="G69" s="13">
        <v>997</v>
      </c>
      <c r="H69" s="13">
        <v>1121</v>
      </c>
      <c r="I69" s="13">
        <v>1093</v>
      </c>
      <c r="J69" s="13">
        <v>1148</v>
      </c>
      <c r="K69" s="13">
        <v>1216</v>
      </c>
      <c r="L69" s="13">
        <v>1262</v>
      </c>
      <c r="M69" s="13">
        <v>1325</v>
      </c>
      <c r="N69" s="13">
        <v>1170</v>
      </c>
      <c r="O69" s="13">
        <v>1688</v>
      </c>
      <c r="P69" s="13">
        <v>2217</v>
      </c>
      <c r="Q69" s="13">
        <v>2087</v>
      </c>
      <c r="R69" s="13">
        <v>2287</v>
      </c>
      <c r="S69" s="13">
        <v>2590</v>
      </c>
      <c r="T69" s="13">
        <v>3564</v>
      </c>
      <c r="U69" s="13">
        <v>3685</v>
      </c>
      <c r="V69" s="13">
        <v>4198</v>
      </c>
      <c r="W69" s="13">
        <v>4494</v>
      </c>
    </row>
    <row r="70" spans="1:23" x14ac:dyDescent="0.25">
      <c r="A70" s="10" t="s">
        <v>408</v>
      </c>
      <c r="B70" s="10" t="s">
        <v>493</v>
      </c>
      <c r="C70" s="13" t="s">
        <v>80</v>
      </c>
      <c r="D70" s="13" t="s">
        <v>80</v>
      </c>
      <c r="E70" s="13" t="s">
        <v>80</v>
      </c>
      <c r="F70" s="13" t="s">
        <v>80</v>
      </c>
      <c r="G70" s="13" t="s">
        <v>80</v>
      </c>
      <c r="H70" s="13" t="s">
        <v>80</v>
      </c>
      <c r="I70" s="13" t="s">
        <v>80</v>
      </c>
      <c r="J70" s="13" t="s">
        <v>80</v>
      </c>
      <c r="K70" s="13" t="s">
        <v>80</v>
      </c>
      <c r="L70" s="13">
        <v>3648</v>
      </c>
      <c r="M70" s="13">
        <v>4129</v>
      </c>
      <c r="N70" s="13">
        <v>4689</v>
      </c>
      <c r="O70" s="13">
        <v>5058</v>
      </c>
      <c r="P70" s="13">
        <v>5625</v>
      </c>
      <c r="Q70" s="13">
        <v>7001</v>
      </c>
      <c r="R70" s="13">
        <v>8203</v>
      </c>
      <c r="S70" s="13">
        <v>8973</v>
      </c>
      <c r="T70" s="13" t="s">
        <v>80</v>
      </c>
      <c r="U70" s="13" t="s">
        <v>80</v>
      </c>
      <c r="V70" s="13">
        <v>5251</v>
      </c>
      <c r="W70" s="13">
        <v>5524</v>
      </c>
    </row>
    <row r="71" spans="1:23" x14ac:dyDescent="0.25">
      <c r="A71" s="10" t="s">
        <v>494</v>
      </c>
      <c r="B71" s="10" t="s">
        <v>495</v>
      </c>
      <c r="C71" s="13" t="s">
        <v>80</v>
      </c>
      <c r="D71" s="13" t="s">
        <v>80</v>
      </c>
      <c r="E71" s="13" t="s">
        <v>80</v>
      </c>
      <c r="F71" s="13" t="s">
        <v>80</v>
      </c>
      <c r="G71" s="13" t="s">
        <v>80</v>
      </c>
      <c r="H71" s="13" t="s">
        <v>80</v>
      </c>
      <c r="I71" s="13" t="s">
        <v>80</v>
      </c>
      <c r="J71" s="13" t="s">
        <v>80</v>
      </c>
      <c r="K71" s="13" t="s">
        <v>80</v>
      </c>
      <c r="L71" s="13" t="s">
        <v>80</v>
      </c>
      <c r="M71" s="13" t="s">
        <v>80</v>
      </c>
      <c r="N71" s="13" t="s">
        <v>80</v>
      </c>
      <c r="O71" s="13">
        <v>-159</v>
      </c>
      <c r="P71" s="13">
        <v>-275</v>
      </c>
      <c r="Q71" s="13">
        <v>545</v>
      </c>
      <c r="R71" s="13">
        <v>514</v>
      </c>
      <c r="S71" s="13" t="s">
        <v>80</v>
      </c>
      <c r="T71" s="13" t="s">
        <v>80</v>
      </c>
      <c r="U71" s="13" t="s">
        <v>80</v>
      </c>
      <c r="V71" s="13" t="s">
        <v>80</v>
      </c>
      <c r="W71" s="13" t="s">
        <v>80</v>
      </c>
    </row>
    <row r="72" spans="1:23" x14ac:dyDescent="0.25">
      <c r="A72" s="10" t="s">
        <v>496</v>
      </c>
      <c r="B72" s="10" t="s">
        <v>497</v>
      </c>
      <c r="C72" s="13" t="s">
        <v>80</v>
      </c>
      <c r="D72" s="13" t="s">
        <v>80</v>
      </c>
      <c r="E72" s="13" t="s">
        <v>80</v>
      </c>
      <c r="F72" s="13" t="s">
        <v>80</v>
      </c>
      <c r="G72" s="13" t="s">
        <v>80</v>
      </c>
      <c r="H72" s="13" t="s">
        <v>80</v>
      </c>
      <c r="I72" s="13" t="s">
        <v>80</v>
      </c>
      <c r="J72" s="13" t="s">
        <v>80</v>
      </c>
      <c r="K72" s="13" t="s">
        <v>80</v>
      </c>
      <c r="L72" s="13" t="s">
        <v>80</v>
      </c>
      <c r="M72" s="13" t="s">
        <v>80</v>
      </c>
      <c r="N72" s="13" t="s">
        <v>80</v>
      </c>
      <c r="O72" s="13">
        <v>493</v>
      </c>
      <c r="P72" s="13">
        <v>180</v>
      </c>
      <c r="Q72" s="13">
        <v>132</v>
      </c>
      <c r="R72" s="13">
        <v>55</v>
      </c>
      <c r="S72" s="13">
        <v>372</v>
      </c>
      <c r="T72" s="13" t="s">
        <v>80</v>
      </c>
      <c r="U72" s="13" t="s">
        <v>80</v>
      </c>
      <c r="V72" s="13" t="s">
        <v>80</v>
      </c>
      <c r="W72" s="13" t="s">
        <v>80</v>
      </c>
    </row>
    <row r="73" spans="1:23" x14ac:dyDescent="0.25">
      <c r="A73" s="10" t="s">
        <v>498</v>
      </c>
      <c r="B73" s="10" t="s">
        <v>499</v>
      </c>
      <c r="C73" s="13" t="s">
        <v>80</v>
      </c>
      <c r="D73" s="13" t="s">
        <v>80</v>
      </c>
      <c r="E73" s="13" t="s">
        <v>80</v>
      </c>
      <c r="F73" s="13" t="s">
        <v>80</v>
      </c>
      <c r="G73" s="13" t="s">
        <v>80</v>
      </c>
      <c r="H73" s="13" t="s">
        <v>80</v>
      </c>
      <c r="I73" s="13" t="s">
        <v>80</v>
      </c>
      <c r="J73" s="13" t="s">
        <v>80</v>
      </c>
      <c r="K73" s="13" t="s">
        <v>80</v>
      </c>
      <c r="L73" s="13" t="s">
        <v>80</v>
      </c>
      <c r="M73" s="13" t="s">
        <v>80</v>
      </c>
      <c r="N73" s="13" t="s">
        <v>80</v>
      </c>
      <c r="O73" s="13" t="s">
        <v>80</v>
      </c>
      <c r="P73" s="13" t="s">
        <v>80</v>
      </c>
      <c r="Q73" s="13" t="s">
        <v>80</v>
      </c>
      <c r="R73" s="13">
        <v>-514</v>
      </c>
      <c r="S73" s="13">
        <v>-501</v>
      </c>
      <c r="T73" s="13">
        <v>-629</v>
      </c>
      <c r="U73" s="13">
        <v>-933</v>
      </c>
      <c r="V73" s="13">
        <v>-614</v>
      </c>
      <c r="W73" s="13">
        <v>-344</v>
      </c>
    </row>
    <row r="74" spans="1:23" x14ac:dyDescent="0.25">
      <c r="A74" s="10" t="s">
        <v>412</v>
      </c>
      <c r="B74" s="10" t="s">
        <v>500</v>
      </c>
      <c r="C74" s="13" t="s">
        <v>80</v>
      </c>
      <c r="D74" s="13" t="s">
        <v>80</v>
      </c>
      <c r="E74" s="13" t="s">
        <v>80</v>
      </c>
      <c r="F74" s="13" t="s">
        <v>80</v>
      </c>
      <c r="G74" s="13" t="s">
        <v>80</v>
      </c>
      <c r="H74" s="13" t="s">
        <v>80</v>
      </c>
      <c r="I74" s="13" t="s">
        <v>80</v>
      </c>
      <c r="J74" s="13" t="s">
        <v>80</v>
      </c>
      <c r="K74" s="13" t="s">
        <v>80</v>
      </c>
      <c r="L74" s="13" t="s">
        <v>80</v>
      </c>
      <c r="M74" s="13" t="s">
        <v>80</v>
      </c>
      <c r="N74" s="13" t="s">
        <v>80</v>
      </c>
      <c r="O74" s="13" t="s">
        <v>80</v>
      </c>
      <c r="P74" s="13" t="s">
        <v>80</v>
      </c>
      <c r="Q74" s="13" t="s">
        <v>80</v>
      </c>
      <c r="R74" s="13" t="s">
        <v>80</v>
      </c>
      <c r="S74" s="13" t="s">
        <v>80</v>
      </c>
      <c r="T74" s="13" t="s">
        <v>80</v>
      </c>
      <c r="U74" s="13" t="s">
        <v>80</v>
      </c>
      <c r="V74" s="13">
        <v>6483</v>
      </c>
      <c r="W74" s="13">
        <v>6601</v>
      </c>
    </row>
    <row r="75" spans="1:23" x14ac:dyDescent="0.25">
      <c r="A75" s="10" t="s">
        <v>501</v>
      </c>
      <c r="B75" s="10" t="s">
        <v>502</v>
      </c>
      <c r="C75" s="13" t="s">
        <v>80</v>
      </c>
      <c r="D75" s="13" t="s">
        <v>80</v>
      </c>
      <c r="E75" s="13" t="s">
        <v>80</v>
      </c>
      <c r="F75" s="13" t="s">
        <v>80</v>
      </c>
      <c r="G75" s="13" t="s">
        <v>80</v>
      </c>
      <c r="H75" s="13" t="s">
        <v>80</v>
      </c>
      <c r="I75" s="13" t="s">
        <v>80</v>
      </c>
      <c r="J75" s="13" t="s">
        <v>80</v>
      </c>
      <c r="K75" s="13" t="s">
        <v>80</v>
      </c>
      <c r="L75" s="13" t="s">
        <v>80</v>
      </c>
      <c r="M75" s="13" t="s">
        <v>80</v>
      </c>
      <c r="N75" s="13" t="s">
        <v>80</v>
      </c>
      <c r="O75" s="13" t="s">
        <v>80</v>
      </c>
      <c r="P75" s="13" t="s">
        <v>80</v>
      </c>
      <c r="Q75" s="13">
        <v>2221</v>
      </c>
      <c r="R75" s="13">
        <v>2126</v>
      </c>
      <c r="S75" s="13">
        <v>2298</v>
      </c>
      <c r="T75" s="13">
        <v>2233</v>
      </c>
      <c r="U75" s="13">
        <v>2753</v>
      </c>
      <c r="V75" s="13">
        <v>12407</v>
      </c>
      <c r="W75" s="13">
        <v>13822</v>
      </c>
    </row>
    <row r="76" spans="1:23" x14ac:dyDescent="0.25">
      <c r="A76" s="10" t="s">
        <v>368</v>
      </c>
      <c r="B76" s="10" t="s">
        <v>503</v>
      </c>
      <c r="C76" s="13" t="s">
        <v>80</v>
      </c>
      <c r="D76" s="13" t="s">
        <v>80</v>
      </c>
      <c r="E76" s="13" t="s">
        <v>80</v>
      </c>
      <c r="F76" s="13" t="s">
        <v>80</v>
      </c>
      <c r="G76" s="13" t="s">
        <v>80</v>
      </c>
      <c r="H76" s="13" t="s">
        <v>80</v>
      </c>
      <c r="I76" s="13">
        <v>1157</v>
      </c>
      <c r="J76" s="13">
        <v>1240</v>
      </c>
      <c r="K76" s="13" t="s">
        <v>80</v>
      </c>
      <c r="L76" s="13" t="s">
        <v>80</v>
      </c>
      <c r="M76" s="13" t="s">
        <v>80</v>
      </c>
      <c r="N76" s="13" t="s">
        <v>80</v>
      </c>
      <c r="O76" s="13" t="s">
        <v>80</v>
      </c>
      <c r="P76" s="13" t="s">
        <v>80</v>
      </c>
      <c r="Q76" s="13" t="s">
        <v>80</v>
      </c>
      <c r="R76" s="13" t="s">
        <v>80</v>
      </c>
      <c r="S76" s="13" t="s">
        <v>80</v>
      </c>
      <c r="T76" s="13" t="s">
        <v>80</v>
      </c>
      <c r="U76" s="13" t="s">
        <v>80</v>
      </c>
      <c r="V76" s="13" t="s">
        <v>80</v>
      </c>
      <c r="W76" s="13" t="s">
        <v>80</v>
      </c>
    </row>
    <row r="77" spans="1:23" x14ac:dyDescent="0.25">
      <c r="A77" s="10" t="s">
        <v>504</v>
      </c>
      <c r="B77" s="10" t="s">
        <v>505</v>
      </c>
      <c r="C77" s="13">
        <v>731.30899999999997</v>
      </c>
      <c r="D77" s="13">
        <v>542.14300000000003</v>
      </c>
      <c r="E77" s="13" t="s">
        <v>80</v>
      </c>
      <c r="F77" s="13">
        <v>0.72799999999999998</v>
      </c>
      <c r="G77" s="13">
        <v>725</v>
      </c>
      <c r="H77" s="13">
        <v>2734</v>
      </c>
      <c r="I77" s="13" t="s">
        <v>80</v>
      </c>
      <c r="J77" s="13" t="s">
        <v>80</v>
      </c>
      <c r="K77" s="13" t="s">
        <v>80</v>
      </c>
      <c r="L77" s="13" t="s">
        <v>80</v>
      </c>
      <c r="M77" s="13" t="s">
        <v>80</v>
      </c>
      <c r="N77" s="13" t="s">
        <v>80</v>
      </c>
      <c r="O77" s="13">
        <v>1353</v>
      </c>
      <c r="P77" s="13">
        <v>1222</v>
      </c>
      <c r="Q77" s="13">
        <v>1629</v>
      </c>
      <c r="R77" s="13">
        <v>1899</v>
      </c>
      <c r="S77" s="13">
        <v>1703</v>
      </c>
      <c r="T77" s="13">
        <v>1690</v>
      </c>
      <c r="U77" s="13">
        <v>1745</v>
      </c>
      <c r="V77" s="13">
        <v>1732</v>
      </c>
      <c r="W77" s="13">
        <v>1708</v>
      </c>
    </row>
    <row r="78" spans="1:23" x14ac:dyDescent="0.25">
      <c r="A78" s="10" t="s">
        <v>506</v>
      </c>
      <c r="B78" s="10" t="s">
        <v>507</v>
      </c>
      <c r="C78" s="13">
        <v>136.57</v>
      </c>
      <c r="D78" s="13">
        <v>697.04899999999998</v>
      </c>
      <c r="E78" s="13" t="s">
        <v>80</v>
      </c>
      <c r="F78" s="13">
        <v>0.94699999999999995</v>
      </c>
      <c r="G78" s="13">
        <v>1125</v>
      </c>
      <c r="H78" s="13">
        <v>3827</v>
      </c>
      <c r="I78" s="13">
        <v>4698</v>
      </c>
      <c r="J78" s="13">
        <v>5245</v>
      </c>
      <c r="K78" s="13">
        <v>5906</v>
      </c>
      <c r="L78" s="13">
        <v>5886</v>
      </c>
      <c r="M78" s="13">
        <v>5604</v>
      </c>
      <c r="N78" s="13">
        <v>12732</v>
      </c>
      <c r="O78" s="13">
        <v>847</v>
      </c>
      <c r="P78" s="13">
        <v>638</v>
      </c>
      <c r="Q78" s="13">
        <v>612</v>
      </c>
      <c r="R78" s="13">
        <v>556</v>
      </c>
      <c r="S78" s="13">
        <v>470</v>
      </c>
      <c r="T78" s="13">
        <v>387</v>
      </c>
      <c r="U78" s="13">
        <v>330</v>
      </c>
      <c r="V78" s="13">
        <v>367</v>
      </c>
      <c r="W78" s="13">
        <v>443</v>
      </c>
    </row>
    <row r="79" spans="1:23" x14ac:dyDescent="0.25">
      <c r="A79" s="10" t="s">
        <v>453</v>
      </c>
      <c r="B79" s="10" t="s">
        <v>508</v>
      </c>
      <c r="C79" s="14" t="s">
        <v>80</v>
      </c>
      <c r="D79" s="14" t="s">
        <v>80</v>
      </c>
      <c r="E79" s="14" t="s">
        <v>80</v>
      </c>
      <c r="F79" s="14" t="s">
        <v>80</v>
      </c>
      <c r="G79" s="14">
        <v>0.52</v>
      </c>
      <c r="H79" s="14">
        <v>0.52</v>
      </c>
      <c r="I79" s="14">
        <v>0.52</v>
      </c>
      <c r="J79" s="14">
        <v>0.53</v>
      </c>
      <c r="K79" s="14">
        <v>1.1399999999999999</v>
      </c>
      <c r="L79" s="14">
        <v>0.97399999999999998</v>
      </c>
      <c r="M79" s="14">
        <v>1.01</v>
      </c>
      <c r="N79" s="14">
        <v>2.61</v>
      </c>
      <c r="O79" s="14">
        <v>5.28</v>
      </c>
      <c r="P79" s="14">
        <v>3.45</v>
      </c>
      <c r="Q79" s="14">
        <v>5.54</v>
      </c>
      <c r="R79" s="14">
        <v>2.6450999999999998</v>
      </c>
      <c r="S79" s="14">
        <v>6.0774999999999997</v>
      </c>
      <c r="T79" s="14">
        <v>7.8738999999999999</v>
      </c>
      <c r="U79" s="14" t="s">
        <v>80</v>
      </c>
      <c r="V79" s="14" t="s">
        <v>80</v>
      </c>
      <c r="W79" s="14" t="s">
        <v>80</v>
      </c>
    </row>
    <row r="80" spans="1:23" x14ac:dyDescent="0.25">
      <c r="A80" s="10" t="s">
        <v>455</v>
      </c>
      <c r="B80" s="10" t="s">
        <v>509</v>
      </c>
      <c r="C80" s="14">
        <v>4.0323000000000002</v>
      </c>
      <c r="D80" s="14">
        <v>4.4202000000000004</v>
      </c>
      <c r="E80" s="14" t="s">
        <v>80</v>
      </c>
      <c r="F80" s="14">
        <v>3.4775</v>
      </c>
      <c r="G80" s="14" t="s">
        <v>80</v>
      </c>
      <c r="H80" s="14" t="s">
        <v>80</v>
      </c>
      <c r="I80" s="14" t="s">
        <v>80</v>
      </c>
      <c r="J80" s="14" t="s">
        <v>80</v>
      </c>
      <c r="K80" s="14" t="s">
        <v>80</v>
      </c>
      <c r="L80" s="14">
        <v>5.49</v>
      </c>
      <c r="M80" s="14" t="s">
        <v>80</v>
      </c>
      <c r="N80" s="14" t="s">
        <v>80</v>
      </c>
      <c r="O80" s="14">
        <v>8.6999999999999993</v>
      </c>
      <c r="P80" s="14" t="s">
        <v>80</v>
      </c>
      <c r="Q80" s="14" t="s">
        <v>80</v>
      </c>
      <c r="R80" s="14" t="s">
        <v>80</v>
      </c>
      <c r="S80" s="14" t="s">
        <v>80</v>
      </c>
      <c r="T80" s="14" t="s">
        <v>80</v>
      </c>
      <c r="U80" s="14" t="s">
        <v>80</v>
      </c>
      <c r="V80" s="14" t="s">
        <v>80</v>
      </c>
      <c r="W80" s="14" t="s">
        <v>80</v>
      </c>
    </row>
    <row r="81" spans="1:23" x14ac:dyDescent="0.25">
      <c r="A81" s="10" t="s">
        <v>457</v>
      </c>
      <c r="B81" s="10" t="s">
        <v>510</v>
      </c>
      <c r="C81" s="13">
        <v>499.92610000000002</v>
      </c>
      <c r="D81" s="13">
        <v>501.89249999999998</v>
      </c>
      <c r="E81" s="13" t="s">
        <v>80</v>
      </c>
      <c r="F81" s="13">
        <v>2016.9592</v>
      </c>
      <c r="G81" s="13">
        <v>2017.1321</v>
      </c>
      <c r="H81" s="13">
        <v>2018.2575999999999</v>
      </c>
      <c r="I81" s="13">
        <v>2249.1039999999998</v>
      </c>
      <c r="J81" s="13">
        <v>2326.4</v>
      </c>
      <c r="K81" s="13">
        <v>2526.1</v>
      </c>
      <c r="L81" s="13">
        <v>2772.5</v>
      </c>
      <c r="M81" s="13">
        <v>2773.73</v>
      </c>
      <c r="N81" s="13">
        <v>2773.73</v>
      </c>
      <c r="O81" s="13" t="s">
        <v>80</v>
      </c>
      <c r="P81" s="13" t="s">
        <v>80</v>
      </c>
      <c r="Q81" s="13">
        <v>2865.0257999999999</v>
      </c>
      <c r="R81" s="13">
        <v>2846.8443000000002</v>
      </c>
      <c r="S81" s="13">
        <v>2857.4385000000002</v>
      </c>
      <c r="T81" s="13">
        <v>2856.6812</v>
      </c>
      <c r="U81" s="13">
        <v>2883.4566</v>
      </c>
      <c r="V81" s="13" t="s">
        <v>80</v>
      </c>
      <c r="W81" s="13" t="s">
        <v>80</v>
      </c>
    </row>
    <row r="82" spans="1:23" x14ac:dyDescent="0.25">
      <c r="A82" s="10" t="s">
        <v>511</v>
      </c>
      <c r="B82" s="10" t="s">
        <v>512</v>
      </c>
      <c r="C82" s="14">
        <v>4.0323000000000002</v>
      </c>
      <c r="D82" s="14">
        <v>4.4202000000000004</v>
      </c>
      <c r="E82" s="14" t="s">
        <v>80</v>
      </c>
      <c r="F82" s="14">
        <v>3.4775</v>
      </c>
      <c r="G82" s="14" t="s">
        <v>80</v>
      </c>
      <c r="H82" s="14" t="s">
        <v>80</v>
      </c>
      <c r="I82" s="14" t="s">
        <v>80</v>
      </c>
      <c r="J82" s="14" t="s">
        <v>80</v>
      </c>
      <c r="K82" s="14" t="s">
        <v>80</v>
      </c>
      <c r="L82" s="14">
        <v>5.49</v>
      </c>
      <c r="M82" s="14" t="s">
        <v>80</v>
      </c>
      <c r="N82" s="14" t="s">
        <v>80</v>
      </c>
      <c r="O82" s="14">
        <v>8.6199999999999992</v>
      </c>
      <c r="P82" s="14" t="s">
        <v>80</v>
      </c>
      <c r="Q82" s="14" t="s">
        <v>80</v>
      </c>
      <c r="R82" s="14" t="s">
        <v>80</v>
      </c>
      <c r="S82" s="14" t="s">
        <v>80</v>
      </c>
      <c r="T82" s="14" t="s">
        <v>80</v>
      </c>
      <c r="U82" s="14" t="s">
        <v>80</v>
      </c>
      <c r="V82" s="14" t="s">
        <v>80</v>
      </c>
      <c r="W82" s="14" t="s">
        <v>80</v>
      </c>
    </row>
    <row r="83" spans="1:23" x14ac:dyDescent="0.25">
      <c r="A83" s="10" t="s">
        <v>459</v>
      </c>
      <c r="B83" s="10" t="s">
        <v>513</v>
      </c>
      <c r="C83" s="13">
        <v>499.92610000000002</v>
      </c>
      <c r="D83" s="13">
        <v>501.89249999999998</v>
      </c>
      <c r="E83" s="13" t="s">
        <v>80</v>
      </c>
      <c r="F83" s="13">
        <v>2016.9592</v>
      </c>
      <c r="G83" s="13">
        <v>2017.1321</v>
      </c>
      <c r="H83" s="13">
        <v>2018.2575999999999</v>
      </c>
      <c r="I83" s="13">
        <v>2249.1039999999998</v>
      </c>
      <c r="J83" s="13">
        <v>2326.4</v>
      </c>
      <c r="K83" s="13">
        <v>2526.1</v>
      </c>
      <c r="L83" s="13">
        <v>2773</v>
      </c>
      <c r="M83" s="13">
        <v>2773.73</v>
      </c>
      <c r="N83" s="13">
        <v>2773.73</v>
      </c>
      <c r="O83" s="13" t="s">
        <v>80</v>
      </c>
      <c r="P83" s="13" t="s">
        <v>80</v>
      </c>
      <c r="Q83" s="13">
        <v>2865.0257999999999</v>
      </c>
      <c r="R83" s="13">
        <v>2846.8443000000002</v>
      </c>
      <c r="S83" s="13">
        <v>2857.4385000000002</v>
      </c>
      <c r="T83" s="13">
        <v>2883.4566</v>
      </c>
      <c r="U83" s="13">
        <v>2883.4566</v>
      </c>
      <c r="V83" s="13" t="s">
        <v>80</v>
      </c>
      <c r="W83" s="13" t="s">
        <v>80</v>
      </c>
    </row>
    <row r="84" spans="1:23" x14ac:dyDescent="0.25">
      <c r="A84" s="10" t="s">
        <v>514</v>
      </c>
      <c r="B84" s="10" t="s">
        <v>515</v>
      </c>
      <c r="C84" s="13" t="s">
        <v>80</v>
      </c>
      <c r="D84" s="13" t="s">
        <v>80</v>
      </c>
      <c r="E84" s="13" t="s">
        <v>80</v>
      </c>
      <c r="F84" s="13">
        <v>0.159</v>
      </c>
      <c r="G84" s="13">
        <v>131</v>
      </c>
      <c r="H84" s="13">
        <v>130</v>
      </c>
      <c r="I84" s="13" t="s">
        <v>80</v>
      </c>
      <c r="J84" s="13" t="s">
        <v>80</v>
      </c>
      <c r="K84" s="13" t="s">
        <v>80</v>
      </c>
      <c r="L84" s="13" t="s">
        <v>80</v>
      </c>
      <c r="M84" s="13" t="s">
        <v>80</v>
      </c>
      <c r="N84" s="13" t="s">
        <v>80</v>
      </c>
      <c r="O84" s="13">
        <v>193</v>
      </c>
      <c r="P84" s="13">
        <v>250</v>
      </c>
      <c r="Q84" s="13">
        <v>258</v>
      </c>
      <c r="R84" s="13">
        <v>415</v>
      </c>
      <c r="S84" s="13">
        <v>483</v>
      </c>
      <c r="T84" s="13">
        <v>433</v>
      </c>
      <c r="U84" s="13">
        <v>574</v>
      </c>
      <c r="V84" s="13">
        <v>715</v>
      </c>
      <c r="W84" s="13">
        <v>699</v>
      </c>
    </row>
    <row r="85" spans="1:23" x14ac:dyDescent="0.25">
      <c r="A85" s="10" t="s">
        <v>516</v>
      </c>
      <c r="B85" s="10" t="s">
        <v>517</v>
      </c>
      <c r="C85" s="13" t="s">
        <v>80</v>
      </c>
      <c r="D85" s="13" t="s">
        <v>80</v>
      </c>
      <c r="E85" s="13" t="s">
        <v>80</v>
      </c>
      <c r="F85" s="13">
        <v>8.1000000000000003E-2</v>
      </c>
      <c r="G85" s="13">
        <v>95</v>
      </c>
      <c r="H85" s="13">
        <v>103</v>
      </c>
      <c r="I85" s="13" t="s">
        <v>80</v>
      </c>
      <c r="J85" s="13" t="s">
        <v>80</v>
      </c>
      <c r="K85" s="13" t="s">
        <v>80</v>
      </c>
      <c r="L85" s="13" t="s">
        <v>80</v>
      </c>
      <c r="M85" s="13" t="s">
        <v>80</v>
      </c>
      <c r="N85" s="13" t="s">
        <v>80</v>
      </c>
      <c r="O85" s="13">
        <v>108</v>
      </c>
      <c r="P85" s="13">
        <v>29</v>
      </c>
      <c r="Q85" s="13">
        <v>59</v>
      </c>
      <c r="R85" s="13">
        <v>85</v>
      </c>
      <c r="S85" s="13">
        <v>92</v>
      </c>
      <c r="T85" s="13">
        <v>49</v>
      </c>
      <c r="U85" s="13">
        <v>128</v>
      </c>
      <c r="V85" s="13">
        <v>166</v>
      </c>
      <c r="W85" s="13">
        <v>268</v>
      </c>
    </row>
    <row r="86" spans="1:23" x14ac:dyDescent="0.25">
      <c r="A86" s="10" t="s">
        <v>518</v>
      </c>
      <c r="B86" s="10" t="s">
        <v>519</v>
      </c>
      <c r="C86" s="13">
        <v>-594.73900000000003</v>
      </c>
      <c r="D86" s="13">
        <v>154.90600000000001</v>
      </c>
      <c r="E86" s="13" t="s">
        <v>80</v>
      </c>
      <c r="F86" s="13">
        <v>0.219</v>
      </c>
      <c r="G86" s="13">
        <v>641</v>
      </c>
      <c r="H86" s="13">
        <v>1093</v>
      </c>
      <c r="I86" s="13" t="s">
        <v>80</v>
      </c>
      <c r="J86" s="13" t="s">
        <v>80</v>
      </c>
      <c r="K86" s="13" t="s">
        <v>80</v>
      </c>
      <c r="L86" s="13" t="s">
        <v>80</v>
      </c>
      <c r="M86" s="13" t="s">
        <v>80</v>
      </c>
      <c r="N86" s="13" t="s">
        <v>80</v>
      </c>
      <c r="O86" s="13">
        <v>-506</v>
      </c>
      <c r="P86" s="13">
        <v>-584</v>
      </c>
      <c r="Q86" s="13">
        <v>-1017</v>
      </c>
      <c r="R86" s="13">
        <v>-1343</v>
      </c>
      <c r="S86" s="13">
        <v>-1233</v>
      </c>
      <c r="T86" s="13">
        <v>-1303</v>
      </c>
      <c r="U86" s="13">
        <v>-1021</v>
      </c>
      <c r="V86" s="13">
        <v>1066</v>
      </c>
      <c r="W86" s="13">
        <v>1032</v>
      </c>
    </row>
    <row r="87" spans="1:23" x14ac:dyDescent="0.25">
      <c r="A87" s="10" t="s">
        <v>520</v>
      </c>
      <c r="B87" s="10" t="s">
        <v>521</v>
      </c>
      <c r="C87" s="13" t="s">
        <v>80</v>
      </c>
      <c r="D87" s="13" t="s">
        <v>80</v>
      </c>
      <c r="E87" s="13" t="s">
        <v>80</v>
      </c>
      <c r="F87" s="13">
        <v>-0.18</v>
      </c>
      <c r="G87" s="13">
        <v>400</v>
      </c>
      <c r="H87" s="13" t="s">
        <v>80</v>
      </c>
      <c r="I87" s="13" t="s">
        <v>80</v>
      </c>
      <c r="J87" s="13" t="s">
        <v>80</v>
      </c>
      <c r="K87" s="13" t="s">
        <v>80</v>
      </c>
      <c r="L87" s="13" t="s">
        <v>80</v>
      </c>
      <c r="M87" s="13" t="s">
        <v>80</v>
      </c>
      <c r="N87" s="13" t="s">
        <v>80</v>
      </c>
      <c r="O87" s="13">
        <v>-1072</v>
      </c>
      <c r="P87" s="13">
        <v>-481</v>
      </c>
      <c r="Q87" s="13">
        <v>-1021</v>
      </c>
      <c r="R87" s="13">
        <v>-1330</v>
      </c>
      <c r="S87" s="13">
        <v>-1604</v>
      </c>
      <c r="T87" s="13">
        <v>-1842</v>
      </c>
      <c r="U87" s="13">
        <v>-2885</v>
      </c>
      <c r="V87" s="13">
        <v>-4398</v>
      </c>
      <c r="W87" s="13">
        <v>-5814</v>
      </c>
    </row>
    <row r="88" spans="1:23" x14ac:dyDescent="0.25">
      <c r="A88" s="10" t="s">
        <v>522</v>
      </c>
      <c r="B88" s="10" t="s">
        <v>523</v>
      </c>
      <c r="C88" s="14" t="s">
        <v>80</v>
      </c>
      <c r="D88" s="14" t="s">
        <v>80</v>
      </c>
      <c r="E88" s="14" t="s">
        <v>80</v>
      </c>
      <c r="F88" s="14">
        <v>9.25</v>
      </c>
      <c r="G88" s="14">
        <v>9.25</v>
      </c>
      <c r="H88" s="14">
        <v>8.75</v>
      </c>
      <c r="I88" s="14" t="s">
        <v>80</v>
      </c>
      <c r="J88" s="14" t="s">
        <v>80</v>
      </c>
      <c r="K88" s="14" t="s">
        <v>80</v>
      </c>
      <c r="L88" s="14" t="s">
        <v>80</v>
      </c>
      <c r="M88" s="14" t="s">
        <v>80</v>
      </c>
      <c r="N88" s="14" t="s">
        <v>80</v>
      </c>
      <c r="O88" s="14">
        <v>3.5</v>
      </c>
      <c r="P88" s="14">
        <v>3.5</v>
      </c>
      <c r="Q88" s="14">
        <v>3.5</v>
      </c>
      <c r="R88" s="14">
        <v>3.5</v>
      </c>
      <c r="S88" s="14">
        <v>3.5</v>
      </c>
      <c r="T88" s="14">
        <v>3.5</v>
      </c>
      <c r="U88" s="14">
        <v>3.5</v>
      </c>
      <c r="V88" s="14">
        <v>3.5</v>
      </c>
      <c r="W88" s="14">
        <v>3.5</v>
      </c>
    </row>
    <row r="89" spans="1:23" x14ac:dyDescent="0.25">
      <c r="A89" s="10" t="s">
        <v>524</v>
      </c>
      <c r="B89" s="10" t="s">
        <v>525</v>
      </c>
      <c r="C89" s="14" t="s">
        <v>80</v>
      </c>
      <c r="D89" s="14" t="s">
        <v>80</v>
      </c>
      <c r="E89" s="14" t="s">
        <v>80</v>
      </c>
      <c r="F89" s="14">
        <v>9.75</v>
      </c>
      <c r="G89" s="14">
        <v>10</v>
      </c>
      <c r="H89" s="14">
        <v>8.75</v>
      </c>
      <c r="I89" s="14" t="s">
        <v>80</v>
      </c>
      <c r="J89" s="14" t="s">
        <v>80</v>
      </c>
      <c r="K89" s="14" t="s">
        <v>80</v>
      </c>
      <c r="L89" s="14" t="s">
        <v>80</v>
      </c>
      <c r="M89" s="14" t="s">
        <v>80</v>
      </c>
      <c r="N89" s="14" t="s">
        <v>80</v>
      </c>
      <c r="O89" s="14">
        <v>9.25</v>
      </c>
      <c r="P89" s="14">
        <v>11.5</v>
      </c>
      <c r="Q89" s="14">
        <v>8.75</v>
      </c>
      <c r="R89" s="14">
        <v>8.5</v>
      </c>
      <c r="S89" s="14">
        <v>9.75</v>
      </c>
      <c r="T89" s="14">
        <v>10.5</v>
      </c>
      <c r="U89" s="14">
        <v>10.75</v>
      </c>
      <c r="V89" s="14">
        <v>11.25</v>
      </c>
      <c r="W89" s="14">
        <v>10.5</v>
      </c>
    </row>
    <row r="90" spans="1:23" x14ac:dyDescent="0.25">
      <c r="A90" s="10" t="s">
        <v>526</v>
      </c>
      <c r="B90" s="10" t="s">
        <v>527</v>
      </c>
      <c r="C90" s="14" t="s">
        <v>80</v>
      </c>
      <c r="D90" s="14" t="s">
        <v>80</v>
      </c>
      <c r="E90" s="14" t="s">
        <v>80</v>
      </c>
      <c r="F90" s="14">
        <v>4.5</v>
      </c>
      <c r="G90" s="14">
        <v>4.5</v>
      </c>
      <c r="H90" s="14">
        <v>4.5</v>
      </c>
      <c r="I90" s="14" t="s">
        <v>80</v>
      </c>
      <c r="J90" s="14" t="s">
        <v>80</v>
      </c>
      <c r="K90" s="14" t="s">
        <v>80</v>
      </c>
      <c r="L90" s="14" t="s">
        <v>80</v>
      </c>
      <c r="M90" s="14" t="s">
        <v>80</v>
      </c>
      <c r="N90" s="14" t="s">
        <v>80</v>
      </c>
      <c r="O90" s="14">
        <v>4.5</v>
      </c>
      <c r="P90" s="14">
        <v>4.5</v>
      </c>
      <c r="Q90" s="14">
        <v>4.5</v>
      </c>
      <c r="R90" s="14">
        <v>4.5</v>
      </c>
      <c r="S90" s="14">
        <v>4.5</v>
      </c>
      <c r="T90" s="14">
        <v>4.5</v>
      </c>
      <c r="U90" s="14">
        <v>4.5</v>
      </c>
      <c r="V90" s="14">
        <v>4.75</v>
      </c>
      <c r="W90" s="14">
        <v>4.75</v>
      </c>
    </row>
    <row r="91" spans="1:23" x14ac:dyDescent="0.25">
      <c r="A91" s="10" t="s">
        <v>528</v>
      </c>
      <c r="B91" s="10" t="s">
        <v>529</v>
      </c>
      <c r="C91" s="13" t="s">
        <v>80</v>
      </c>
      <c r="D91" s="13" t="s">
        <v>80</v>
      </c>
      <c r="E91" s="13" t="s">
        <v>80</v>
      </c>
      <c r="F91" s="13" t="s">
        <v>80</v>
      </c>
      <c r="G91" s="13" t="s">
        <v>80</v>
      </c>
      <c r="H91" s="13" t="s">
        <v>80</v>
      </c>
      <c r="I91" s="13">
        <v>68</v>
      </c>
      <c r="J91" s="13">
        <v>26</v>
      </c>
      <c r="K91" s="13" t="s">
        <v>80</v>
      </c>
      <c r="L91" s="13" t="s">
        <v>80</v>
      </c>
      <c r="M91" s="13" t="s">
        <v>80</v>
      </c>
      <c r="N91" s="13" t="s">
        <v>80</v>
      </c>
      <c r="O91" s="13" t="s">
        <v>80</v>
      </c>
      <c r="P91" s="13" t="s">
        <v>80</v>
      </c>
      <c r="Q91" s="13" t="s">
        <v>80</v>
      </c>
      <c r="R91" s="13" t="s">
        <v>80</v>
      </c>
      <c r="S91" s="13" t="s">
        <v>80</v>
      </c>
      <c r="T91" s="13" t="s">
        <v>80</v>
      </c>
      <c r="U91" s="13" t="s">
        <v>80</v>
      </c>
      <c r="V91" s="13" t="s">
        <v>80</v>
      </c>
      <c r="W91" s="13" t="s">
        <v>80</v>
      </c>
    </row>
    <row r="92" spans="1:23" x14ac:dyDescent="0.25">
      <c r="A92" s="10" t="s">
        <v>530</v>
      </c>
      <c r="B92" s="10" t="s">
        <v>531</v>
      </c>
      <c r="C92" s="14" t="s">
        <v>80</v>
      </c>
      <c r="D92" s="14" t="s">
        <v>80</v>
      </c>
      <c r="E92" s="14" t="s">
        <v>80</v>
      </c>
      <c r="F92" s="14" t="s">
        <v>80</v>
      </c>
      <c r="G92" s="14" t="s">
        <v>80</v>
      </c>
      <c r="H92" s="14" t="s">
        <v>80</v>
      </c>
      <c r="I92" s="14" t="s">
        <v>80</v>
      </c>
      <c r="J92" s="14">
        <v>4.68</v>
      </c>
      <c r="K92" s="14">
        <v>5.35</v>
      </c>
      <c r="L92" s="14" t="s">
        <v>80</v>
      </c>
      <c r="M92" s="14">
        <v>6.1707999999999998</v>
      </c>
      <c r="N92" s="14">
        <v>6.9610000000000003</v>
      </c>
      <c r="O92" s="14" t="s">
        <v>80</v>
      </c>
      <c r="P92" s="14" t="s">
        <v>80</v>
      </c>
      <c r="Q92" s="14" t="s">
        <v>80</v>
      </c>
      <c r="R92" s="14" t="s">
        <v>80</v>
      </c>
      <c r="S92" s="14" t="s">
        <v>80</v>
      </c>
      <c r="T92" s="14" t="s">
        <v>80</v>
      </c>
      <c r="U92" s="14" t="s">
        <v>80</v>
      </c>
      <c r="V92" s="14" t="s">
        <v>80</v>
      </c>
      <c r="W92" s="14" t="s">
        <v>80</v>
      </c>
    </row>
    <row r="93" spans="1:23" x14ac:dyDescent="0.25">
      <c r="A93" s="10" t="s">
        <v>461</v>
      </c>
      <c r="B93" s="10" t="s">
        <v>532</v>
      </c>
      <c r="C93" s="13" t="s">
        <v>80</v>
      </c>
      <c r="D93" s="13" t="s">
        <v>80</v>
      </c>
      <c r="E93" s="13" t="s">
        <v>80</v>
      </c>
      <c r="F93" s="13" t="s">
        <v>80</v>
      </c>
      <c r="G93" s="13" t="s">
        <v>80</v>
      </c>
      <c r="H93" s="13" t="s">
        <v>80</v>
      </c>
      <c r="I93" s="13" t="s">
        <v>80</v>
      </c>
      <c r="J93" s="13" t="s">
        <v>80</v>
      </c>
      <c r="K93" s="13" t="s">
        <v>80</v>
      </c>
      <c r="L93" s="13" t="s">
        <v>80</v>
      </c>
      <c r="M93" s="13" t="s">
        <v>80</v>
      </c>
      <c r="N93" s="13" t="s">
        <v>80</v>
      </c>
      <c r="O93" s="13">
        <v>2773.7296000000001</v>
      </c>
      <c r="P93" s="13">
        <v>2880.8323999999998</v>
      </c>
      <c r="Q93" s="13">
        <v>2865.0257999999999</v>
      </c>
      <c r="R93" s="13">
        <v>2846.8443000000002</v>
      </c>
      <c r="S93" s="13">
        <v>2857.4385000000002</v>
      </c>
      <c r="T93" s="13" t="s">
        <v>80</v>
      </c>
      <c r="U93" s="13" t="s">
        <v>80</v>
      </c>
      <c r="V93" s="13">
        <v>2849.3429999999998</v>
      </c>
      <c r="W93" s="13">
        <v>2828.0742</v>
      </c>
    </row>
    <row r="94" spans="1:23" x14ac:dyDescent="0.25">
      <c r="A94" s="10" t="s">
        <v>533</v>
      </c>
      <c r="B94" s="10" t="s">
        <v>534</v>
      </c>
      <c r="C94" s="13" t="s">
        <v>80</v>
      </c>
      <c r="D94" s="13" t="s">
        <v>80</v>
      </c>
      <c r="E94" s="13" t="s">
        <v>80</v>
      </c>
      <c r="F94" s="13" t="s">
        <v>80</v>
      </c>
      <c r="G94" s="13" t="s">
        <v>80</v>
      </c>
      <c r="H94" s="13" t="s">
        <v>80</v>
      </c>
      <c r="I94" s="13" t="s">
        <v>80</v>
      </c>
      <c r="J94" s="13" t="s">
        <v>80</v>
      </c>
      <c r="K94" s="13" t="s">
        <v>80</v>
      </c>
      <c r="L94" s="13" t="s">
        <v>80</v>
      </c>
      <c r="M94" s="13" t="s">
        <v>80</v>
      </c>
      <c r="N94" s="13" t="s">
        <v>80</v>
      </c>
      <c r="O94" s="13">
        <v>2754</v>
      </c>
      <c r="P94" s="13">
        <v>2643</v>
      </c>
      <c r="Q94" s="13">
        <v>2767</v>
      </c>
      <c r="R94" s="13">
        <v>2795</v>
      </c>
      <c r="S94" s="13">
        <v>2537</v>
      </c>
      <c r="T94" s="13">
        <v>2266</v>
      </c>
      <c r="U94" s="13">
        <v>1591</v>
      </c>
      <c r="V94" s="13">
        <v>1149</v>
      </c>
      <c r="W94" s="13">
        <v>858</v>
      </c>
    </row>
    <row r="95" spans="1:23" x14ac:dyDescent="0.25">
      <c r="A95" s="10" t="s">
        <v>535</v>
      </c>
      <c r="B95" s="10" t="s">
        <v>536</v>
      </c>
      <c r="C95" s="13" t="s">
        <v>80</v>
      </c>
      <c r="D95" s="13" t="s">
        <v>80</v>
      </c>
      <c r="E95" s="13" t="s">
        <v>80</v>
      </c>
      <c r="F95" s="13" t="s">
        <v>80</v>
      </c>
      <c r="G95" s="13" t="s">
        <v>80</v>
      </c>
      <c r="H95" s="13" t="s">
        <v>80</v>
      </c>
      <c r="I95" s="13" t="s">
        <v>80</v>
      </c>
      <c r="J95" s="13" t="s">
        <v>80</v>
      </c>
      <c r="K95" s="13" t="s">
        <v>80</v>
      </c>
      <c r="L95" s="13" t="s">
        <v>80</v>
      </c>
      <c r="M95" s="13" t="s">
        <v>80</v>
      </c>
      <c r="N95" s="13" t="s">
        <v>80</v>
      </c>
      <c r="O95" s="13">
        <v>3826</v>
      </c>
      <c r="P95" s="13">
        <v>3124</v>
      </c>
      <c r="Q95" s="13">
        <v>3788</v>
      </c>
      <c r="R95" s="13">
        <v>4125</v>
      </c>
      <c r="S95" s="13">
        <v>4141</v>
      </c>
      <c r="T95" s="13">
        <v>4108</v>
      </c>
      <c r="U95" s="13">
        <v>4476</v>
      </c>
      <c r="V95" s="13">
        <v>5547</v>
      </c>
      <c r="W95" s="13">
        <v>6672</v>
      </c>
    </row>
    <row r="96" spans="1:23" x14ac:dyDescent="0.25">
      <c r="A96" s="10" t="s">
        <v>392</v>
      </c>
      <c r="B96" s="10" t="s">
        <v>537</v>
      </c>
      <c r="C96" s="13" t="s">
        <v>80</v>
      </c>
      <c r="D96" s="13" t="s">
        <v>80</v>
      </c>
      <c r="E96" s="13" t="s">
        <v>80</v>
      </c>
      <c r="F96" s="13" t="s">
        <v>80</v>
      </c>
      <c r="G96" s="13">
        <v>1221</v>
      </c>
      <c r="H96" s="13">
        <v>1475</v>
      </c>
      <c r="I96" s="13">
        <v>2495</v>
      </c>
      <c r="J96" s="13">
        <v>3892</v>
      </c>
      <c r="K96" s="13">
        <v>4100</v>
      </c>
      <c r="L96" s="13">
        <v>3889</v>
      </c>
      <c r="M96" s="13">
        <v>2314</v>
      </c>
      <c r="N96" s="13">
        <v>1792</v>
      </c>
      <c r="O96" s="13">
        <v>452</v>
      </c>
      <c r="P96" s="13">
        <v>326</v>
      </c>
      <c r="Q96" s="13">
        <v>2674</v>
      </c>
      <c r="R96" s="13">
        <v>1612</v>
      </c>
      <c r="S96" s="13">
        <v>698</v>
      </c>
      <c r="T96" s="13">
        <v>41</v>
      </c>
      <c r="U96" s="13">
        <v>2433</v>
      </c>
      <c r="V96" s="13">
        <v>3283</v>
      </c>
      <c r="W96" s="13">
        <v>5579</v>
      </c>
    </row>
    <row r="97" spans="1:23" x14ac:dyDescent="0.25">
      <c r="A97" s="10" t="s">
        <v>538</v>
      </c>
      <c r="B97" s="10" t="s">
        <v>539</v>
      </c>
      <c r="C97" s="13" t="s">
        <v>80</v>
      </c>
      <c r="D97" s="13" t="s">
        <v>80</v>
      </c>
      <c r="E97" s="13" t="s">
        <v>80</v>
      </c>
      <c r="F97" s="13" t="s">
        <v>80</v>
      </c>
      <c r="G97" s="13" t="s">
        <v>80</v>
      </c>
      <c r="H97" s="13" t="s">
        <v>80</v>
      </c>
      <c r="I97" s="13" t="s">
        <v>80</v>
      </c>
      <c r="J97" s="13" t="s">
        <v>80</v>
      </c>
      <c r="K97" s="13" t="s">
        <v>80</v>
      </c>
      <c r="L97" s="13" t="s">
        <v>80</v>
      </c>
      <c r="M97" s="13" t="s">
        <v>80</v>
      </c>
      <c r="N97" s="13" t="s">
        <v>80</v>
      </c>
      <c r="O97" s="13">
        <v>1576</v>
      </c>
      <c r="P97" s="13">
        <v>1994</v>
      </c>
      <c r="Q97" s="13">
        <v>1112</v>
      </c>
      <c r="R97" s="13">
        <v>1248</v>
      </c>
      <c r="S97" s="13">
        <v>3086</v>
      </c>
      <c r="T97" s="13">
        <v>2922</v>
      </c>
      <c r="U97" s="13">
        <v>886</v>
      </c>
      <c r="V97" s="13">
        <v>10171</v>
      </c>
      <c r="W97" s="13">
        <v>-4819</v>
      </c>
    </row>
    <row r="98" spans="1:23" x14ac:dyDescent="0.25">
      <c r="A98" s="10" t="s">
        <v>540</v>
      </c>
      <c r="B98" s="10" t="s">
        <v>541</v>
      </c>
      <c r="C98" s="13" t="s">
        <v>80</v>
      </c>
      <c r="D98" s="13" t="s">
        <v>80</v>
      </c>
      <c r="E98" s="13" t="s">
        <v>80</v>
      </c>
      <c r="F98" s="13" t="s">
        <v>80</v>
      </c>
      <c r="G98" s="13" t="s">
        <v>80</v>
      </c>
      <c r="H98" s="13" t="s">
        <v>80</v>
      </c>
      <c r="I98" s="13" t="s">
        <v>80</v>
      </c>
      <c r="J98" s="13" t="s">
        <v>80</v>
      </c>
      <c r="K98" s="13" t="s">
        <v>80</v>
      </c>
      <c r="L98" s="13" t="s">
        <v>80</v>
      </c>
      <c r="M98" s="13" t="s">
        <v>80</v>
      </c>
      <c r="N98" s="13" t="s">
        <v>80</v>
      </c>
      <c r="O98" s="13">
        <v>630</v>
      </c>
      <c r="P98" s="13">
        <v>1908</v>
      </c>
      <c r="Q98" s="13">
        <v>1503</v>
      </c>
      <c r="R98" s="13">
        <v>1994</v>
      </c>
      <c r="S98" s="13">
        <v>612</v>
      </c>
      <c r="T98" s="13">
        <v>697</v>
      </c>
      <c r="U98" s="13">
        <v>594</v>
      </c>
      <c r="V98" s="13">
        <v>-8470</v>
      </c>
      <c r="W98" s="13">
        <v>8133</v>
      </c>
    </row>
    <row r="99" spans="1:23" x14ac:dyDescent="0.25">
      <c r="A99" s="10" t="s">
        <v>542</v>
      </c>
      <c r="B99" s="10" t="s">
        <v>543</v>
      </c>
      <c r="C99" s="13" t="s">
        <v>80</v>
      </c>
      <c r="D99" s="13" t="s">
        <v>80</v>
      </c>
      <c r="E99" s="13" t="s">
        <v>80</v>
      </c>
      <c r="F99" s="13" t="s">
        <v>80</v>
      </c>
      <c r="G99" s="13" t="s">
        <v>80</v>
      </c>
      <c r="H99" s="13" t="s">
        <v>80</v>
      </c>
      <c r="I99" s="13" t="s">
        <v>80</v>
      </c>
      <c r="J99" s="13" t="s">
        <v>80</v>
      </c>
      <c r="K99" s="13" t="s">
        <v>80</v>
      </c>
      <c r="L99" s="13" t="s">
        <v>80</v>
      </c>
      <c r="M99" s="13" t="s">
        <v>80</v>
      </c>
      <c r="N99" s="13" t="s">
        <v>80</v>
      </c>
      <c r="O99" s="13" t="s">
        <v>80</v>
      </c>
      <c r="P99" s="13" t="s">
        <v>80</v>
      </c>
      <c r="Q99" s="13" t="s">
        <v>80</v>
      </c>
      <c r="R99" s="13" t="s">
        <v>80</v>
      </c>
      <c r="S99" s="13" t="s">
        <v>80</v>
      </c>
      <c r="T99" s="13" t="s">
        <v>80</v>
      </c>
      <c r="U99" s="13" t="s">
        <v>80</v>
      </c>
      <c r="V99" s="13">
        <v>4271</v>
      </c>
      <c r="W99" s="13">
        <v>4819</v>
      </c>
    </row>
    <row r="100" spans="1:23" x14ac:dyDescent="0.25">
      <c r="A100" s="10" t="s">
        <v>544</v>
      </c>
      <c r="B100" s="10" t="s">
        <v>545</v>
      </c>
      <c r="C100" s="13" t="s">
        <v>80</v>
      </c>
      <c r="D100" s="13" t="s">
        <v>80</v>
      </c>
      <c r="E100" s="13" t="s">
        <v>80</v>
      </c>
      <c r="F100" s="13" t="s">
        <v>80</v>
      </c>
      <c r="G100" s="13">
        <v>23</v>
      </c>
      <c r="H100" s="13">
        <v>214</v>
      </c>
      <c r="I100" s="13">
        <v>283</v>
      </c>
      <c r="J100" s="13">
        <v>260</v>
      </c>
      <c r="K100" s="13">
        <v>871</v>
      </c>
      <c r="L100" s="13">
        <v>531</v>
      </c>
      <c r="M100" s="13">
        <v>640</v>
      </c>
      <c r="N100" s="13">
        <v>554</v>
      </c>
      <c r="O100" s="13" t="s">
        <v>80</v>
      </c>
      <c r="P100" s="13" t="s">
        <v>80</v>
      </c>
      <c r="Q100" s="13" t="s">
        <v>80</v>
      </c>
      <c r="R100" s="13" t="s">
        <v>80</v>
      </c>
      <c r="S100" s="13" t="s">
        <v>80</v>
      </c>
      <c r="T100" s="13" t="s">
        <v>80</v>
      </c>
      <c r="U100" s="13" t="s">
        <v>80</v>
      </c>
      <c r="V100" s="13" t="s">
        <v>80</v>
      </c>
      <c r="W100" s="13" t="s">
        <v>80</v>
      </c>
    </row>
    <row r="101" spans="1:23" x14ac:dyDescent="0.25">
      <c r="A101" s="10" t="s">
        <v>546</v>
      </c>
      <c r="B101" s="10" t="s">
        <v>547</v>
      </c>
      <c r="C101" s="13">
        <v>617.74599999999998</v>
      </c>
      <c r="D101" s="13">
        <v>2082.4499999999998</v>
      </c>
      <c r="E101" s="13" t="s">
        <v>80</v>
      </c>
      <c r="F101" s="13">
        <v>4085</v>
      </c>
      <c r="G101" s="13">
        <v>8464</v>
      </c>
      <c r="H101" s="13">
        <v>6066</v>
      </c>
      <c r="I101" s="13" t="s">
        <v>80</v>
      </c>
      <c r="J101" s="13" t="s">
        <v>80</v>
      </c>
      <c r="K101" s="13" t="s">
        <v>80</v>
      </c>
      <c r="L101" s="13" t="s">
        <v>80</v>
      </c>
      <c r="M101" s="13" t="s">
        <v>80</v>
      </c>
      <c r="N101" s="13" t="s">
        <v>80</v>
      </c>
      <c r="O101" s="13" t="s">
        <v>80</v>
      </c>
      <c r="P101" s="13" t="s">
        <v>80</v>
      </c>
      <c r="Q101" s="13" t="s">
        <v>80</v>
      </c>
      <c r="R101" s="13" t="s">
        <v>80</v>
      </c>
      <c r="S101" s="13" t="s">
        <v>80</v>
      </c>
      <c r="T101" s="13" t="s">
        <v>80</v>
      </c>
      <c r="U101" s="13" t="s">
        <v>80</v>
      </c>
      <c r="V101" s="13" t="s">
        <v>80</v>
      </c>
      <c r="W101" s="13" t="s">
        <v>80</v>
      </c>
    </row>
    <row r="102" spans="1:23" x14ac:dyDescent="0.25">
      <c r="A102" s="10" t="s">
        <v>548</v>
      </c>
      <c r="B102" s="10" t="s">
        <v>549</v>
      </c>
      <c r="C102" s="13" t="s">
        <v>80</v>
      </c>
      <c r="D102" s="13" t="s">
        <v>80</v>
      </c>
      <c r="E102" s="13" t="s">
        <v>80</v>
      </c>
      <c r="F102" s="13" t="s">
        <v>80</v>
      </c>
      <c r="G102" s="13" t="s">
        <v>80</v>
      </c>
      <c r="H102" s="13" t="s">
        <v>80</v>
      </c>
      <c r="I102" s="13" t="s">
        <v>80</v>
      </c>
      <c r="J102" s="13" t="s">
        <v>80</v>
      </c>
      <c r="K102" s="13">
        <v>9175</v>
      </c>
      <c r="L102" s="13">
        <v>7953</v>
      </c>
      <c r="M102" s="13">
        <v>9728</v>
      </c>
      <c r="N102" s="13">
        <v>11006</v>
      </c>
      <c r="O102" s="13">
        <v>13966</v>
      </c>
      <c r="P102" s="13">
        <v>16802</v>
      </c>
      <c r="Q102" s="13">
        <v>19385</v>
      </c>
      <c r="R102" s="13">
        <v>4282</v>
      </c>
      <c r="S102" s="13">
        <v>4457</v>
      </c>
      <c r="T102" s="13">
        <v>2782</v>
      </c>
      <c r="U102" s="13">
        <v>1738</v>
      </c>
      <c r="V102" s="13" t="s">
        <v>80</v>
      </c>
      <c r="W102" s="13" t="s">
        <v>80</v>
      </c>
    </row>
    <row r="103" spans="1:23" x14ac:dyDescent="0.25">
      <c r="A103" s="10" t="s">
        <v>550</v>
      </c>
      <c r="B103" s="10" t="s">
        <v>551</v>
      </c>
      <c r="C103" s="13" t="s">
        <v>80</v>
      </c>
      <c r="D103" s="13" t="s">
        <v>80</v>
      </c>
      <c r="E103" s="13" t="s">
        <v>80</v>
      </c>
      <c r="F103" s="13" t="s">
        <v>80</v>
      </c>
      <c r="G103" s="13" t="s">
        <v>80</v>
      </c>
      <c r="H103" s="13" t="s">
        <v>80</v>
      </c>
      <c r="I103" s="13" t="s">
        <v>80</v>
      </c>
      <c r="J103" s="13" t="s">
        <v>80</v>
      </c>
      <c r="K103" s="13" t="s">
        <v>80</v>
      </c>
      <c r="L103" s="13" t="s">
        <v>80</v>
      </c>
      <c r="M103" s="13" t="s">
        <v>80</v>
      </c>
      <c r="N103" s="13" t="s">
        <v>80</v>
      </c>
      <c r="O103" s="13">
        <v>136</v>
      </c>
      <c r="P103" s="13">
        <v>92</v>
      </c>
      <c r="Q103" s="13">
        <v>83</v>
      </c>
      <c r="R103" s="13">
        <v>130</v>
      </c>
      <c r="S103" s="13">
        <v>135</v>
      </c>
      <c r="T103" s="13">
        <v>117</v>
      </c>
      <c r="U103" s="13">
        <v>115</v>
      </c>
      <c r="V103" s="13">
        <v>132</v>
      </c>
      <c r="W103" s="13">
        <v>347</v>
      </c>
    </row>
    <row r="104" spans="1:23" x14ac:dyDescent="0.25">
      <c r="A104" s="10" t="s">
        <v>552</v>
      </c>
      <c r="B104" s="10" t="s">
        <v>553</v>
      </c>
      <c r="C104" s="13" t="s">
        <v>80</v>
      </c>
      <c r="D104" s="13" t="s">
        <v>80</v>
      </c>
      <c r="E104" s="13" t="s">
        <v>80</v>
      </c>
      <c r="F104" s="13" t="s">
        <v>80</v>
      </c>
      <c r="G104" s="13" t="s">
        <v>80</v>
      </c>
      <c r="H104" s="13">
        <v>1882</v>
      </c>
      <c r="I104" s="13" t="s">
        <v>80</v>
      </c>
      <c r="J104" s="13">
        <v>3867</v>
      </c>
      <c r="K104" s="13" t="s">
        <v>80</v>
      </c>
      <c r="L104" s="13" t="s">
        <v>80</v>
      </c>
      <c r="M104" s="13" t="s">
        <v>80</v>
      </c>
      <c r="N104" s="13" t="s">
        <v>80</v>
      </c>
      <c r="O104" s="13" t="s">
        <v>80</v>
      </c>
      <c r="P104" s="13" t="s">
        <v>80</v>
      </c>
      <c r="Q104" s="13" t="s">
        <v>80</v>
      </c>
      <c r="R104" s="13" t="s">
        <v>80</v>
      </c>
      <c r="S104" s="13" t="s">
        <v>80</v>
      </c>
      <c r="T104" s="13" t="s">
        <v>80</v>
      </c>
      <c r="U104" s="13" t="s">
        <v>80</v>
      </c>
      <c r="V104" s="13" t="s">
        <v>80</v>
      </c>
      <c r="W104" s="13" t="s">
        <v>80</v>
      </c>
    </row>
    <row r="105" spans="1:23" x14ac:dyDescent="0.25">
      <c r="A105" s="10" t="s">
        <v>554</v>
      </c>
      <c r="B105" s="10" t="s">
        <v>555</v>
      </c>
      <c r="C105" s="13" t="s">
        <v>80</v>
      </c>
      <c r="D105" s="13" t="s">
        <v>80</v>
      </c>
      <c r="E105" s="13" t="s">
        <v>80</v>
      </c>
      <c r="F105" s="13" t="s">
        <v>80</v>
      </c>
      <c r="G105" s="13" t="s">
        <v>80</v>
      </c>
      <c r="H105" s="13">
        <v>141</v>
      </c>
      <c r="I105" s="13" t="s">
        <v>80</v>
      </c>
      <c r="J105" s="13">
        <v>418</v>
      </c>
      <c r="K105" s="13" t="s">
        <v>80</v>
      </c>
      <c r="L105" s="13" t="s">
        <v>80</v>
      </c>
      <c r="M105" s="13" t="s">
        <v>80</v>
      </c>
      <c r="N105" s="13" t="s">
        <v>80</v>
      </c>
      <c r="O105" s="13" t="s">
        <v>80</v>
      </c>
      <c r="P105" s="13" t="s">
        <v>80</v>
      </c>
      <c r="Q105" s="13" t="s">
        <v>80</v>
      </c>
      <c r="R105" s="13" t="s">
        <v>80</v>
      </c>
      <c r="S105" s="13" t="s">
        <v>80</v>
      </c>
      <c r="T105" s="13" t="s">
        <v>80</v>
      </c>
      <c r="U105" s="13" t="s">
        <v>80</v>
      </c>
      <c r="V105" s="13" t="s">
        <v>80</v>
      </c>
      <c r="W105" s="13" t="s">
        <v>80</v>
      </c>
    </row>
    <row r="106" spans="1:23" x14ac:dyDescent="0.25">
      <c r="A106" s="10" t="s">
        <v>556</v>
      </c>
      <c r="B106" s="10" t="s">
        <v>557</v>
      </c>
      <c r="C106" s="13" t="s">
        <v>80</v>
      </c>
      <c r="D106" s="13" t="s">
        <v>80</v>
      </c>
      <c r="E106" s="13" t="s">
        <v>80</v>
      </c>
      <c r="F106" s="13" t="s">
        <v>80</v>
      </c>
      <c r="G106" s="13" t="s">
        <v>80</v>
      </c>
      <c r="H106" s="13">
        <v>1600</v>
      </c>
      <c r="I106" s="13" t="s">
        <v>80</v>
      </c>
      <c r="J106" s="13">
        <v>3288</v>
      </c>
      <c r="K106" s="13" t="s">
        <v>80</v>
      </c>
      <c r="L106" s="13" t="s">
        <v>80</v>
      </c>
      <c r="M106" s="13" t="s">
        <v>80</v>
      </c>
      <c r="N106" s="13" t="s">
        <v>80</v>
      </c>
      <c r="O106" s="13" t="s">
        <v>80</v>
      </c>
      <c r="P106" s="13" t="s">
        <v>80</v>
      </c>
      <c r="Q106" s="13" t="s">
        <v>80</v>
      </c>
      <c r="R106" s="13" t="s">
        <v>80</v>
      </c>
      <c r="S106" s="13" t="s">
        <v>80</v>
      </c>
      <c r="T106" s="13" t="s">
        <v>80</v>
      </c>
      <c r="U106" s="13" t="s">
        <v>80</v>
      </c>
      <c r="V106" s="13" t="s">
        <v>80</v>
      </c>
      <c r="W106" s="13" t="s">
        <v>80</v>
      </c>
    </row>
    <row r="107" spans="1:23" x14ac:dyDescent="0.25">
      <c r="A107" s="10" t="s">
        <v>558</v>
      </c>
      <c r="B107" s="10" t="s">
        <v>559</v>
      </c>
      <c r="C107" s="14" t="s">
        <v>80</v>
      </c>
      <c r="D107" s="14" t="s">
        <v>80</v>
      </c>
      <c r="E107" s="14" t="s">
        <v>80</v>
      </c>
      <c r="F107" s="14" t="s">
        <v>80</v>
      </c>
      <c r="G107" s="14" t="s">
        <v>80</v>
      </c>
      <c r="H107" s="14" t="s">
        <v>80</v>
      </c>
      <c r="I107" s="14" t="s">
        <v>80</v>
      </c>
      <c r="J107" s="14" t="s">
        <v>80</v>
      </c>
      <c r="K107" s="14" t="s">
        <v>80</v>
      </c>
      <c r="L107" s="14" t="s">
        <v>80</v>
      </c>
      <c r="M107" s="14" t="s">
        <v>80</v>
      </c>
      <c r="N107" s="14" t="s">
        <v>80</v>
      </c>
      <c r="O107" s="14">
        <v>28</v>
      </c>
      <c r="P107" s="14">
        <v>27</v>
      </c>
      <c r="Q107" s="14">
        <v>27</v>
      </c>
      <c r="R107" s="14">
        <v>26</v>
      </c>
      <c r="S107" s="14">
        <v>24</v>
      </c>
      <c r="T107" s="14">
        <v>26</v>
      </c>
      <c r="U107" s="14">
        <v>26</v>
      </c>
      <c r="V107" s="14">
        <v>26</v>
      </c>
      <c r="W107" s="14">
        <v>27</v>
      </c>
    </row>
    <row r="108" spans="1:23" x14ac:dyDescent="0.25">
      <c r="A108" s="10" t="s">
        <v>560</v>
      </c>
      <c r="B108" s="10" t="s">
        <v>561</v>
      </c>
      <c r="C108" s="13" t="s">
        <v>80</v>
      </c>
      <c r="D108" s="13" t="s">
        <v>80</v>
      </c>
      <c r="E108" s="13" t="s">
        <v>80</v>
      </c>
      <c r="F108" s="13">
        <v>0.18099999999999999</v>
      </c>
      <c r="G108" s="13">
        <v>197</v>
      </c>
      <c r="H108" s="13">
        <v>227</v>
      </c>
      <c r="I108" s="13" t="s">
        <v>80</v>
      </c>
      <c r="J108" s="13" t="s">
        <v>80</v>
      </c>
      <c r="K108" s="13" t="s">
        <v>80</v>
      </c>
      <c r="L108" s="13" t="s">
        <v>80</v>
      </c>
      <c r="M108" s="13" t="s">
        <v>80</v>
      </c>
      <c r="N108" s="13" t="s">
        <v>80</v>
      </c>
      <c r="O108" s="13">
        <v>434</v>
      </c>
      <c r="P108" s="13">
        <v>466</v>
      </c>
      <c r="Q108" s="13">
        <v>468</v>
      </c>
      <c r="R108" s="13">
        <v>456</v>
      </c>
      <c r="S108" s="13">
        <v>516</v>
      </c>
      <c r="T108" s="13">
        <v>531</v>
      </c>
      <c r="U108" s="13">
        <v>569</v>
      </c>
      <c r="V108" s="13">
        <v>644</v>
      </c>
      <c r="W108" s="13">
        <v>800</v>
      </c>
    </row>
    <row r="109" spans="1:23" x14ac:dyDescent="0.25">
      <c r="A109" s="10" t="s">
        <v>562</v>
      </c>
      <c r="B109" s="10" t="s">
        <v>563</v>
      </c>
      <c r="C109" s="13" t="s">
        <v>80</v>
      </c>
      <c r="D109" s="13" t="s">
        <v>80</v>
      </c>
      <c r="E109" s="13" t="s">
        <v>80</v>
      </c>
      <c r="F109" s="13">
        <v>-0.216</v>
      </c>
      <c r="G109" s="13">
        <v>-274</v>
      </c>
      <c r="H109" s="13">
        <v>-2.9999999999999997E-4</v>
      </c>
      <c r="I109" s="13" t="s">
        <v>80</v>
      </c>
      <c r="J109" s="13" t="s">
        <v>80</v>
      </c>
      <c r="K109" s="13" t="s">
        <v>80</v>
      </c>
      <c r="L109" s="13" t="s">
        <v>80</v>
      </c>
      <c r="M109" s="13" t="s">
        <v>80</v>
      </c>
      <c r="N109" s="13" t="s">
        <v>80</v>
      </c>
      <c r="O109" s="13">
        <v>-489</v>
      </c>
      <c r="P109" s="13">
        <v>-337</v>
      </c>
      <c r="Q109" s="13">
        <v>-347</v>
      </c>
      <c r="R109" s="13">
        <v>-269</v>
      </c>
      <c r="S109" s="13">
        <v>-286</v>
      </c>
      <c r="T109" s="13">
        <v>-264</v>
      </c>
      <c r="U109" s="13">
        <v>-238</v>
      </c>
      <c r="V109" s="13">
        <v>-227</v>
      </c>
      <c r="W109" s="13">
        <v>-180</v>
      </c>
    </row>
    <row r="110" spans="1:23" x14ac:dyDescent="0.25">
      <c r="A110" s="10" t="s">
        <v>564</v>
      </c>
      <c r="B110" s="10" t="s">
        <v>565</v>
      </c>
      <c r="C110" s="14" t="s">
        <v>80</v>
      </c>
      <c r="D110" s="14" t="s">
        <v>80</v>
      </c>
      <c r="E110" s="14" t="s">
        <v>80</v>
      </c>
      <c r="F110" s="14" t="s">
        <v>80</v>
      </c>
      <c r="G110" s="14" t="s">
        <v>80</v>
      </c>
      <c r="H110" s="14" t="s">
        <v>80</v>
      </c>
      <c r="I110" s="14" t="s">
        <v>80</v>
      </c>
      <c r="J110" s="14" t="s">
        <v>80</v>
      </c>
      <c r="K110" s="14" t="s">
        <v>80</v>
      </c>
      <c r="L110" s="14" t="s">
        <v>80</v>
      </c>
      <c r="M110" s="14" t="s">
        <v>80</v>
      </c>
      <c r="N110" s="14" t="s">
        <v>80</v>
      </c>
      <c r="O110" s="14" t="s">
        <v>80</v>
      </c>
      <c r="P110" s="14" t="s">
        <v>80</v>
      </c>
      <c r="Q110" s="14" t="s">
        <v>80</v>
      </c>
      <c r="R110" s="14" t="s">
        <v>80</v>
      </c>
      <c r="S110" s="14" t="s">
        <v>80</v>
      </c>
      <c r="T110" s="14" t="s">
        <v>80</v>
      </c>
      <c r="U110" s="14">
        <v>9.0894999999999992</v>
      </c>
      <c r="V110" s="14">
        <v>9.9867000000000008</v>
      </c>
      <c r="W110" s="14" t="s">
        <v>80</v>
      </c>
    </row>
    <row r="111" spans="1:23" x14ac:dyDescent="0.25">
      <c r="A111" s="10" t="s">
        <v>566</v>
      </c>
      <c r="B111" s="10" t="s">
        <v>567</v>
      </c>
      <c r="C111" s="13" t="s">
        <v>80</v>
      </c>
      <c r="D111" s="13" t="s">
        <v>80</v>
      </c>
      <c r="E111" s="13" t="s">
        <v>80</v>
      </c>
      <c r="F111" s="13" t="s">
        <v>80</v>
      </c>
      <c r="G111" s="13" t="s">
        <v>80</v>
      </c>
      <c r="H111" s="13" t="s">
        <v>80</v>
      </c>
      <c r="I111" s="13" t="s">
        <v>80</v>
      </c>
      <c r="J111" s="13" t="s">
        <v>80</v>
      </c>
      <c r="K111" s="13" t="s">
        <v>80</v>
      </c>
      <c r="L111" s="13" t="s">
        <v>80</v>
      </c>
      <c r="M111" s="13">
        <v>0.65100000000000002</v>
      </c>
      <c r="N111" s="13" t="s">
        <v>80</v>
      </c>
      <c r="O111" s="13" t="s">
        <v>80</v>
      </c>
      <c r="P111" s="13" t="s">
        <v>80</v>
      </c>
      <c r="Q111" s="13" t="s">
        <v>80</v>
      </c>
      <c r="R111" s="13" t="s">
        <v>80</v>
      </c>
      <c r="S111" s="13" t="s">
        <v>80</v>
      </c>
      <c r="T111" s="13" t="s">
        <v>80</v>
      </c>
      <c r="U111" s="13" t="s">
        <v>80</v>
      </c>
      <c r="V111" s="13" t="s">
        <v>80</v>
      </c>
      <c r="W111" s="13" t="s">
        <v>80</v>
      </c>
    </row>
    <row r="112" spans="1:23" x14ac:dyDescent="0.25">
      <c r="A112" s="10" t="s">
        <v>568</v>
      </c>
      <c r="B112" s="10" t="s">
        <v>569</v>
      </c>
      <c r="C112" s="13" t="s">
        <v>80</v>
      </c>
      <c r="D112" s="13" t="s">
        <v>80</v>
      </c>
      <c r="E112" s="13" t="s">
        <v>80</v>
      </c>
      <c r="F112" s="13" t="s">
        <v>80</v>
      </c>
      <c r="G112" s="13" t="s">
        <v>80</v>
      </c>
      <c r="H112" s="13" t="s">
        <v>80</v>
      </c>
      <c r="I112" s="13" t="s">
        <v>80</v>
      </c>
      <c r="J112" s="13" t="s">
        <v>80</v>
      </c>
      <c r="K112" s="13" t="s">
        <v>80</v>
      </c>
      <c r="L112" s="13" t="s">
        <v>80</v>
      </c>
      <c r="M112" s="13">
        <v>0.39500000000000002</v>
      </c>
      <c r="N112" s="13" t="s">
        <v>80</v>
      </c>
      <c r="O112" s="13" t="s">
        <v>80</v>
      </c>
      <c r="P112" s="13" t="s">
        <v>80</v>
      </c>
      <c r="Q112" s="13" t="s">
        <v>80</v>
      </c>
      <c r="R112" s="13" t="s">
        <v>80</v>
      </c>
      <c r="S112" s="13" t="s">
        <v>80</v>
      </c>
      <c r="T112" s="13" t="s">
        <v>80</v>
      </c>
      <c r="U112" s="13" t="s">
        <v>80</v>
      </c>
      <c r="V112" s="13" t="s">
        <v>80</v>
      </c>
      <c r="W112" s="13" t="s">
        <v>80</v>
      </c>
    </row>
    <row r="113" spans="1:23" x14ac:dyDescent="0.25">
      <c r="A113" s="10" t="s">
        <v>570</v>
      </c>
      <c r="B113" s="10" t="s">
        <v>571</v>
      </c>
      <c r="C113" s="13" t="s">
        <v>80</v>
      </c>
      <c r="D113" s="13" t="s">
        <v>80</v>
      </c>
      <c r="E113" s="13" t="s">
        <v>80</v>
      </c>
      <c r="F113" s="13">
        <v>0.66900000000000004</v>
      </c>
      <c r="G113" s="13" t="s">
        <v>80</v>
      </c>
      <c r="H113" s="13" t="s">
        <v>80</v>
      </c>
      <c r="I113" s="13" t="s">
        <v>80</v>
      </c>
      <c r="J113" s="13" t="s">
        <v>80</v>
      </c>
      <c r="K113" s="13" t="s">
        <v>80</v>
      </c>
      <c r="L113" s="13" t="s">
        <v>80</v>
      </c>
      <c r="M113" s="13" t="s">
        <v>80</v>
      </c>
      <c r="N113" s="13" t="s">
        <v>80</v>
      </c>
      <c r="O113" s="13" t="s">
        <v>80</v>
      </c>
      <c r="P113" s="13" t="s">
        <v>80</v>
      </c>
      <c r="Q113" s="13" t="s">
        <v>80</v>
      </c>
      <c r="R113" s="13" t="s">
        <v>80</v>
      </c>
      <c r="S113" s="13" t="s">
        <v>80</v>
      </c>
      <c r="T113" s="13" t="s">
        <v>80</v>
      </c>
      <c r="U113" s="13" t="s">
        <v>80</v>
      </c>
      <c r="V113" s="13" t="s">
        <v>80</v>
      </c>
      <c r="W113" s="13" t="s">
        <v>80</v>
      </c>
    </row>
    <row r="114" spans="1:23" x14ac:dyDescent="0.25">
      <c r="A114" s="10" t="s">
        <v>572</v>
      </c>
      <c r="B114" s="10" t="s">
        <v>573</v>
      </c>
      <c r="C114" s="13" t="s">
        <v>80</v>
      </c>
      <c r="D114" s="13" t="s">
        <v>80</v>
      </c>
      <c r="E114" s="13" t="s">
        <v>80</v>
      </c>
      <c r="F114" s="13">
        <v>0.105</v>
      </c>
      <c r="G114" s="13" t="s">
        <v>80</v>
      </c>
      <c r="H114" s="13" t="s">
        <v>80</v>
      </c>
      <c r="I114" s="13" t="s">
        <v>80</v>
      </c>
      <c r="J114" s="13" t="s">
        <v>80</v>
      </c>
      <c r="K114" s="13" t="s">
        <v>80</v>
      </c>
      <c r="L114" s="13" t="s">
        <v>80</v>
      </c>
      <c r="M114" s="13" t="s">
        <v>80</v>
      </c>
      <c r="N114" s="13" t="s">
        <v>80</v>
      </c>
      <c r="O114" s="13" t="s">
        <v>80</v>
      </c>
      <c r="P114" s="13" t="s">
        <v>80</v>
      </c>
      <c r="Q114" s="13" t="s">
        <v>80</v>
      </c>
      <c r="R114" s="13" t="s">
        <v>80</v>
      </c>
      <c r="S114" s="13" t="s">
        <v>80</v>
      </c>
      <c r="T114" s="13" t="s">
        <v>80</v>
      </c>
      <c r="U114" s="13" t="s">
        <v>80</v>
      </c>
      <c r="V114" s="13" t="s">
        <v>80</v>
      </c>
      <c r="W114" s="13" t="s">
        <v>80</v>
      </c>
    </row>
    <row r="115" spans="1:23" x14ac:dyDescent="0.25">
      <c r="A115" s="10" t="s">
        <v>574</v>
      </c>
      <c r="B115" s="10" t="s">
        <v>575</v>
      </c>
      <c r="C115" s="14" t="s">
        <v>80</v>
      </c>
      <c r="D115" s="14" t="s">
        <v>80</v>
      </c>
      <c r="E115" s="14" t="s">
        <v>80</v>
      </c>
      <c r="F115" s="14" t="s">
        <v>80</v>
      </c>
      <c r="G115" s="14">
        <v>2.9020999999999999</v>
      </c>
      <c r="H115" s="14">
        <v>3.3222</v>
      </c>
      <c r="I115" s="14">
        <v>3.7867999999999999</v>
      </c>
      <c r="J115" s="14" t="s">
        <v>80</v>
      </c>
      <c r="K115" s="14" t="s">
        <v>80</v>
      </c>
      <c r="L115" s="14" t="s">
        <v>80</v>
      </c>
      <c r="M115" s="14" t="s">
        <v>80</v>
      </c>
      <c r="N115" s="14" t="s">
        <v>80</v>
      </c>
      <c r="O115" s="14" t="s">
        <v>80</v>
      </c>
      <c r="P115" s="14" t="s">
        <v>80</v>
      </c>
      <c r="Q115" s="14" t="s">
        <v>80</v>
      </c>
      <c r="R115" s="14" t="s">
        <v>80</v>
      </c>
      <c r="S115" s="14" t="s">
        <v>80</v>
      </c>
      <c r="T115" s="14" t="s">
        <v>80</v>
      </c>
      <c r="U115" s="14" t="s">
        <v>80</v>
      </c>
      <c r="V115" s="14" t="s">
        <v>80</v>
      </c>
      <c r="W115" s="14" t="s">
        <v>80</v>
      </c>
    </row>
    <row r="116" spans="1:23" x14ac:dyDescent="0.25">
      <c r="A116" s="10" t="s">
        <v>576</v>
      </c>
      <c r="B116" s="10" t="s">
        <v>577</v>
      </c>
      <c r="C116" s="14" t="s">
        <v>80</v>
      </c>
      <c r="D116" s="14" t="s">
        <v>80</v>
      </c>
      <c r="E116" s="14" t="s">
        <v>80</v>
      </c>
      <c r="F116" s="14" t="s">
        <v>80</v>
      </c>
      <c r="G116" s="14" t="s">
        <v>80</v>
      </c>
      <c r="H116" s="14" t="s">
        <v>80</v>
      </c>
      <c r="I116" s="14" t="s">
        <v>80</v>
      </c>
      <c r="J116" s="14" t="s">
        <v>80</v>
      </c>
      <c r="K116" s="14" t="s">
        <v>80</v>
      </c>
      <c r="L116" s="14" t="s">
        <v>80</v>
      </c>
      <c r="M116" s="14" t="s">
        <v>80</v>
      </c>
      <c r="N116" s="14" t="s">
        <v>80</v>
      </c>
      <c r="O116" s="14" t="s">
        <v>80</v>
      </c>
      <c r="P116" s="14" t="s">
        <v>80</v>
      </c>
      <c r="Q116" s="14" t="s">
        <v>80</v>
      </c>
      <c r="R116" s="14" t="s">
        <v>80</v>
      </c>
      <c r="S116" s="14" t="s">
        <v>80</v>
      </c>
      <c r="T116" s="14" t="s">
        <v>80</v>
      </c>
      <c r="U116" s="14">
        <v>5.2020999999999997</v>
      </c>
      <c r="V116" s="14">
        <v>3.5547</v>
      </c>
      <c r="W116" s="14" t="s">
        <v>80</v>
      </c>
    </row>
    <row r="117" spans="1:23" x14ac:dyDescent="0.25">
      <c r="A117" s="10" t="s">
        <v>158</v>
      </c>
      <c r="B117" s="10" t="s">
        <v>578</v>
      </c>
      <c r="C117" s="14" t="s">
        <v>80</v>
      </c>
      <c r="D117" s="14" t="s">
        <v>80</v>
      </c>
      <c r="E117" s="14" t="s">
        <v>80</v>
      </c>
      <c r="F117" s="14" t="s">
        <v>80</v>
      </c>
      <c r="G117" s="14" t="s">
        <v>80</v>
      </c>
      <c r="H117" s="14" t="s">
        <v>80</v>
      </c>
      <c r="I117" s="14" t="s">
        <v>80</v>
      </c>
      <c r="J117" s="14">
        <v>14.3</v>
      </c>
      <c r="K117" s="14" t="s">
        <v>80</v>
      </c>
      <c r="L117" s="14">
        <v>13.2</v>
      </c>
      <c r="M117" s="14">
        <v>13.3</v>
      </c>
      <c r="N117" s="14">
        <v>13.9</v>
      </c>
      <c r="O117" s="14">
        <v>17</v>
      </c>
      <c r="P117" s="14">
        <v>20.28</v>
      </c>
      <c r="Q117" s="14">
        <v>20.100000000000001</v>
      </c>
      <c r="R117" s="14">
        <v>14.8</v>
      </c>
      <c r="S117" s="14">
        <v>15.3</v>
      </c>
      <c r="T117" s="14">
        <v>19.2</v>
      </c>
      <c r="U117" s="14">
        <v>21.4</v>
      </c>
      <c r="V117" s="14">
        <v>22.4</v>
      </c>
      <c r="W117" s="14">
        <v>22.8</v>
      </c>
    </row>
    <row r="118" spans="1:23" x14ac:dyDescent="0.25">
      <c r="A118" s="10" t="s">
        <v>158</v>
      </c>
      <c r="B118" s="10" t="s">
        <v>578</v>
      </c>
      <c r="C118" s="14" t="s">
        <v>80</v>
      </c>
      <c r="D118" s="14" t="s">
        <v>80</v>
      </c>
      <c r="E118" s="14" t="s">
        <v>80</v>
      </c>
      <c r="F118" s="14" t="s">
        <v>80</v>
      </c>
      <c r="G118" s="14" t="s">
        <v>80</v>
      </c>
      <c r="H118" s="14" t="s">
        <v>80</v>
      </c>
      <c r="I118" s="14" t="s">
        <v>80</v>
      </c>
      <c r="J118" s="14">
        <v>14.3</v>
      </c>
      <c r="K118" s="14" t="s">
        <v>80</v>
      </c>
      <c r="L118" s="14">
        <v>13.2</v>
      </c>
      <c r="M118" s="14">
        <v>13.3</v>
      </c>
      <c r="N118" s="14">
        <v>13.9</v>
      </c>
      <c r="O118" s="14">
        <v>17</v>
      </c>
      <c r="P118" s="14">
        <v>20.28</v>
      </c>
      <c r="Q118" s="14">
        <v>20.100000000000001</v>
      </c>
      <c r="R118" s="14">
        <v>14.8</v>
      </c>
      <c r="S118" s="14">
        <v>15.3</v>
      </c>
      <c r="T118" s="14">
        <v>19.2</v>
      </c>
      <c r="U118" s="14">
        <v>21.4</v>
      </c>
      <c r="V118" s="14">
        <v>22.4</v>
      </c>
      <c r="W118" s="14">
        <v>22.8</v>
      </c>
    </row>
    <row r="119" spans="1:23" x14ac:dyDescent="0.25">
      <c r="A119" s="10" t="s">
        <v>154</v>
      </c>
      <c r="B119" s="10" t="s">
        <v>579</v>
      </c>
      <c r="C119" s="14" t="s">
        <v>80</v>
      </c>
      <c r="D119" s="14" t="s">
        <v>80</v>
      </c>
      <c r="E119" s="14" t="s">
        <v>80</v>
      </c>
      <c r="F119" s="14" t="s">
        <v>80</v>
      </c>
      <c r="G119" s="14" t="s">
        <v>80</v>
      </c>
      <c r="H119" s="14" t="s">
        <v>80</v>
      </c>
      <c r="I119" s="14" t="s">
        <v>80</v>
      </c>
      <c r="J119" s="14">
        <v>1.3</v>
      </c>
      <c r="K119" s="14" t="s">
        <v>80</v>
      </c>
      <c r="L119" s="14">
        <v>1.5</v>
      </c>
      <c r="M119" s="14">
        <v>1.58</v>
      </c>
      <c r="N119" s="14">
        <v>1.58</v>
      </c>
      <c r="O119" s="14">
        <v>1.86</v>
      </c>
      <c r="P119" s="14">
        <v>2.1800000000000002</v>
      </c>
      <c r="Q119" s="14">
        <v>2.2999999999999998</v>
      </c>
      <c r="R119" s="14">
        <v>1.8</v>
      </c>
      <c r="S119" s="14">
        <v>1.9</v>
      </c>
      <c r="T119" s="14">
        <v>2.2999999999999998</v>
      </c>
      <c r="U119" s="14">
        <v>2.4</v>
      </c>
      <c r="V119" s="14">
        <v>2.2999999999999998</v>
      </c>
      <c r="W119" s="14">
        <v>2.2999999999999998</v>
      </c>
    </row>
    <row r="120" spans="1:23" x14ac:dyDescent="0.25">
      <c r="A120" s="10" t="s">
        <v>154</v>
      </c>
      <c r="B120" s="10" t="s">
        <v>579</v>
      </c>
      <c r="C120" s="14" t="s">
        <v>80</v>
      </c>
      <c r="D120" s="14" t="s">
        <v>80</v>
      </c>
      <c r="E120" s="14" t="s">
        <v>80</v>
      </c>
      <c r="F120" s="14" t="s">
        <v>80</v>
      </c>
      <c r="G120" s="14" t="s">
        <v>80</v>
      </c>
      <c r="H120" s="14" t="s">
        <v>80</v>
      </c>
      <c r="I120" s="14" t="s">
        <v>80</v>
      </c>
      <c r="J120" s="14">
        <v>1.3</v>
      </c>
      <c r="K120" s="14" t="s">
        <v>80</v>
      </c>
      <c r="L120" s="14">
        <v>1.5</v>
      </c>
      <c r="M120" s="14">
        <v>1.58</v>
      </c>
      <c r="N120" s="14">
        <v>1.58</v>
      </c>
      <c r="O120" s="14">
        <v>1.86</v>
      </c>
      <c r="P120" s="14">
        <v>2.1800000000000002</v>
      </c>
      <c r="Q120" s="14">
        <v>2.2999999999999998</v>
      </c>
      <c r="R120" s="14">
        <v>1.8</v>
      </c>
      <c r="S120" s="14">
        <v>1.9</v>
      </c>
      <c r="T120" s="14">
        <v>2.2999999999999998</v>
      </c>
      <c r="U120" s="14">
        <v>2.4</v>
      </c>
      <c r="V120" s="14">
        <v>2.2999999999999998</v>
      </c>
      <c r="W120" s="14">
        <v>2.2999999999999998</v>
      </c>
    </row>
    <row r="121" spans="1:23" x14ac:dyDescent="0.25">
      <c r="A121" s="10" t="s">
        <v>148</v>
      </c>
      <c r="B121" s="10" t="s">
        <v>580</v>
      </c>
      <c r="C121" s="14" t="s">
        <v>80</v>
      </c>
      <c r="D121" s="14" t="s">
        <v>80</v>
      </c>
      <c r="E121" s="14" t="s">
        <v>80</v>
      </c>
      <c r="F121" s="14" t="s">
        <v>80</v>
      </c>
      <c r="G121" s="14" t="s">
        <v>80</v>
      </c>
      <c r="H121" s="14" t="s">
        <v>80</v>
      </c>
      <c r="I121" s="14">
        <v>55.7</v>
      </c>
      <c r="J121" s="14">
        <v>54</v>
      </c>
      <c r="K121" s="14">
        <v>52</v>
      </c>
      <c r="L121" s="14">
        <v>48.5</v>
      </c>
      <c r="M121" s="14">
        <v>47.9</v>
      </c>
      <c r="N121" s="14">
        <v>44.9</v>
      </c>
      <c r="O121" s="14">
        <v>41.9</v>
      </c>
      <c r="P121" s="14">
        <v>39.03</v>
      </c>
      <c r="Q121" s="14">
        <v>39.1</v>
      </c>
      <c r="R121" s="14">
        <v>41.4</v>
      </c>
      <c r="S121" s="14">
        <v>45.4</v>
      </c>
      <c r="T121" s="14">
        <v>38</v>
      </c>
      <c r="U121" s="14">
        <v>36.200000000000003</v>
      </c>
      <c r="V121" s="14">
        <v>38.1</v>
      </c>
      <c r="W121" s="14">
        <v>38.299999999999997</v>
      </c>
    </row>
    <row r="122" spans="1:23" x14ac:dyDescent="0.25">
      <c r="A122" s="10" t="s">
        <v>144</v>
      </c>
      <c r="B122" s="10" t="s">
        <v>581</v>
      </c>
      <c r="C122" s="14" t="s">
        <v>80</v>
      </c>
      <c r="D122" s="14" t="s">
        <v>80</v>
      </c>
      <c r="E122" s="14" t="s">
        <v>80</v>
      </c>
      <c r="F122" s="14" t="s">
        <v>80</v>
      </c>
      <c r="G122" s="14" t="s">
        <v>80</v>
      </c>
      <c r="H122" s="14" t="s">
        <v>80</v>
      </c>
      <c r="I122" s="14" t="s">
        <v>80</v>
      </c>
      <c r="J122" s="14">
        <v>4.0999999999999996</v>
      </c>
      <c r="K122" s="14" t="s">
        <v>80</v>
      </c>
      <c r="L122" s="14">
        <v>4.3</v>
      </c>
      <c r="M122" s="14">
        <v>4.5</v>
      </c>
      <c r="N122" s="14">
        <v>4.8</v>
      </c>
      <c r="O122" s="14">
        <v>5.5</v>
      </c>
      <c r="P122" s="14">
        <v>5.63</v>
      </c>
      <c r="Q122" s="14">
        <v>5.6</v>
      </c>
      <c r="R122" s="14">
        <v>5.3</v>
      </c>
      <c r="S122" s="14">
        <v>4.8</v>
      </c>
      <c r="T122" s="14">
        <v>6.3</v>
      </c>
      <c r="U122" s="14">
        <v>6.3</v>
      </c>
      <c r="V122" s="14">
        <v>6.3</v>
      </c>
      <c r="W122" s="14">
        <v>6.3</v>
      </c>
    </row>
    <row r="123" spans="1:23" x14ac:dyDescent="0.25">
      <c r="A123" s="10" t="s">
        <v>582</v>
      </c>
      <c r="B123" s="10" t="s">
        <v>583</v>
      </c>
      <c r="C123" s="14" t="s">
        <v>80</v>
      </c>
      <c r="D123" s="14" t="s">
        <v>80</v>
      </c>
      <c r="E123" s="14" t="s">
        <v>80</v>
      </c>
      <c r="F123" s="14" t="s">
        <v>80</v>
      </c>
      <c r="G123" s="14" t="s">
        <v>80</v>
      </c>
      <c r="H123" s="14" t="s">
        <v>80</v>
      </c>
      <c r="I123" s="14" t="s">
        <v>80</v>
      </c>
      <c r="J123" s="14" t="s">
        <v>80</v>
      </c>
      <c r="K123" s="14" t="s">
        <v>80</v>
      </c>
      <c r="L123" s="14" t="s">
        <v>80</v>
      </c>
      <c r="M123" s="14" t="s">
        <v>80</v>
      </c>
      <c r="N123" s="14" t="s">
        <v>80</v>
      </c>
      <c r="O123" s="14">
        <v>30</v>
      </c>
      <c r="P123" s="14">
        <v>30</v>
      </c>
      <c r="Q123" s="14">
        <v>30</v>
      </c>
      <c r="R123" s="14">
        <v>30</v>
      </c>
      <c r="S123" s="14">
        <v>30</v>
      </c>
      <c r="T123" s="14">
        <v>30</v>
      </c>
      <c r="U123" s="14">
        <v>30</v>
      </c>
      <c r="V123" s="14">
        <v>30</v>
      </c>
      <c r="W123" s="14">
        <v>30</v>
      </c>
    </row>
    <row r="124" spans="1:23" x14ac:dyDescent="0.25">
      <c r="A124" s="10" t="s">
        <v>584</v>
      </c>
      <c r="B124" s="10" t="s">
        <v>585</v>
      </c>
      <c r="C124" s="13" t="s">
        <v>80</v>
      </c>
      <c r="D124" s="13" t="s">
        <v>80</v>
      </c>
      <c r="E124" s="13" t="s">
        <v>80</v>
      </c>
      <c r="F124" s="13" t="s">
        <v>80</v>
      </c>
      <c r="G124" s="13" t="s">
        <v>80</v>
      </c>
      <c r="H124" s="13" t="s">
        <v>80</v>
      </c>
      <c r="I124" s="13" t="s">
        <v>80</v>
      </c>
      <c r="J124" s="13" t="s">
        <v>80</v>
      </c>
      <c r="K124" s="13" t="s">
        <v>80</v>
      </c>
      <c r="L124" s="13" t="s">
        <v>80</v>
      </c>
      <c r="M124" s="13" t="s">
        <v>80</v>
      </c>
      <c r="N124" s="13" t="s">
        <v>80</v>
      </c>
      <c r="O124" s="13">
        <v>1.3</v>
      </c>
      <c r="P124" s="13">
        <v>1.4</v>
      </c>
      <c r="Q124" s="13">
        <v>0.9</v>
      </c>
      <c r="R124" s="13" t="s">
        <v>80</v>
      </c>
      <c r="S124" s="13">
        <v>29.1</v>
      </c>
      <c r="T124" s="13">
        <v>29.1</v>
      </c>
      <c r="U124" s="13" t="s">
        <v>80</v>
      </c>
      <c r="V124" s="13" t="s">
        <v>80</v>
      </c>
      <c r="W124" s="13" t="s">
        <v>80</v>
      </c>
    </row>
    <row r="125" spans="1:23" x14ac:dyDescent="0.25">
      <c r="A125" s="10" t="s">
        <v>586</v>
      </c>
      <c r="B125" s="10" t="s">
        <v>587</v>
      </c>
      <c r="C125" s="13" t="s">
        <v>80</v>
      </c>
      <c r="D125" s="13" t="s">
        <v>80</v>
      </c>
      <c r="E125" s="13" t="s">
        <v>80</v>
      </c>
      <c r="F125" s="13" t="s">
        <v>80</v>
      </c>
      <c r="G125" s="13" t="s">
        <v>80</v>
      </c>
      <c r="H125" s="13" t="s">
        <v>80</v>
      </c>
      <c r="I125" s="13" t="s">
        <v>80</v>
      </c>
      <c r="J125" s="13" t="s">
        <v>80</v>
      </c>
      <c r="K125" s="13" t="s">
        <v>80</v>
      </c>
      <c r="L125" s="13" t="s">
        <v>80</v>
      </c>
      <c r="M125" s="13" t="s">
        <v>80</v>
      </c>
      <c r="N125" s="13" t="s">
        <v>80</v>
      </c>
      <c r="O125" s="13">
        <v>4</v>
      </c>
      <c r="P125" s="13" t="s">
        <v>80</v>
      </c>
      <c r="Q125" s="13" t="s">
        <v>80</v>
      </c>
      <c r="R125" s="13" t="s">
        <v>80</v>
      </c>
      <c r="S125" s="13" t="s">
        <v>80</v>
      </c>
      <c r="T125" s="13" t="s">
        <v>80</v>
      </c>
      <c r="U125" s="13" t="s">
        <v>80</v>
      </c>
      <c r="V125" s="13" t="s">
        <v>80</v>
      </c>
      <c r="W125" s="13" t="s">
        <v>80</v>
      </c>
    </row>
    <row r="126" spans="1:23" x14ac:dyDescent="0.25">
      <c r="A126" s="10" t="s">
        <v>588</v>
      </c>
      <c r="B126" s="10" t="s">
        <v>589</v>
      </c>
      <c r="C126" s="13" t="s">
        <v>80</v>
      </c>
      <c r="D126" s="13" t="s">
        <v>80</v>
      </c>
      <c r="E126" s="13" t="s">
        <v>80</v>
      </c>
      <c r="F126" s="13" t="s">
        <v>80</v>
      </c>
      <c r="G126" s="13" t="s">
        <v>80</v>
      </c>
      <c r="H126" s="13" t="s">
        <v>80</v>
      </c>
      <c r="I126" s="13" t="s">
        <v>80</v>
      </c>
      <c r="J126" s="13" t="s">
        <v>80</v>
      </c>
      <c r="K126" s="13" t="s">
        <v>80</v>
      </c>
      <c r="L126" s="13" t="s">
        <v>80</v>
      </c>
      <c r="M126" s="13" t="s">
        <v>80</v>
      </c>
      <c r="N126" s="13" t="s">
        <v>80</v>
      </c>
      <c r="O126" s="13" t="s">
        <v>80</v>
      </c>
      <c r="P126" s="13" t="s">
        <v>80</v>
      </c>
      <c r="Q126" s="13" t="s">
        <v>80</v>
      </c>
      <c r="R126" s="13" t="s">
        <v>80</v>
      </c>
      <c r="S126" s="13" t="s">
        <v>80</v>
      </c>
      <c r="T126" s="13" t="s">
        <v>80</v>
      </c>
      <c r="U126" s="13" t="s">
        <v>80</v>
      </c>
      <c r="V126" s="13">
        <v>666</v>
      </c>
      <c r="W126" s="13">
        <v>676</v>
      </c>
    </row>
    <row r="127" spans="1:23" x14ac:dyDescent="0.25">
      <c r="A127" s="7" t="s">
        <v>87</v>
      </c>
      <c r="B127" s="7"/>
      <c r="C127" s="7" t="s">
        <v>3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2"/>
  <sheetViews>
    <sheetView topLeftCell="E1" workbookViewId="0">
      <selection activeCell="T7" sqref="T7"/>
    </sheetView>
  </sheetViews>
  <sheetFormatPr baseColWidth="10"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590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89</v>
      </c>
      <c r="B4" s="3"/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28</v>
      </c>
      <c r="S4" s="4" t="s">
        <v>29</v>
      </c>
      <c r="T4" s="4" t="s">
        <v>263</v>
      </c>
    </row>
    <row r="5" spans="1:20" x14ac:dyDescent="0.25">
      <c r="A5" s="9" t="s">
        <v>31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</row>
    <row r="6" spans="1:20" x14ac:dyDescent="0.25">
      <c r="A6" s="6" t="s">
        <v>591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1"/>
    </row>
    <row r="7" spans="1:20" x14ac:dyDescent="0.25">
      <c r="A7" s="6" t="s">
        <v>312</v>
      </c>
      <c r="B7" s="6" t="s">
        <v>303</v>
      </c>
      <c r="C7" s="19">
        <v>7922</v>
      </c>
      <c r="D7" s="19">
        <v>9847</v>
      </c>
      <c r="E7" s="19">
        <v>13121</v>
      </c>
      <c r="F7" s="19">
        <v>16203</v>
      </c>
      <c r="G7" s="19">
        <v>17834</v>
      </c>
      <c r="H7" s="19">
        <v>21121</v>
      </c>
      <c r="I7" s="19">
        <v>23106</v>
      </c>
      <c r="J7" s="19">
        <v>26211</v>
      </c>
      <c r="K7" s="19">
        <v>33208</v>
      </c>
      <c r="L7" s="19">
        <v>44050</v>
      </c>
      <c r="M7" s="19">
        <v>49832</v>
      </c>
      <c r="N7" s="19">
        <v>40946</v>
      </c>
      <c r="O7" s="19">
        <v>46095</v>
      </c>
      <c r="P7" s="19">
        <v>61988</v>
      </c>
      <c r="Q7" s="19">
        <v>70974</v>
      </c>
      <c r="R7" s="19">
        <v>77556</v>
      </c>
      <c r="S7" s="19">
        <v>83618</v>
      </c>
      <c r="T7" s="22">
        <v>83658</v>
      </c>
    </row>
    <row r="8" spans="1:20" x14ac:dyDescent="0.25">
      <c r="A8" s="10" t="s">
        <v>592</v>
      </c>
      <c r="B8" s="10" t="s">
        <v>307</v>
      </c>
      <c r="C8" s="13" t="s">
        <v>80</v>
      </c>
      <c r="D8" s="13" t="s">
        <v>80</v>
      </c>
      <c r="E8" s="13" t="s">
        <v>80</v>
      </c>
      <c r="F8" s="13" t="s">
        <v>80</v>
      </c>
      <c r="G8" s="13" t="s">
        <v>80</v>
      </c>
      <c r="H8" s="13" t="s">
        <v>80</v>
      </c>
      <c r="I8" s="13" t="s">
        <v>80</v>
      </c>
      <c r="J8" s="13" t="s">
        <v>80</v>
      </c>
      <c r="K8" s="13">
        <v>-159</v>
      </c>
      <c r="L8" s="13">
        <v>-275</v>
      </c>
      <c r="M8" s="13">
        <v>545</v>
      </c>
      <c r="N8" s="13">
        <v>514</v>
      </c>
      <c r="O8" s="13" t="s">
        <v>80</v>
      </c>
      <c r="P8" s="13" t="s">
        <v>80</v>
      </c>
      <c r="Q8" s="13" t="s">
        <v>80</v>
      </c>
      <c r="R8" s="13" t="s">
        <v>80</v>
      </c>
      <c r="S8" s="13" t="s">
        <v>80</v>
      </c>
      <c r="T8" s="16"/>
    </row>
    <row r="9" spans="1:20" x14ac:dyDescent="0.25">
      <c r="A9" s="10" t="s">
        <v>308</v>
      </c>
      <c r="B9" s="10" t="s">
        <v>309</v>
      </c>
      <c r="C9" s="13" t="s">
        <v>80</v>
      </c>
      <c r="D9" s="13" t="s">
        <v>80</v>
      </c>
      <c r="E9" s="13" t="s">
        <v>80</v>
      </c>
      <c r="F9" s="13" t="s">
        <v>80</v>
      </c>
      <c r="G9" s="13" t="s">
        <v>80</v>
      </c>
      <c r="H9" s="13" t="s">
        <v>80</v>
      </c>
      <c r="I9" s="13" t="s">
        <v>80</v>
      </c>
      <c r="J9" s="13" t="s">
        <v>80</v>
      </c>
      <c r="K9" s="13">
        <v>493</v>
      </c>
      <c r="L9" s="13">
        <v>180</v>
      </c>
      <c r="M9" s="13">
        <v>132</v>
      </c>
      <c r="N9" s="13">
        <v>55</v>
      </c>
      <c r="O9" s="13">
        <v>372</v>
      </c>
      <c r="P9" s="13" t="s">
        <v>80</v>
      </c>
      <c r="Q9" s="13" t="s">
        <v>80</v>
      </c>
      <c r="R9" s="13" t="s">
        <v>80</v>
      </c>
      <c r="S9" s="13" t="s">
        <v>80</v>
      </c>
      <c r="T9" s="16"/>
    </row>
    <row r="10" spans="1:20" x14ac:dyDescent="0.25">
      <c r="A10" s="10" t="s">
        <v>310</v>
      </c>
      <c r="B10" s="10" t="s">
        <v>311</v>
      </c>
      <c r="C10" s="13" t="s">
        <v>80</v>
      </c>
      <c r="D10" s="13" t="s">
        <v>80</v>
      </c>
      <c r="E10" s="13" t="s">
        <v>80</v>
      </c>
      <c r="F10" s="13" t="s">
        <v>80</v>
      </c>
      <c r="G10" s="13" t="s">
        <v>80</v>
      </c>
      <c r="H10" s="13" t="s">
        <v>80</v>
      </c>
      <c r="I10" s="13" t="s">
        <v>80</v>
      </c>
      <c r="J10" s="13" t="s">
        <v>80</v>
      </c>
      <c r="K10" s="13" t="s">
        <v>80</v>
      </c>
      <c r="L10" s="13" t="s">
        <v>80</v>
      </c>
      <c r="M10" s="13" t="s">
        <v>80</v>
      </c>
      <c r="N10" s="13">
        <v>-514</v>
      </c>
      <c r="O10" s="13">
        <v>-501</v>
      </c>
      <c r="P10" s="13">
        <v>-629</v>
      </c>
      <c r="Q10" s="13">
        <v>-933</v>
      </c>
      <c r="R10" s="13">
        <v>-614</v>
      </c>
      <c r="S10" s="13">
        <v>-344</v>
      </c>
      <c r="T10" s="16">
        <v>-67</v>
      </c>
    </row>
    <row r="11" spans="1:20" x14ac:dyDescent="0.25">
      <c r="A11" s="6" t="s">
        <v>302</v>
      </c>
      <c r="B11" s="6" t="s">
        <v>303</v>
      </c>
      <c r="C11" s="19">
        <v>7922</v>
      </c>
      <c r="D11" s="19">
        <v>9847</v>
      </c>
      <c r="E11" s="19">
        <v>13121</v>
      </c>
      <c r="F11" s="19">
        <v>16203</v>
      </c>
      <c r="G11" s="19">
        <v>17834</v>
      </c>
      <c r="H11" s="19">
        <v>21121</v>
      </c>
      <c r="I11" s="19">
        <v>23106</v>
      </c>
      <c r="J11" s="19">
        <v>26211</v>
      </c>
      <c r="K11" s="19">
        <v>33542</v>
      </c>
      <c r="L11" s="19">
        <v>43955</v>
      </c>
      <c r="M11" s="19">
        <v>50509</v>
      </c>
      <c r="N11" s="19">
        <v>41001</v>
      </c>
      <c r="O11" s="19">
        <v>45966</v>
      </c>
      <c r="P11" s="19">
        <v>61359</v>
      </c>
      <c r="Q11" s="19">
        <v>70041</v>
      </c>
      <c r="R11" s="19">
        <v>76942</v>
      </c>
      <c r="S11" s="19">
        <v>83274</v>
      </c>
      <c r="T11" s="22">
        <v>83591</v>
      </c>
    </row>
    <row r="12" spans="1:20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21"/>
    </row>
    <row r="13" spans="1:20" x14ac:dyDescent="0.25">
      <c r="A13" s="6" t="s">
        <v>593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1"/>
    </row>
    <row r="14" spans="1:20" x14ac:dyDescent="0.25">
      <c r="A14" s="6" t="s">
        <v>594</v>
      </c>
      <c r="B14" s="6" t="s">
        <v>77</v>
      </c>
      <c r="C14" s="19">
        <v>5854</v>
      </c>
      <c r="D14" s="19">
        <v>6705</v>
      </c>
      <c r="E14" s="19">
        <v>8517</v>
      </c>
      <c r="F14" s="19">
        <v>10888</v>
      </c>
      <c r="G14" s="19">
        <v>13508</v>
      </c>
      <c r="H14" s="19">
        <v>15228</v>
      </c>
      <c r="I14" s="19">
        <v>17108</v>
      </c>
      <c r="J14" s="19">
        <v>19308</v>
      </c>
      <c r="K14" s="19">
        <v>23908</v>
      </c>
      <c r="L14" s="19">
        <v>31958</v>
      </c>
      <c r="M14" s="19">
        <v>36528</v>
      </c>
      <c r="N14" s="19">
        <v>30508</v>
      </c>
      <c r="O14" s="19">
        <v>35048</v>
      </c>
      <c r="P14" s="19">
        <v>45408</v>
      </c>
      <c r="Q14" s="19">
        <v>52418</v>
      </c>
      <c r="R14" s="19">
        <v>56188</v>
      </c>
      <c r="S14" s="19">
        <v>58788</v>
      </c>
      <c r="T14" s="22">
        <v>58958</v>
      </c>
    </row>
    <row r="15" spans="1:20" x14ac:dyDescent="0.25">
      <c r="A15" s="10" t="s">
        <v>325</v>
      </c>
      <c r="B15" s="10" t="s">
        <v>326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-233</v>
      </c>
      <c r="J15" s="13">
        <v>-243</v>
      </c>
      <c r="K15" s="13">
        <v>-89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1023</v>
      </c>
      <c r="S15" s="13">
        <v>2187</v>
      </c>
      <c r="T15" s="16">
        <v>1852</v>
      </c>
    </row>
    <row r="16" spans="1:20" x14ac:dyDescent="0.25">
      <c r="A16" s="10" t="s">
        <v>595</v>
      </c>
      <c r="B16" s="10" t="s">
        <v>328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6">
        <v>0</v>
      </c>
    </row>
    <row r="17" spans="1:20" x14ac:dyDescent="0.25">
      <c r="A17" s="6" t="s">
        <v>596</v>
      </c>
      <c r="B17" s="6" t="s">
        <v>597</v>
      </c>
      <c r="C17" s="19">
        <v>5854</v>
      </c>
      <c r="D17" s="19">
        <v>6705</v>
      </c>
      <c r="E17" s="19">
        <v>8517</v>
      </c>
      <c r="F17" s="19">
        <v>10888</v>
      </c>
      <c r="G17" s="19">
        <v>13508</v>
      </c>
      <c r="H17" s="19">
        <v>15228</v>
      </c>
      <c r="I17" s="19">
        <v>16875</v>
      </c>
      <c r="J17" s="19">
        <v>19065</v>
      </c>
      <c r="K17" s="19">
        <v>23819</v>
      </c>
      <c r="L17" s="19">
        <v>31958</v>
      </c>
      <c r="M17" s="19">
        <v>36528</v>
      </c>
      <c r="N17" s="19">
        <v>30508</v>
      </c>
      <c r="O17" s="19">
        <v>35048</v>
      </c>
      <c r="P17" s="19">
        <v>45408</v>
      </c>
      <c r="Q17" s="19">
        <v>52418</v>
      </c>
      <c r="R17" s="19">
        <v>57211</v>
      </c>
      <c r="S17" s="19">
        <v>60975</v>
      </c>
      <c r="T17" s="22">
        <v>60992</v>
      </c>
    </row>
    <row r="18" spans="1:20" x14ac:dyDescent="0.25">
      <c r="A18" s="10" t="s">
        <v>592</v>
      </c>
      <c r="B18" s="10" t="s">
        <v>598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 t="s">
        <v>80</v>
      </c>
      <c r="K18" s="13">
        <v>-111.3</v>
      </c>
      <c r="L18" s="13">
        <v>-192.5</v>
      </c>
      <c r="M18" s="13">
        <v>381.5</v>
      </c>
      <c r="N18" s="13">
        <v>359.8</v>
      </c>
      <c r="O18" s="13" t="s">
        <v>80</v>
      </c>
      <c r="P18" s="13" t="s">
        <v>80</v>
      </c>
      <c r="Q18" s="13" t="s">
        <v>80</v>
      </c>
      <c r="R18" s="13" t="s">
        <v>80</v>
      </c>
      <c r="S18" s="13" t="s">
        <v>80</v>
      </c>
      <c r="T18" s="16"/>
    </row>
    <row r="19" spans="1:20" x14ac:dyDescent="0.25">
      <c r="A19" s="10" t="s">
        <v>308</v>
      </c>
      <c r="B19" s="10" t="s">
        <v>599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 t="s">
        <v>80</v>
      </c>
      <c r="J19" s="13" t="s">
        <v>80</v>
      </c>
      <c r="K19" s="13">
        <v>345.1</v>
      </c>
      <c r="L19" s="13">
        <v>126</v>
      </c>
      <c r="M19" s="13">
        <v>92.4</v>
      </c>
      <c r="N19" s="13">
        <v>38.5</v>
      </c>
      <c r="O19" s="13">
        <v>260.39999999999998</v>
      </c>
      <c r="P19" s="13" t="s">
        <v>80</v>
      </c>
      <c r="Q19" s="13" t="s">
        <v>80</v>
      </c>
      <c r="R19" s="13" t="s">
        <v>80</v>
      </c>
      <c r="S19" s="13" t="s">
        <v>80</v>
      </c>
      <c r="T19" s="16"/>
    </row>
    <row r="20" spans="1:20" x14ac:dyDescent="0.25">
      <c r="A20" s="10" t="s">
        <v>310</v>
      </c>
      <c r="B20" s="10" t="s">
        <v>600</v>
      </c>
      <c r="C20" s="13" t="s">
        <v>80</v>
      </c>
      <c r="D20" s="13" t="s">
        <v>80</v>
      </c>
      <c r="E20" s="13" t="s">
        <v>80</v>
      </c>
      <c r="F20" s="13" t="s">
        <v>80</v>
      </c>
      <c r="G20" s="13" t="s">
        <v>80</v>
      </c>
      <c r="H20" s="13" t="s">
        <v>80</v>
      </c>
      <c r="I20" s="13" t="s">
        <v>80</v>
      </c>
      <c r="J20" s="13" t="s">
        <v>80</v>
      </c>
      <c r="K20" s="13" t="s">
        <v>80</v>
      </c>
      <c r="L20" s="13" t="s">
        <v>80</v>
      </c>
      <c r="M20" s="13" t="s">
        <v>80</v>
      </c>
      <c r="N20" s="13">
        <v>-359.8</v>
      </c>
      <c r="O20" s="13">
        <v>-350.7</v>
      </c>
      <c r="P20" s="13">
        <v>-440.3</v>
      </c>
      <c r="Q20" s="13">
        <v>-653.1</v>
      </c>
      <c r="R20" s="13">
        <v>-429.8</v>
      </c>
      <c r="S20" s="13">
        <v>-240.8</v>
      </c>
      <c r="T20" s="16">
        <v>-46.9</v>
      </c>
    </row>
    <row r="21" spans="1:20" x14ac:dyDescent="0.25">
      <c r="A21" s="6" t="s">
        <v>340</v>
      </c>
      <c r="B21" s="6" t="s">
        <v>77</v>
      </c>
      <c r="C21" s="19">
        <v>5854</v>
      </c>
      <c r="D21" s="19">
        <v>6705</v>
      </c>
      <c r="E21" s="19">
        <v>8517</v>
      </c>
      <c r="F21" s="19">
        <v>10888</v>
      </c>
      <c r="G21" s="19">
        <v>13508</v>
      </c>
      <c r="H21" s="19">
        <v>15228</v>
      </c>
      <c r="I21" s="19">
        <v>16875</v>
      </c>
      <c r="J21" s="19">
        <v>19065</v>
      </c>
      <c r="K21" s="19">
        <v>24052.799999999999</v>
      </c>
      <c r="L21" s="19">
        <v>31891.5</v>
      </c>
      <c r="M21" s="19">
        <v>37001.9</v>
      </c>
      <c r="N21" s="19">
        <v>30546.5</v>
      </c>
      <c r="O21" s="19">
        <v>34957.699999999997</v>
      </c>
      <c r="P21" s="19">
        <v>44967.7</v>
      </c>
      <c r="Q21" s="19">
        <v>51764.9</v>
      </c>
      <c r="R21" s="19">
        <v>56781.2</v>
      </c>
      <c r="S21" s="19">
        <v>60734.2</v>
      </c>
      <c r="T21" s="22">
        <v>60763.1</v>
      </c>
    </row>
    <row r="22" spans="1:20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21"/>
    </row>
    <row r="23" spans="1:20" x14ac:dyDescent="0.25">
      <c r="A23" s="6" t="s">
        <v>601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21"/>
    </row>
    <row r="24" spans="1:20" x14ac:dyDescent="0.25">
      <c r="A24" s="6" t="s">
        <v>108</v>
      </c>
      <c r="B24" s="6" t="s">
        <v>109</v>
      </c>
      <c r="C24" s="20">
        <v>2.9020999999999999</v>
      </c>
      <c r="D24" s="20">
        <v>3.3222</v>
      </c>
      <c r="E24" s="20">
        <v>3.7867999999999999</v>
      </c>
      <c r="F24" s="20">
        <v>4.68</v>
      </c>
      <c r="G24" s="20">
        <v>5.35</v>
      </c>
      <c r="H24" s="20">
        <v>5.49</v>
      </c>
      <c r="I24" s="20">
        <v>6.1707999999999998</v>
      </c>
      <c r="J24" s="20">
        <v>6.9610000000000003</v>
      </c>
      <c r="K24" s="20">
        <v>8.6199999999999992</v>
      </c>
      <c r="L24" s="20">
        <v>11.0832</v>
      </c>
      <c r="M24" s="20">
        <v>12.749599999999999</v>
      </c>
      <c r="N24" s="20">
        <v>10.7164</v>
      </c>
      <c r="O24" s="20">
        <v>12.265499999999999</v>
      </c>
      <c r="P24" s="20">
        <v>15.7478</v>
      </c>
      <c r="Q24" s="20">
        <v>18.178899999999999</v>
      </c>
      <c r="R24" s="20">
        <v>19.72</v>
      </c>
      <c r="S24" s="20">
        <v>20.786999999999999</v>
      </c>
      <c r="T24" s="23">
        <v>20.842428000000002</v>
      </c>
    </row>
    <row r="25" spans="1:20" x14ac:dyDescent="0.25">
      <c r="A25" s="10" t="s">
        <v>325</v>
      </c>
      <c r="B25" s="10" t="s">
        <v>602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-8.4000000000000005E-2</v>
      </c>
      <c r="J25" s="14">
        <v>-8.7599999999999997E-2</v>
      </c>
      <c r="K25" s="14">
        <v>-3.2099999999999997E-2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0.35899999999999999</v>
      </c>
      <c r="S25" s="14">
        <v>0.77329999999999999</v>
      </c>
      <c r="T25" s="17">
        <v>0.65770099999999998</v>
      </c>
    </row>
    <row r="26" spans="1:20" x14ac:dyDescent="0.25">
      <c r="A26" s="10" t="s">
        <v>595</v>
      </c>
      <c r="B26" s="10" t="s">
        <v>603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7">
        <v>0</v>
      </c>
    </row>
    <row r="27" spans="1:20" x14ac:dyDescent="0.25">
      <c r="A27" s="6" t="s">
        <v>350</v>
      </c>
      <c r="B27" s="6" t="s">
        <v>351</v>
      </c>
      <c r="C27" s="20">
        <v>2.9020999999999999</v>
      </c>
      <c r="D27" s="20">
        <v>3.3222</v>
      </c>
      <c r="E27" s="20">
        <v>3.7867999999999999</v>
      </c>
      <c r="F27" s="20">
        <v>4.68</v>
      </c>
      <c r="G27" s="20">
        <v>5.35</v>
      </c>
      <c r="H27" s="20">
        <v>5.49</v>
      </c>
      <c r="I27" s="20">
        <v>6.0838999999999999</v>
      </c>
      <c r="J27" s="20">
        <v>6.8734000000000002</v>
      </c>
      <c r="K27" s="20">
        <v>8.5878999999999994</v>
      </c>
      <c r="L27" s="20">
        <v>11.0832</v>
      </c>
      <c r="M27" s="20">
        <v>12.749599999999999</v>
      </c>
      <c r="N27" s="20">
        <v>10.7164</v>
      </c>
      <c r="O27" s="20">
        <v>12.265499999999999</v>
      </c>
      <c r="P27" s="20">
        <v>15.7478</v>
      </c>
      <c r="Q27" s="20">
        <v>18.178899999999999</v>
      </c>
      <c r="R27" s="20">
        <v>20.078700000000001</v>
      </c>
      <c r="S27" s="20">
        <v>21.560600000000001</v>
      </c>
      <c r="T27" s="23">
        <v>21.500131</v>
      </c>
    </row>
    <row r="28" spans="1:20" x14ac:dyDescent="0.25">
      <c r="A28" s="10" t="s">
        <v>592</v>
      </c>
      <c r="B28" s="10" t="s">
        <v>604</v>
      </c>
      <c r="C28" s="14" t="s">
        <v>80</v>
      </c>
      <c r="D28" s="14" t="s">
        <v>80</v>
      </c>
      <c r="E28" s="14" t="s">
        <v>80</v>
      </c>
      <c r="F28" s="14" t="s">
        <v>80</v>
      </c>
      <c r="G28" s="14" t="s">
        <v>80</v>
      </c>
      <c r="H28" s="14" t="s">
        <v>80</v>
      </c>
      <c r="I28" s="14" t="s">
        <v>80</v>
      </c>
      <c r="J28" s="14" t="s">
        <v>80</v>
      </c>
      <c r="K28" s="14">
        <v>-4.0099999999999997E-2</v>
      </c>
      <c r="L28" s="14">
        <v>-6.6799999999999998E-2</v>
      </c>
      <c r="M28" s="14">
        <v>0.13320000000000001</v>
      </c>
      <c r="N28" s="14">
        <v>0.12640000000000001</v>
      </c>
      <c r="O28" s="14" t="s">
        <v>80</v>
      </c>
      <c r="P28" s="14" t="s">
        <v>80</v>
      </c>
      <c r="Q28" s="14" t="s">
        <v>80</v>
      </c>
      <c r="R28" s="14" t="s">
        <v>80</v>
      </c>
      <c r="S28" s="14" t="s">
        <v>80</v>
      </c>
      <c r="T28" s="17"/>
    </row>
    <row r="29" spans="1:20" x14ac:dyDescent="0.25">
      <c r="A29" s="10" t="s">
        <v>308</v>
      </c>
      <c r="B29" s="10" t="s">
        <v>605</v>
      </c>
      <c r="C29" s="14" t="s">
        <v>80</v>
      </c>
      <c r="D29" s="14" t="s">
        <v>80</v>
      </c>
      <c r="E29" s="14" t="s">
        <v>80</v>
      </c>
      <c r="F29" s="14" t="s">
        <v>80</v>
      </c>
      <c r="G29" s="14" t="s">
        <v>80</v>
      </c>
      <c r="H29" s="14" t="s">
        <v>80</v>
      </c>
      <c r="I29" s="14" t="s">
        <v>80</v>
      </c>
      <c r="J29" s="14" t="s">
        <v>80</v>
      </c>
      <c r="K29" s="14">
        <v>0.1244</v>
      </c>
      <c r="L29" s="14">
        <v>4.3700000000000003E-2</v>
      </c>
      <c r="M29" s="14">
        <v>3.2300000000000002E-2</v>
      </c>
      <c r="N29" s="14">
        <v>1.35E-2</v>
      </c>
      <c r="O29" s="14">
        <v>9.11E-2</v>
      </c>
      <c r="P29" s="14" t="s">
        <v>80</v>
      </c>
      <c r="Q29" s="14" t="s">
        <v>80</v>
      </c>
      <c r="R29" s="14" t="s">
        <v>80</v>
      </c>
      <c r="S29" s="14" t="s">
        <v>80</v>
      </c>
      <c r="T29" s="17"/>
    </row>
    <row r="30" spans="1:20" x14ac:dyDescent="0.25">
      <c r="A30" s="10" t="s">
        <v>606</v>
      </c>
      <c r="B30" s="10" t="s">
        <v>607</v>
      </c>
      <c r="C30" s="14" t="s">
        <v>80</v>
      </c>
      <c r="D30" s="14" t="s">
        <v>80</v>
      </c>
      <c r="E30" s="14" t="s">
        <v>80</v>
      </c>
      <c r="F30" s="14" t="s">
        <v>80</v>
      </c>
      <c r="G30" s="14" t="s">
        <v>80</v>
      </c>
      <c r="H30" s="14" t="s">
        <v>80</v>
      </c>
      <c r="I30" s="14" t="s">
        <v>80</v>
      </c>
      <c r="J30" s="14" t="s">
        <v>80</v>
      </c>
      <c r="K30" s="14" t="s">
        <v>80</v>
      </c>
      <c r="L30" s="14" t="s">
        <v>80</v>
      </c>
      <c r="M30" s="14" t="s">
        <v>80</v>
      </c>
      <c r="N30" s="14">
        <v>-0.12640000000000001</v>
      </c>
      <c r="O30" s="14">
        <v>-0.1227</v>
      </c>
      <c r="P30" s="14">
        <v>-0.1527</v>
      </c>
      <c r="Q30" s="14">
        <v>-0.22650000000000001</v>
      </c>
      <c r="R30" s="14">
        <v>-0.15079999999999999</v>
      </c>
      <c r="S30" s="14">
        <v>-8.5099999999999995E-2</v>
      </c>
      <c r="T30" s="17">
        <v>-1.6535999999999999E-2</v>
      </c>
    </row>
    <row r="31" spans="1:20" x14ac:dyDescent="0.25">
      <c r="A31" s="6" t="s">
        <v>608</v>
      </c>
      <c r="B31" s="6" t="s">
        <v>79</v>
      </c>
      <c r="C31" s="20">
        <v>2.9020999999999999</v>
      </c>
      <c r="D31" s="20">
        <v>3.3222</v>
      </c>
      <c r="E31" s="20">
        <v>3.7867999999999999</v>
      </c>
      <c r="F31" s="20">
        <v>4.68</v>
      </c>
      <c r="G31" s="20">
        <v>5.35</v>
      </c>
      <c r="H31" s="20">
        <v>5.49</v>
      </c>
      <c r="I31" s="20">
        <v>6.0838999999999999</v>
      </c>
      <c r="J31" s="20">
        <v>6.8734000000000002</v>
      </c>
      <c r="K31" s="20">
        <v>8.6722000000000001</v>
      </c>
      <c r="L31" s="20">
        <v>11.0602</v>
      </c>
      <c r="M31" s="20">
        <v>12.914999999999999</v>
      </c>
      <c r="N31" s="20">
        <v>10.73</v>
      </c>
      <c r="O31" s="20">
        <v>12.2339</v>
      </c>
      <c r="P31" s="20">
        <v>15.5951</v>
      </c>
      <c r="Q31" s="20">
        <v>17.952400000000001</v>
      </c>
      <c r="R31" s="20">
        <v>19.927800000000001</v>
      </c>
      <c r="S31" s="20">
        <v>21.4755</v>
      </c>
      <c r="T31" s="23">
        <v>21.483595000000001</v>
      </c>
    </row>
    <row r="32" spans="1:20" x14ac:dyDescent="0.25">
      <c r="A32" s="7" t="s">
        <v>87</v>
      </c>
      <c r="B32" s="7"/>
      <c r="C32" s="7" t="s">
        <v>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9"/>
  <sheetViews>
    <sheetView topLeftCell="E1" workbookViewId="0">
      <selection activeCell="L11" sqref="L11:T11"/>
    </sheetView>
  </sheetViews>
  <sheetFormatPr baseColWidth="10"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609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89</v>
      </c>
      <c r="B4" s="3"/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28</v>
      </c>
      <c r="S4" s="4" t="s">
        <v>29</v>
      </c>
      <c r="T4" s="4" t="s">
        <v>263</v>
      </c>
    </row>
    <row r="5" spans="1:20" x14ac:dyDescent="0.25">
      <c r="A5" s="9" t="s">
        <v>31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</row>
    <row r="6" spans="1:20" x14ac:dyDescent="0.25">
      <c r="A6" s="10" t="s">
        <v>601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5"/>
    </row>
    <row r="7" spans="1:20" x14ac:dyDescent="0.25">
      <c r="A7" s="10" t="s">
        <v>610</v>
      </c>
      <c r="B7" s="10" t="s">
        <v>611</v>
      </c>
      <c r="C7" s="14">
        <v>2.9020999999999999</v>
      </c>
      <c r="D7" s="14">
        <v>3.3222</v>
      </c>
      <c r="E7" s="14">
        <v>3.8079999999999998</v>
      </c>
      <c r="F7" s="14">
        <v>4.6878000000000002</v>
      </c>
      <c r="G7" s="14">
        <v>5.35</v>
      </c>
      <c r="H7" s="14">
        <v>5.49</v>
      </c>
      <c r="I7" s="14">
        <v>6.0838999999999999</v>
      </c>
      <c r="J7" s="14" t="s">
        <v>80</v>
      </c>
      <c r="K7" s="14" t="s">
        <v>80</v>
      </c>
      <c r="L7" s="14" t="s">
        <v>80</v>
      </c>
      <c r="M7" s="14" t="s">
        <v>80</v>
      </c>
      <c r="N7" s="14" t="s">
        <v>80</v>
      </c>
      <c r="O7" s="14" t="s">
        <v>80</v>
      </c>
      <c r="P7" s="14" t="s">
        <v>80</v>
      </c>
      <c r="Q7" s="14" t="s">
        <v>80</v>
      </c>
      <c r="R7" s="14" t="s">
        <v>80</v>
      </c>
      <c r="S7" s="14" t="s">
        <v>80</v>
      </c>
      <c r="T7" s="17"/>
    </row>
    <row r="8" spans="1:20" x14ac:dyDescent="0.25">
      <c r="A8" s="10" t="s">
        <v>612</v>
      </c>
      <c r="B8" s="10" t="s">
        <v>613</v>
      </c>
      <c r="C8" s="14">
        <v>2.9020999999999999</v>
      </c>
      <c r="D8" s="14">
        <v>3.3222</v>
      </c>
      <c r="E8" s="14">
        <v>3.8079999999999998</v>
      </c>
      <c r="F8" s="14">
        <v>4.6878000000000002</v>
      </c>
      <c r="G8" s="14">
        <v>5.35</v>
      </c>
      <c r="H8" s="14">
        <v>5.49</v>
      </c>
      <c r="I8" s="14">
        <v>6.0838999999999999</v>
      </c>
      <c r="J8" s="14" t="s">
        <v>80</v>
      </c>
      <c r="K8" s="14" t="s">
        <v>80</v>
      </c>
      <c r="L8" s="14" t="s">
        <v>80</v>
      </c>
      <c r="M8" s="14" t="s">
        <v>80</v>
      </c>
      <c r="N8" s="14" t="s">
        <v>80</v>
      </c>
      <c r="O8" s="14" t="s">
        <v>80</v>
      </c>
      <c r="P8" s="14" t="s">
        <v>80</v>
      </c>
      <c r="Q8" s="14" t="s">
        <v>80</v>
      </c>
      <c r="R8" s="14" t="s">
        <v>80</v>
      </c>
      <c r="S8" s="14" t="s">
        <v>80</v>
      </c>
      <c r="T8" s="17"/>
    </row>
    <row r="9" spans="1:20" x14ac:dyDescent="0.25">
      <c r="A9" s="10" t="s">
        <v>614</v>
      </c>
      <c r="B9" s="10" t="s">
        <v>615</v>
      </c>
      <c r="C9" s="14" t="s">
        <v>80</v>
      </c>
      <c r="D9" s="14" t="s">
        <v>80</v>
      </c>
      <c r="E9" s="14" t="s">
        <v>80</v>
      </c>
      <c r="F9" s="14" t="s">
        <v>80</v>
      </c>
      <c r="G9" s="14" t="s">
        <v>80</v>
      </c>
      <c r="H9" s="14" t="s">
        <v>80</v>
      </c>
      <c r="I9" s="14" t="s">
        <v>80</v>
      </c>
      <c r="J9" s="14" t="s">
        <v>80</v>
      </c>
      <c r="K9" s="14">
        <v>9.6076999999999995</v>
      </c>
      <c r="L9" s="14">
        <v>11.887499999999999</v>
      </c>
      <c r="M9" s="14">
        <v>14.115600000000001</v>
      </c>
      <c r="N9" s="14">
        <v>12.1846</v>
      </c>
      <c r="O9" s="14">
        <v>13.965199999999999</v>
      </c>
      <c r="P9" s="14">
        <v>15.9383</v>
      </c>
      <c r="Q9" s="14">
        <v>18.146599999999999</v>
      </c>
      <c r="R9" s="14">
        <v>20.186499999999999</v>
      </c>
      <c r="S9" s="14">
        <v>21.730399999999999</v>
      </c>
      <c r="T9" s="17">
        <v>21.731648</v>
      </c>
    </row>
    <row r="10" spans="1:20" x14ac:dyDescent="0.25">
      <c r="A10" s="10" t="s">
        <v>616</v>
      </c>
      <c r="B10" s="10" t="s">
        <v>617</v>
      </c>
      <c r="C10" s="14" t="s">
        <v>80</v>
      </c>
      <c r="D10" s="14" t="s">
        <v>80</v>
      </c>
      <c r="E10" s="14" t="s">
        <v>80</v>
      </c>
      <c r="F10" s="14" t="s">
        <v>80</v>
      </c>
      <c r="G10" s="14" t="s">
        <v>80</v>
      </c>
      <c r="H10" s="14" t="s">
        <v>80</v>
      </c>
      <c r="I10" s="14" t="s">
        <v>80</v>
      </c>
      <c r="J10" s="14" t="s">
        <v>80</v>
      </c>
      <c r="K10" s="14">
        <v>9.5227000000000004</v>
      </c>
      <c r="L10" s="14">
        <v>11.887499999999999</v>
      </c>
      <c r="M10" s="14">
        <v>14.115600000000001</v>
      </c>
      <c r="N10" s="14">
        <v>12.1846</v>
      </c>
      <c r="O10" s="14">
        <v>13.965199999999999</v>
      </c>
      <c r="P10" s="14">
        <v>15.7902</v>
      </c>
      <c r="Q10" s="14">
        <v>18.146599999999999</v>
      </c>
      <c r="R10" s="14">
        <v>20.186499999999999</v>
      </c>
      <c r="S10" s="14">
        <v>21.730399999999999</v>
      </c>
      <c r="T10" s="17">
        <v>21.731648</v>
      </c>
    </row>
    <row r="11" spans="1:20" x14ac:dyDescent="0.25">
      <c r="A11" s="10" t="s">
        <v>618</v>
      </c>
      <c r="B11" s="10" t="s">
        <v>619</v>
      </c>
      <c r="C11" s="14" t="s">
        <v>80</v>
      </c>
      <c r="D11" s="14" t="s">
        <v>80</v>
      </c>
      <c r="E11" s="14" t="s">
        <v>80</v>
      </c>
      <c r="F11" s="14" t="s">
        <v>80</v>
      </c>
      <c r="G11" s="14" t="s">
        <v>80</v>
      </c>
      <c r="H11" s="14" t="s">
        <v>80</v>
      </c>
      <c r="I11" s="14" t="s">
        <v>80</v>
      </c>
      <c r="J11" s="14" t="s">
        <v>80</v>
      </c>
      <c r="K11" s="14">
        <v>9.6076999999999995</v>
      </c>
      <c r="L11" s="14">
        <v>11.887499999999999</v>
      </c>
      <c r="M11" s="14">
        <v>14.115600000000001</v>
      </c>
      <c r="N11" s="14">
        <v>12.1846</v>
      </c>
      <c r="O11" s="14">
        <v>13.965199999999999</v>
      </c>
      <c r="P11" s="14">
        <v>15.9383</v>
      </c>
      <c r="Q11" s="14">
        <v>18.146599999999999</v>
      </c>
      <c r="R11" s="14">
        <v>20.186499999999999</v>
      </c>
      <c r="S11" s="14">
        <v>21.730399999999999</v>
      </c>
      <c r="T11" s="17">
        <v>21.731648</v>
      </c>
    </row>
    <row r="12" spans="1:20" x14ac:dyDescent="0.25">
      <c r="A12" s="10" t="s">
        <v>620</v>
      </c>
      <c r="B12" s="10" t="s">
        <v>621</v>
      </c>
      <c r="C12" s="14" t="s">
        <v>80</v>
      </c>
      <c r="D12" s="14" t="s">
        <v>80</v>
      </c>
      <c r="E12" s="14" t="s">
        <v>80</v>
      </c>
      <c r="F12" s="14" t="s">
        <v>80</v>
      </c>
      <c r="G12" s="14" t="s">
        <v>80</v>
      </c>
      <c r="H12" s="14" t="s">
        <v>80</v>
      </c>
      <c r="I12" s="14" t="s">
        <v>80</v>
      </c>
      <c r="J12" s="14" t="s">
        <v>80</v>
      </c>
      <c r="K12" s="14">
        <v>9.5227000000000004</v>
      </c>
      <c r="L12" s="14">
        <v>11.887499999999999</v>
      </c>
      <c r="M12" s="14">
        <v>14.115600000000001</v>
      </c>
      <c r="N12" s="14">
        <v>12.1846</v>
      </c>
      <c r="O12" s="14">
        <v>13.965199999999999</v>
      </c>
      <c r="P12" s="14">
        <v>15.7902</v>
      </c>
      <c r="Q12" s="14">
        <v>18.146599999999999</v>
      </c>
      <c r="R12" s="14">
        <v>20.186499999999999</v>
      </c>
      <c r="S12" s="14">
        <v>21.730399999999999</v>
      </c>
      <c r="T12" s="17">
        <v>21.731648</v>
      </c>
    </row>
    <row r="13" spans="1:20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5"/>
    </row>
    <row r="14" spans="1:20" x14ac:dyDescent="0.25">
      <c r="A14" s="10" t="s">
        <v>622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5"/>
    </row>
    <row r="15" spans="1:20" x14ac:dyDescent="0.25">
      <c r="A15" s="10" t="s">
        <v>623</v>
      </c>
      <c r="B15" s="10" t="s">
        <v>624</v>
      </c>
      <c r="C15" s="13">
        <v>0</v>
      </c>
      <c r="D15" s="13">
        <v>0</v>
      </c>
      <c r="E15" s="13">
        <v>68</v>
      </c>
      <c r="F15" s="13">
        <v>26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6"/>
    </row>
    <row r="16" spans="1:20" x14ac:dyDescent="0.25">
      <c r="A16" s="10" t="s">
        <v>625</v>
      </c>
      <c r="B16" s="10" t="s">
        <v>626</v>
      </c>
      <c r="C16" s="13">
        <v>0</v>
      </c>
      <c r="D16" s="13">
        <v>0</v>
      </c>
      <c r="E16" s="13">
        <v>47.6</v>
      </c>
      <c r="F16" s="13">
        <v>18.2</v>
      </c>
      <c r="G16" s="13">
        <v>0</v>
      </c>
      <c r="H16" s="13">
        <v>0</v>
      </c>
      <c r="I16" s="13">
        <v>0</v>
      </c>
      <c r="J16" s="13" t="s">
        <v>80</v>
      </c>
      <c r="K16" s="13" t="s">
        <v>80</v>
      </c>
      <c r="L16" s="13" t="s">
        <v>80</v>
      </c>
      <c r="M16" s="13" t="s">
        <v>80</v>
      </c>
      <c r="N16" s="13" t="s">
        <v>80</v>
      </c>
      <c r="O16" s="13" t="s">
        <v>80</v>
      </c>
      <c r="P16" s="13" t="s">
        <v>80</v>
      </c>
      <c r="Q16" s="13" t="s">
        <v>80</v>
      </c>
      <c r="R16" s="13" t="s">
        <v>80</v>
      </c>
      <c r="S16" s="13" t="s">
        <v>80</v>
      </c>
      <c r="T16" s="16"/>
    </row>
    <row r="17" spans="1:20" x14ac:dyDescent="0.25">
      <c r="A17" s="10" t="s">
        <v>627</v>
      </c>
      <c r="B17" s="10" t="s">
        <v>628</v>
      </c>
      <c r="C17" s="14">
        <v>0</v>
      </c>
      <c r="D17" s="14">
        <v>0</v>
      </c>
      <c r="E17" s="14">
        <v>2.12E-2</v>
      </c>
      <c r="F17" s="14">
        <v>7.7999999999999996E-3</v>
      </c>
      <c r="G17" s="14">
        <v>0</v>
      </c>
      <c r="H17" s="14">
        <v>0</v>
      </c>
      <c r="I17" s="14">
        <v>0</v>
      </c>
      <c r="J17" s="14" t="s">
        <v>80</v>
      </c>
      <c r="K17" s="14" t="s">
        <v>80</v>
      </c>
      <c r="L17" s="14" t="s">
        <v>80</v>
      </c>
      <c r="M17" s="14" t="s">
        <v>80</v>
      </c>
      <c r="N17" s="14" t="s">
        <v>80</v>
      </c>
      <c r="O17" s="14" t="s">
        <v>80</v>
      </c>
      <c r="P17" s="14" t="s">
        <v>80</v>
      </c>
      <c r="Q17" s="14" t="s">
        <v>80</v>
      </c>
      <c r="R17" s="14" t="s">
        <v>80</v>
      </c>
      <c r="S17" s="14" t="s">
        <v>80</v>
      </c>
      <c r="T17" s="17"/>
    </row>
    <row r="18" spans="1:20" x14ac:dyDescent="0.25">
      <c r="A18" s="10" t="s">
        <v>629</v>
      </c>
      <c r="B18" s="10" t="s">
        <v>630</v>
      </c>
      <c r="C18" s="14">
        <v>0</v>
      </c>
      <c r="D18" s="14">
        <v>0</v>
      </c>
      <c r="E18" s="14">
        <v>2.12E-2</v>
      </c>
      <c r="F18" s="14">
        <v>7.7999999999999996E-3</v>
      </c>
      <c r="G18" s="14">
        <v>0</v>
      </c>
      <c r="H18" s="14">
        <v>0</v>
      </c>
      <c r="I18" s="14">
        <v>0</v>
      </c>
      <c r="J18" s="14" t="s">
        <v>80</v>
      </c>
      <c r="K18" s="14" t="s">
        <v>80</v>
      </c>
      <c r="L18" s="14" t="s">
        <v>80</v>
      </c>
      <c r="M18" s="14" t="s">
        <v>80</v>
      </c>
      <c r="N18" s="14" t="s">
        <v>80</v>
      </c>
      <c r="O18" s="14" t="s">
        <v>80</v>
      </c>
      <c r="P18" s="14" t="s">
        <v>80</v>
      </c>
      <c r="Q18" s="14" t="s">
        <v>80</v>
      </c>
      <c r="R18" s="14" t="s">
        <v>80</v>
      </c>
      <c r="S18" s="14" t="s">
        <v>80</v>
      </c>
      <c r="T18" s="17"/>
    </row>
    <row r="19" spans="1:20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5"/>
    </row>
    <row r="20" spans="1:20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5"/>
    </row>
    <row r="21" spans="1:20" x14ac:dyDescent="0.25">
      <c r="A21" s="10" t="s">
        <v>631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5"/>
    </row>
    <row r="22" spans="1:20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5"/>
    </row>
    <row r="23" spans="1:20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5"/>
    </row>
    <row r="24" spans="1:20" x14ac:dyDescent="0.25">
      <c r="A24" s="10" t="s">
        <v>632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5"/>
    </row>
    <row r="25" spans="1:20" x14ac:dyDescent="0.25">
      <c r="A25" s="10" t="s">
        <v>623</v>
      </c>
      <c r="B25" s="10" t="s">
        <v>633</v>
      </c>
      <c r="C25" s="13" t="s">
        <v>80</v>
      </c>
      <c r="D25" s="13" t="s">
        <v>80</v>
      </c>
      <c r="E25" s="13" t="s">
        <v>80</v>
      </c>
      <c r="F25" s="13" t="s">
        <v>80</v>
      </c>
      <c r="G25" s="13" t="s">
        <v>80</v>
      </c>
      <c r="H25" s="13" t="s">
        <v>80</v>
      </c>
      <c r="I25" s="13" t="s">
        <v>80</v>
      </c>
      <c r="J25" s="13" t="s">
        <v>80</v>
      </c>
      <c r="K25" s="13">
        <v>3370</v>
      </c>
      <c r="L25" s="13">
        <v>3408</v>
      </c>
      <c r="M25" s="13">
        <v>4914</v>
      </c>
      <c r="N25" s="13">
        <v>5916</v>
      </c>
      <c r="O25" s="13">
        <v>7067</v>
      </c>
      <c r="P25" s="13">
        <v>804</v>
      </c>
      <c r="Q25" s="13">
        <v>800</v>
      </c>
      <c r="R25" s="13">
        <v>1053</v>
      </c>
      <c r="S25" s="13">
        <v>1030</v>
      </c>
      <c r="T25" s="16">
        <v>1005</v>
      </c>
    </row>
    <row r="26" spans="1:20" x14ac:dyDescent="0.25">
      <c r="A26" s="10" t="s">
        <v>625</v>
      </c>
      <c r="B26" s="10" t="s">
        <v>634</v>
      </c>
      <c r="C26" s="13" t="s">
        <v>80</v>
      </c>
      <c r="D26" s="13" t="s">
        <v>80</v>
      </c>
      <c r="E26" s="13" t="s">
        <v>80</v>
      </c>
      <c r="F26" s="13" t="s">
        <v>80</v>
      </c>
      <c r="G26" s="13" t="s">
        <v>80</v>
      </c>
      <c r="H26" s="13" t="s">
        <v>80</v>
      </c>
      <c r="I26" s="13" t="s">
        <v>80</v>
      </c>
      <c r="J26" s="13" t="s">
        <v>80</v>
      </c>
      <c r="K26" s="13">
        <v>2359</v>
      </c>
      <c r="L26" s="13">
        <v>2385.6</v>
      </c>
      <c r="M26" s="13">
        <v>3439.8</v>
      </c>
      <c r="N26" s="13">
        <v>4141.2</v>
      </c>
      <c r="O26" s="13">
        <v>4946.8999999999996</v>
      </c>
      <c r="P26" s="13">
        <v>562.79999999999995</v>
      </c>
      <c r="Q26" s="13">
        <v>560</v>
      </c>
      <c r="R26" s="13">
        <v>737.1</v>
      </c>
      <c r="S26" s="13">
        <v>721</v>
      </c>
      <c r="T26" s="16">
        <v>703.5</v>
      </c>
    </row>
    <row r="27" spans="1:20" x14ac:dyDescent="0.25">
      <c r="A27" s="10" t="s">
        <v>627</v>
      </c>
      <c r="B27" s="10" t="s">
        <v>635</v>
      </c>
      <c r="C27" s="14" t="s">
        <v>80</v>
      </c>
      <c r="D27" s="14" t="s">
        <v>80</v>
      </c>
      <c r="E27" s="14" t="s">
        <v>80</v>
      </c>
      <c r="F27" s="14" t="s">
        <v>80</v>
      </c>
      <c r="G27" s="14" t="s">
        <v>80</v>
      </c>
      <c r="H27" s="14" t="s">
        <v>80</v>
      </c>
      <c r="I27" s="14" t="s">
        <v>80</v>
      </c>
      <c r="J27" s="14" t="s">
        <v>80</v>
      </c>
      <c r="K27" s="14">
        <v>0.85809999999999997</v>
      </c>
      <c r="L27" s="14">
        <v>0.82730000000000004</v>
      </c>
      <c r="M27" s="14">
        <v>1.2005999999999999</v>
      </c>
      <c r="N27" s="14">
        <v>1.4547000000000001</v>
      </c>
      <c r="O27" s="14">
        <v>1.7312000000000001</v>
      </c>
      <c r="P27" s="14">
        <v>0.19700000000000001</v>
      </c>
      <c r="Q27" s="14">
        <v>0.19420000000000001</v>
      </c>
      <c r="R27" s="14">
        <v>0.25869999999999999</v>
      </c>
      <c r="S27" s="14">
        <v>0.25490000000000002</v>
      </c>
      <c r="T27" s="17">
        <v>0.248053</v>
      </c>
    </row>
    <row r="28" spans="1:20" x14ac:dyDescent="0.25">
      <c r="A28" s="10" t="s">
        <v>629</v>
      </c>
      <c r="B28" s="10" t="s">
        <v>636</v>
      </c>
      <c r="C28" s="14" t="s">
        <v>80</v>
      </c>
      <c r="D28" s="14" t="s">
        <v>80</v>
      </c>
      <c r="E28" s="14" t="s">
        <v>80</v>
      </c>
      <c r="F28" s="14" t="s">
        <v>80</v>
      </c>
      <c r="G28" s="14" t="s">
        <v>80</v>
      </c>
      <c r="H28" s="14" t="s">
        <v>80</v>
      </c>
      <c r="I28" s="14" t="s">
        <v>80</v>
      </c>
      <c r="J28" s="14" t="s">
        <v>80</v>
      </c>
      <c r="K28" s="14">
        <v>0.85050000000000003</v>
      </c>
      <c r="L28" s="14">
        <v>0.82730000000000004</v>
      </c>
      <c r="M28" s="14">
        <v>1.2005999999999999</v>
      </c>
      <c r="N28" s="14">
        <v>1.4547000000000001</v>
      </c>
      <c r="O28" s="14">
        <v>1.7312000000000001</v>
      </c>
      <c r="P28" s="14">
        <v>0.19520000000000001</v>
      </c>
      <c r="Q28" s="14">
        <v>0.19420000000000001</v>
      </c>
      <c r="R28" s="14">
        <v>0.25869999999999999</v>
      </c>
      <c r="S28" s="14">
        <v>0.25490000000000002</v>
      </c>
      <c r="T28" s="17">
        <v>0.248053</v>
      </c>
    </row>
    <row r="29" spans="1:20" x14ac:dyDescent="0.25">
      <c r="A29" s="7" t="s">
        <v>87</v>
      </c>
      <c r="B29" s="7"/>
      <c r="C29" s="7" t="s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95"/>
  <sheetViews>
    <sheetView topLeftCell="L1" workbookViewId="0">
      <selection activeCell="X13" sqref="X13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637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90</v>
      </c>
      <c r="D4" s="4" t="s">
        <v>7</v>
      </c>
      <c r="E4" s="4" t="s">
        <v>8</v>
      </c>
      <c r="F4" s="4" t="s">
        <v>9</v>
      </c>
      <c r="G4" s="4" t="s">
        <v>4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31</v>
      </c>
      <c r="B5" s="9"/>
      <c r="C5" s="5" t="s">
        <v>91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  <c r="AA5" s="5" t="s">
        <v>55</v>
      </c>
    </row>
    <row r="6" spans="1:27" x14ac:dyDescent="0.25">
      <c r="A6" s="6" t="s">
        <v>65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638</v>
      </c>
      <c r="B7" s="10" t="s">
        <v>639</v>
      </c>
      <c r="C7" s="13">
        <v>4639</v>
      </c>
      <c r="D7" s="13">
        <v>23525.329000000002</v>
      </c>
      <c r="E7" s="13">
        <v>30743.161</v>
      </c>
      <c r="F7" s="13">
        <v>39365</v>
      </c>
      <c r="G7" s="13">
        <v>38788</v>
      </c>
      <c r="H7" s="13">
        <v>43403</v>
      </c>
      <c r="I7" s="13">
        <v>41609.885000000002</v>
      </c>
      <c r="J7" s="13">
        <v>54402</v>
      </c>
      <c r="K7" s="13">
        <v>59268</v>
      </c>
      <c r="L7" s="13">
        <v>62497</v>
      </c>
      <c r="M7" s="13">
        <v>53968</v>
      </c>
      <c r="N7" s="13">
        <v>68480</v>
      </c>
      <c r="O7" s="13">
        <v>61978</v>
      </c>
      <c r="P7" s="13">
        <v>73838</v>
      </c>
      <c r="Q7" s="13">
        <v>107848</v>
      </c>
      <c r="R7" s="13">
        <v>65886</v>
      </c>
      <c r="S7" s="13">
        <v>76269</v>
      </c>
      <c r="T7" s="13">
        <v>75637</v>
      </c>
      <c r="U7" s="13">
        <v>62797</v>
      </c>
      <c r="V7" s="13">
        <v>109306</v>
      </c>
      <c r="W7" s="13">
        <v>98842</v>
      </c>
      <c r="X7" s="13">
        <v>108254</v>
      </c>
      <c r="Y7" s="13">
        <v>100230</v>
      </c>
      <c r="Z7" s="13">
        <v>98704</v>
      </c>
      <c r="AA7" s="13">
        <v>100295</v>
      </c>
    </row>
    <row r="8" spans="1:27" x14ac:dyDescent="0.25">
      <c r="A8" s="10" t="s">
        <v>640</v>
      </c>
      <c r="B8" s="10" t="s">
        <v>641</v>
      </c>
      <c r="C8" s="13" t="s">
        <v>80</v>
      </c>
      <c r="D8" s="13" t="s">
        <v>80</v>
      </c>
      <c r="E8" s="13" t="s">
        <v>80</v>
      </c>
      <c r="F8" s="13" t="s">
        <v>80</v>
      </c>
      <c r="G8" s="13" t="s">
        <v>80</v>
      </c>
      <c r="H8" s="13" t="s">
        <v>80</v>
      </c>
      <c r="I8" s="13" t="s">
        <v>80</v>
      </c>
      <c r="J8" s="13" t="s">
        <v>80</v>
      </c>
      <c r="K8" s="13">
        <v>4</v>
      </c>
      <c r="L8" s="13">
        <v>583</v>
      </c>
      <c r="M8" s="13">
        <v>3830</v>
      </c>
      <c r="N8" s="13">
        <v>5695</v>
      </c>
      <c r="O8" s="13">
        <v>202</v>
      </c>
      <c r="P8" s="13">
        <v>871</v>
      </c>
      <c r="Q8" s="13">
        <v>493</v>
      </c>
      <c r="R8" s="13">
        <v>0</v>
      </c>
      <c r="S8" s="13">
        <v>6622</v>
      </c>
      <c r="T8" s="13">
        <v>8756</v>
      </c>
      <c r="U8" s="13">
        <v>7389</v>
      </c>
      <c r="V8" s="13">
        <v>15208</v>
      </c>
      <c r="W8" s="13">
        <v>15403</v>
      </c>
      <c r="X8" s="13">
        <v>41107</v>
      </c>
      <c r="Y8" s="13">
        <v>67199</v>
      </c>
      <c r="Z8" s="13">
        <v>43309</v>
      </c>
      <c r="AA8" s="13">
        <v>51672</v>
      </c>
    </row>
    <row r="9" spans="1:27" x14ac:dyDescent="0.25">
      <c r="A9" s="10" t="s">
        <v>642</v>
      </c>
      <c r="B9" s="10" t="s">
        <v>643</v>
      </c>
      <c r="C9" s="13" t="s">
        <v>80</v>
      </c>
      <c r="D9" s="13" t="s">
        <v>80</v>
      </c>
      <c r="E9" s="13" t="s">
        <v>80</v>
      </c>
      <c r="F9" s="13" t="s">
        <v>80</v>
      </c>
      <c r="G9" s="13" t="s">
        <v>80</v>
      </c>
      <c r="H9" s="13" t="s">
        <v>80</v>
      </c>
      <c r="I9" s="13" t="s">
        <v>80</v>
      </c>
      <c r="J9" s="13" t="s">
        <v>80</v>
      </c>
      <c r="K9" s="13">
        <v>4</v>
      </c>
      <c r="L9" s="13">
        <v>583</v>
      </c>
      <c r="M9" s="13">
        <v>3830</v>
      </c>
      <c r="N9" s="13">
        <v>5695</v>
      </c>
      <c r="O9" s="13">
        <v>202</v>
      </c>
      <c r="P9" s="13">
        <v>871</v>
      </c>
      <c r="Q9" s="13">
        <v>493</v>
      </c>
      <c r="R9" s="13">
        <v>0</v>
      </c>
      <c r="S9" s="13">
        <v>678</v>
      </c>
      <c r="T9" s="13">
        <v>1021</v>
      </c>
      <c r="U9" s="13" t="s">
        <v>80</v>
      </c>
      <c r="V9" s="13">
        <v>4036</v>
      </c>
      <c r="W9" s="13">
        <v>4487</v>
      </c>
      <c r="X9" s="13">
        <v>22826</v>
      </c>
      <c r="Y9" s="13">
        <v>41606</v>
      </c>
      <c r="Z9" s="13">
        <v>4002</v>
      </c>
      <c r="AA9" s="13">
        <v>2950</v>
      </c>
    </row>
    <row r="10" spans="1:27" x14ac:dyDescent="0.25">
      <c r="A10" s="10" t="s">
        <v>644</v>
      </c>
      <c r="B10" s="10" t="s">
        <v>645</v>
      </c>
      <c r="C10" s="13" t="s">
        <v>80</v>
      </c>
      <c r="D10" s="13" t="s">
        <v>80</v>
      </c>
      <c r="E10" s="13" t="s">
        <v>80</v>
      </c>
      <c r="F10" s="13" t="s">
        <v>80</v>
      </c>
      <c r="G10" s="13" t="s">
        <v>80</v>
      </c>
      <c r="H10" s="13" t="s">
        <v>80</v>
      </c>
      <c r="I10" s="13" t="s">
        <v>80</v>
      </c>
      <c r="J10" s="13" t="s">
        <v>80</v>
      </c>
      <c r="K10" s="13" t="s">
        <v>80</v>
      </c>
      <c r="L10" s="13" t="s">
        <v>80</v>
      </c>
      <c r="M10" s="13" t="s">
        <v>80</v>
      </c>
      <c r="N10" s="13" t="s">
        <v>80</v>
      </c>
      <c r="O10" s="13" t="s">
        <v>80</v>
      </c>
      <c r="P10" s="13" t="s">
        <v>80</v>
      </c>
      <c r="Q10" s="13" t="s">
        <v>80</v>
      </c>
      <c r="R10" s="13" t="s">
        <v>80</v>
      </c>
      <c r="S10" s="13">
        <v>5944</v>
      </c>
      <c r="T10" s="13">
        <v>7735</v>
      </c>
      <c r="U10" s="13">
        <v>7389</v>
      </c>
      <c r="V10" s="13">
        <v>11172</v>
      </c>
      <c r="W10" s="13">
        <v>10916</v>
      </c>
      <c r="X10" s="13">
        <v>18281</v>
      </c>
      <c r="Y10" s="13">
        <v>25593</v>
      </c>
      <c r="Z10" s="13">
        <v>39307</v>
      </c>
      <c r="AA10" s="13">
        <v>48722</v>
      </c>
    </row>
    <row r="11" spans="1:27" x14ac:dyDescent="0.25">
      <c r="A11" s="10" t="s">
        <v>646</v>
      </c>
      <c r="B11" s="10" t="s">
        <v>647</v>
      </c>
      <c r="C11" s="13">
        <v>9701</v>
      </c>
      <c r="D11" s="13">
        <v>13916.813</v>
      </c>
      <c r="E11" s="13">
        <v>20972.337</v>
      </c>
      <c r="F11" s="13">
        <v>21830</v>
      </c>
      <c r="G11" s="13">
        <v>25134</v>
      </c>
      <c r="H11" s="13">
        <v>25672</v>
      </c>
      <c r="I11" s="13">
        <v>22052.221000000001</v>
      </c>
      <c r="J11" s="13">
        <v>240118</v>
      </c>
      <c r="K11" s="13">
        <v>226492</v>
      </c>
      <c r="L11" s="13">
        <v>218382</v>
      </c>
      <c r="M11" s="13">
        <v>330840</v>
      </c>
      <c r="N11" s="13">
        <v>345374</v>
      </c>
      <c r="O11" s="13">
        <v>414687</v>
      </c>
      <c r="P11" s="13">
        <v>431649</v>
      </c>
      <c r="Q11" s="13">
        <v>441525</v>
      </c>
      <c r="R11" s="13">
        <v>458784</v>
      </c>
      <c r="S11" s="13">
        <v>502869</v>
      </c>
      <c r="T11" s="13">
        <v>600106</v>
      </c>
      <c r="U11" s="13">
        <v>587123</v>
      </c>
      <c r="V11" s="13">
        <v>661865</v>
      </c>
      <c r="W11" s="13">
        <v>750357</v>
      </c>
      <c r="X11" s="13">
        <v>812450</v>
      </c>
      <c r="Y11" s="13">
        <v>896352</v>
      </c>
      <c r="Z11" s="13">
        <v>976597</v>
      </c>
      <c r="AA11" s="13">
        <v>1022722</v>
      </c>
    </row>
    <row r="12" spans="1:27" x14ac:dyDescent="0.25">
      <c r="A12" s="10" t="s">
        <v>648</v>
      </c>
      <c r="B12" s="10" t="s">
        <v>649</v>
      </c>
      <c r="C12" s="13" t="s">
        <v>80</v>
      </c>
      <c r="D12" s="13" t="s">
        <v>80</v>
      </c>
      <c r="E12" s="13" t="s">
        <v>80</v>
      </c>
      <c r="F12" s="13" t="s">
        <v>80</v>
      </c>
      <c r="G12" s="13" t="s">
        <v>80</v>
      </c>
      <c r="H12" s="13" t="s">
        <v>80</v>
      </c>
      <c r="I12" s="13" t="s">
        <v>80</v>
      </c>
      <c r="J12" s="13" t="s">
        <v>80</v>
      </c>
      <c r="K12" s="13">
        <v>24459</v>
      </c>
      <c r="L12" s="13">
        <v>66181</v>
      </c>
      <c r="M12" s="13">
        <v>115026</v>
      </c>
      <c r="N12" s="13">
        <v>123233</v>
      </c>
      <c r="O12" s="13">
        <v>232926</v>
      </c>
      <c r="P12" s="13">
        <v>248976</v>
      </c>
      <c r="Q12" s="13">
        <v>244945</v>
      </c>
      <c r="R12" s="13">
        <v>181777</v>
      </c>
      <c r="S12" s="13">
        <v>239019</v>
      </c>
      <c r="T12" s="13">
        <v>257904</v>
      </c>
      <c r="U12" s="13">
        <v>233832</v>
      </c>
      <c r="V12" s="13">
        <v>223390</v>
      </c>
      <c r="W12" s="13">
        <v>258201</v>
      </c>
      <c r="X12" s="13">
        <v>289855</v>
      </c>
      <c r="Y12" s="13">
        <v>335756</v>
      </c>
      <c r="Z12" s="13">
        <v>400772</v>
      </c>
      <c r="AA12" s="13">
        <v>436130</v>
      </c>
    </row>
    <row r="13" spans="1:27" x14ac:dyDescent="0.25">
      <c r="A13" s="10" t="s">
        <v>650</v>
      </c>
      <c r="B13" s="10" t="s">
        <v>651</v>
      </c>
      <c r="C13" s="13" t="s">
        <v>80</v>
      </c>
      <c r="D13" s="13" t="s">
        <v>80</v>
      </c>
      <c r="E13" s="13" t="s">
        <v>80</v>
      </c>
      <c r="F13" s="13" t="s">
        <v>80</v>
      </c>
      <c r="G13" s="13" t="s">
        <v>80</v>
      </c>
      <c r="H13" s="13" t="s">
        <v>80</v>
      </c>
      <c r="I13" s="13" t="s">
        <v>80</v>
      </c>
      <c r="J13" s="13" t="s">
        <v>80</v>
      </c>
      <c r="K13" s="13">
        <v>11701</v>
      </c>
      <c r="L13" s="13">
        <v>12288</v>
      </c>
      <c r="M13" s="13">
        <v>53666</v>
      </c>
      <c r="N13" s="13">
        <v>115291</v>
      </c>
      <c r="O13" s="13">
        <v>85031</v>
      </c>
      <c r="P13" s="13">
        <v>104937</v>
      </c>
      <c r="Q13" s="13">
        <v>113465</v>
      </c>
      <c r="R13" s="13">
        <v>195087</v>
      </c>
      <c r="S13" s="13">
        <v>168540</v>
      </c>
      <c r="T13" s="13">
        <v>214164</v>
      </c>
      <c r="U13" s="13">
        <v>202685</v>
      </c>
      <c r="V13" s="13">
        <v>244823</v>
      </c>
      <c r="W13" s="13">
        <v>233594</v>
      </c>
      <c r="X13" s="13">
        <v>209351</v>
      </c>
      <c r="Y13" s="13">
        <v>222018</v>
      </c>
      <c r="Z13" s="13">
        <v>201079</v>
      </c>
      <c r="AA13" s="13">
        <v>199502</v>
      </c>
    </row>
    <row r="14" spans="1:27" x14ac:dyDescent="0.25">
      <c r="A14" s="10" t="s">
        <v>652</v>
      </c>
      <c r="B14" s="10" t="s">
        <v>653</v>
      </c>
      <c r="C14" s="13" t="s">
        <v>80</v>
      </c>
      <c r="D14" s="13" t="s">
        <v>80</v>
      </c>
      <c r="E14" s="13" t="s">
        <v>80</v>
      </c>
      <c r="F14" s="13" t="s">
        <v>80</v>
      </c>
      <c r="G14" s="13" t="s">
        <v>80</v>
      </c>
      <c r="H14" s="13" t="s">
        <v>80</v>
      </c>
      <c r="I14" s="13" t="s">
        <v>80</v>
      </c>
      <c r="J14" s="13" t="s">
        <v>80</v>
      </c>
      <c r="K14" s="13">
        <v>190332</v>
      </c>
      <c r="L14" s="13">
        <v>139913</v>
      </c>
      <c r="M14" s="13">
        <v>162148</v>
      </c>
      <c r="N14" s="13">
        <v>106850</v>
      </c>
      <c r="O14" s="13">
        <v>96730</v>
      </c>
      <c r="P14" s="13">
        <v>77736</v>
      </c>
      <c r="Q14" s="13">
        <v>83115</v>
      </c>
      <c r="R14" s="13">
        <v>81920</v>
      </c>
      <c r="S14" s="13">
        <v>95310</v>
      </c>
      <c r="T14" s="13">
        <v>128038</v>
      </c>
      <c r="U14" s="13">
        <v>150606</v>
      </c>
      <c r="V14" s="13">
        <v>193652</v>
      </c>
      <c r="W14" s="13">
        <v>258562</v>
      </c>
      <c r="X14" s="13">
        <v>313244</v>
      </c>
      <c r="Y14" s="13">
        <v>338578</v>
      </c>
      <c r="Z14" s="13">
        <v>374746</v>
      </c>
      <c r="AA14" s="13">
        <v>387090</v>
      </c>
    </row>
    <row r="15" spans="1:27" x14ac:dyDescent="0.25">
      <c r="A15" s="10" t="s">
        <v>654</v>
      </c>
      <c r="B15" s="10" t="s">
        <v>655</v>
      </c>
      <c r="C15" s="13">
        <v>0</v>
      </c>
      <c r="D15" s="13" t="s">
        <v>80</v>
      </c>
      <c r="E15" s="13">
        <v>0</v>
      </c>
      <c r="F15" s="13" t="s">
        <v>80</v>
      </c>
      <c r="G15" s="13" t="s">
        <v>80</v>
      </c>
      <c r="H15" s="13" t="s">
        <v>80</v>
      </c>
      <c r="I15" s="13" t="s">
        <v>80</v>
      </c>
      <c r="J15" s="13" t="s">
        <v>80</v>
      </c>
      <c r="K15" s="13" t="s">
        <v>80</v>
      </c>
      <c r="L15" s="13" t="s">
        <v>80</v>
      </c>
      <c r="M15" s="13" t="s">
        <v>80</v>
      </c>
      <c r="N15" s="13" t="s">
        <v>80</v>
      </c>
      <c r="O15" s="13" t="s">
        <v>80</v>
      </c>
      <c r="P15" s="13" t="s">
        <v>80</v>
      </c>
      <c r="Q15" s="13" t="s">
        <v>80</v>
      </c>
      <c r="R15" s="13" t="s">
        <v>80</v>
      </c>
      <c r="S15" s="13" t="s">
        <v>80</v>
      </c>
      <c r="T15" s="13" t="s">
        <v>80</v>
      </c>
      <c r="U15" s="13" t="s">
        <v>80</v>
      </c>
      <c r="V15" s="13" t="s">
        <v>80</v>
      </c>
      <c r="W15" s="13" t="s">
        <v>80</v>
      </c>
      <c r="X15" s="13" t="s">
        <v>80</v>
      </c>
      <c r="Y15" s="13" t="s">
        <v>80</v>
      </c>
      <c r="Z15" s="13" t="s">
        <v>80</v>
      </c>
      <c r="AA15" s="13" t="s">
        <v>80</v>
      </c>
    </row>
    <row r="16" spans="1:27" x14ac:dyDescent="0.25">
      <c r="A16" s="10" t="s">
        <v>656</v>
      </c>
      <c r="B16" s="10" t="s">
        <v>657</v>
      </c>
      <c r="C16" s="13" t="s">
        <v>80</v>
      </c>
      <c r="D16" s="13" t="s">
        <v>80</v>
      </c>
      <c r="E16" s="13" t="s">
        <v>80</v>
      </c>
      <c r="F16" s="13" t="s">
        <v>80</v>
      </c>
      <c r="G16" s="13" t="s">
        <v>80</v>
      </c>
      <c r="H16" s="13" t="s">
        <v>80</v>
      </c>
      <c r="I16" s="13" t="s">
        <v>80</v>
      </c>
      <c r="J16" s="13" t="s">
        <v>80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 t="s">
        <v>80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 t="s">
        <v>80</v>
      </c>
    </row>
    <row r="17" spans="1:27" x14ac:dyDescent="0.25">
      <c r="A17" s="10" t="s">
        <v>658</v>
      </c>
      <c r="B17" s="10" t="s">
        <v>659</v>
      </c>
      <c r="C17" s="13">
        <v>2554</v>
      </c>
      <c r="D17" s="13">
        <v>2636.194</v>
      </c>
      <c r="E17" s="13">
        <v>2230.5250000000001</v>
      </c>
      <c r="F17" s="13">
        <v>2859</v>
      </c>
      <c r="G17" s="13">
        <v>2941</v>
      </c>
      <c r="H17" s="13">
        <v>9257</v>
      </c>
      <c r="I17" s="13">
        <v>13638.141</v>
      </c>
      <c r="J17" s="13">
        <v>9514</v>
      </c>
      <c r="K17" s="13">
        <v>13872</v>
      </c>
      <c r="L17" s="13">
        <v>12889</v>
      </c>
      <c r="M17" s="13">
        <v>31072</v>
      </c>
      <c r="N17" s="13">
        <v>32942</v>
      </c>
      <c r="O17" s="13">
        <v>33116</v>
      </c>
      <c r="P17" s="13">
        <v>42033</v>
      </c>
      <c r="Q17" s="13">
        <v>45938</v>
      </c>
      <c r="R17" s="13">
        <v>65710</v>
      </c>
      <c r="S17" s="13">
        <v>68963</v>
      </c>
      <c r="T17" s="13">
        <v>59456</v>
      </c>
      <c r="U17" s="13">
        <v>47343</v>
      </c>
      <c r="V17" s="13">
        <v>58476</v>
      </c>
      <c r="W17" s="13">
        <v>49657</v>
      </c>
      <c r="X17" s="13">
        <v>40939</v>
      </c>
      <c r="Y17" s="13">
        <v>46026</v>
      </c>
      <c r="Z17" s="13">
        <v>57105</v>
      </c>
      <c r="AA17" s="13">
        <v>46064</v>
      </c>
    </row>
    <row r="18" spans="1:27" x14ac:dyDescent="0.25">
      <c r="A18" s="10" t="s">
        <v>660</v>
      </c>
      <c r="B18" s="10" t="s">
        <v>661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 t="s">
        <v>80</v>
      </c>
      <c r="K18" s="13">
        <v>117237</v>
      </c>
      <c r="L18" s="13">
        <v>126483</v>
      </c>
      <c r="M18" s="13">
        <v>169023</v>
      </c>
      <c r="N18" s="13">
        <v>186061</v>
      </c>
      <c r="O18" s="13">
        <v>184624</v>
      </c>
      <c r="P18" s="13">
        <v>194504</v>
      </c>
      <c r="Q18" s="13">
        <v>212380</v>
      </c>
      <c r="R18" s="13">
        <v>228868</v>
      </c>
      <c r="S18" s="13">
        <v>233777</v>
      </c>
      <c r="T18" s="13">
        <v>302845</v>
      </c>
      <c r="U18" s="13">
        <v>293499</v>
      </c>
      <c r="V18" s="13">
        <v>327713</v>
      </c>
      <c r="W18" s="13">
        <v>333265</v>
      </c>
      <c r="X18" s="13">
        <v>358601</v>
      </c>
      <c r="Y18" s="13">
        <v>406094</v>
      </c>
      <c r="Z18" s="13">
        <v>484349</v>
      </c>
      <c r="AA18" s="13">
        <v>512509</v>
      </c>
    </row>
    <row r="19" spans="1:27" x14ac:dyDescent="0.25">
      <c r="A19" s="10" t="s">
        <v>662</v>
      </c>
      <c r="B19" s="10" t="s">
        <v>663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 t="s">
        <v>80</v>
      </c>
      <c r="J19" s="13" t="s">
        <v>80</v>
      </c>
      <c r="K19" s="13">
        <v>117237</v>
      </c>
      <c r="L19" s="13">
        <v>126483</v>
      </c>
      <c r="M19" s="13">
        <v>169023</v>
      </c>
      <c r="N19" s="13">
        <v>186061</v>
      </c>
      <c r="O19" s="13">
        <v>184624</v>
      </c>
      <c r="P19" s="13">
        <v>194504</v>
      </c>
      <c r="Q19" s="13">
        <v>212380</v>
      </c>
      <c r="R19" s="13">
        <v>228868</v>
      </c>
      <c r="S19" s="13">
        <v>233777</v>
      </c>
      <c r="T19" s="13">
        <v>302845</v>
      </c>
      <c r="U19" s="13">
        <v>293499</v>
      </c>
      <c r="V19" s="13">
        <v>327713</v>
      </c>
      <c r="W19" s="13">
        <v>333265</v>
      </c>
      <c r="X19" s="13">
        <v>358601</v>
      </c>
      <c r="Y19" s="13">
        <v>406094</v>
      </c>
      <c r="Z19" s="13">
        <v>484349</v>
      </c>
      <c r="AA19" s="13">
        <v>512509</v>
      </c>
    </row>
    <row r="20" spans="1:27" x14ac:dyDescent="0.25">
      <c r="A20" s="10" t="s">
        <v>664</v>
      </c>
      <c r="B20" s="10" t="s">
        <v>665</v>
      </c>
      <c r="C20" s="13" t="s">
        <v>80</v>
      </c>
      <c r="D20" s="13" t="s">
        <v>80</v>
      </c>
      <c r="E20" s="13" t="s">
        <v>80</v>
      </c>
      <c r="F20" s="13" t="s">
        <v>80</v>
      </c>
      <c r="G20" s="13" t="s">
        <v>80</v>
      </c>
      <c r="H20" s="13" t="s">
        <v>80</v>
      </c>
      <c r="I20" s="13">
        <v>37215.671999999999</v>
      </c>
      <c r="J20" s="13">
        <v>47028</v>
      </c>
      <c r="K20" s="13">
        <v>75593</v>
      </c>
      <c r="L20" s="13">
        <v>83996</v>
      </c>
      <c r="M20" s="13">
        <v>98813</v>
      </c>
      <c r="N20" s="13">
        <v>118644</v>
      </c>
      <c r="O20" s="13">
        <v>139915</v>
      </c>
      <c r="P20" s="13">
        <v>158139</v>
      </c>
      <c r="Q20" s="13">
        <v>175562</v>
      </c>
      <c r="R20" s="13">
        <v>203048</v>
      </c>
      <c r="S20" s="13">
        <v>240898</v>
      </c>
      <c r="T20" s="13">
        <v>269189</v>
      </c>
      <c r="U20" s="13">
        <v>287766</v>
      </c>
      <c r="V20" s="13">
        <v>310583</v>
      </c>
      <c r="W20" s="13">
        <v>324751</v>
      </c>
      <c r="X20" s="13">
        <v>378906</v>
      </c>
      <c r="Y20" s="13">
        <v>437113</v>
      </c>
      <c r="Z20" s="13">
        <v>483531</v>
      </c>
      <c r="AA20" s="13">
        <v>537196</v>
      </c>
    </row>
    <row r="21" spans="1:27" x14ac:dyDescent="0.25">
      <c r="A21" s="10" t="s">
        <v>666</v>
      </c>
      <c r="B21" s="10" t="s">
        <v>667</v>
      </c>
      <c r="C21" s="13" t="s">
        <v>80</v>
      </c>
      <c r="D21" s="13" t="s">
        <v>80</v>
      </c>
      <c r="E21" s="13" t="s">
        <v>80</v>
      </c>
      <c r="F21" s="13" t="s">
        <v>80</v>
      </c>
      <c r="G21" s="13" t="s">
        <v>80</v>
      </c>
      <c r="H21" s="13" t="s">
        <v>80</v>
      </c>
      <c r="I21" s="13" t="s">
        <v>80</v>
      </c>
      <c r="J21" s="13" t="s">
        <v>80</v>
      </c>
      <c r="K21" s="13">
        <v>11801</v>
      </c>
      <c r="L21" s="13">
        <v>11159</v>
      </c>
      <c r="M21" s="13">
        <v>11465</v>
      </c>
      <c r="N21" s="13">
        <v>17624</v>
      </c>
      <c r="O21" s="13">
        <v>20323</v>
      </c>
      <c r="P21" s="13">
        <v>23209</v>
      </c>
      <c r="Q21" s="13">
        <v>24855</v>
      </c>
      <c r="R21" s="13">
        <v>28445</v>
      </c>
      <c r="S21" s="13">
        <v>33906</v>
      </c>
      <c r="T21" s="13">
        <v>36657</v>
      </c>
      <c r="U21" s="13">
        <v>39700</v>
      </c>
      <c r="V21" s="13">
        <v>39771</v>
      </c>
      <c r="W21" s="13">
        <v>40451</v>
      </c>
      <c r="X21" s="13">
        <v>46236</v>
      </c>
      <c r="Y21" s="13">
        <v>60107</v>
      </c>
      <c r="Z21" s="13">
        <v>0</v>
      </c>
      <c r="AA21" s="13">
        <v>0</v>
      </c>
    </row>
    <row r="22" spans="1:27" x14ac:dyDescent="0.25">
      <c r="A22" s="10" t="s">
        <v>668</v>
      </c>
      <c r="B22" s="10" t="s">
        <v>669</v>
      </c>
      <c r="C22" s="13" t="s">
        <v>80</v>
      </c>
      <c r="D22" s="13" t="s">
        <v>80</v>
      </c>
      <c r="E22" s="13" t="s">
        <v>80</v>
      </c>
      <c r="F22" s="13" t="s">
        <v>80</v>
      </c>
      <c r="G22" s="13" t="s">
        <v>80</v>
      </c>
      <c r="H22" s="13" t="s">
        <v>80</v>
      </c>
      <c r="I22" s="13" t="s">
        <v>80</v>
      </c>
      <c r="J22" s="13" t="s">
        <v>80</v>
      </c>
      <c r="K22" s="13">
        <v>49881</v>
      </c>
      <c r="L22" s="13">
        <v>56168</v>
      </c>
      <c r="M22" s="13">
        <v>64567</v>
      </c>
      <c r="N22" s="13">
        <v>72608</v>
      </c>
      <c r="O22" s="13">
        <v>82032</v>
      </c>
      <c r="P22" s="13">
        <v>89758</v>
      </c>
      <c r="Q22" s="13">
        <v>99825</v>
      </c>
      <c r="R22" s="13">
        <v>114718</v>
      </c>
      <c r="S22" s="13">
        <v>135334</v>
      </c>
      <c r="T22" s="13">
        <v>155748</v>
      </c>
      <c r="U22" s="13">
        <v>170086</v>
      </c>
      <c r="V22" s="13">
        <v>189394</v>
      </c>
      <c r="W22" s="13">
        <v>202536</v>
      </c>
      <c r="X22" s="13">
        <v>228797</v>
      </c>
      <c r="Y22" s="13">
        <v>255316</v>
      </c>
      <c r="Z22" s="13">
        <v>274790</v>
      </c>
      <c r="AA22" s="13">
        <v>295419</v>
      </c>
    </row>
    <row r="23" spans="1:27" x14ac:dyDescent="0.25">
      <c r="A23" s="10" t="s">
        <v>670</v>
      </c>
      <c r="B23" s="10" t="s">
        <v>671</v>
      </c>
      <c r="C23" s="13" t="s">
        <v>80</v>
      </c>
      <c r="D23" s="13" t="s">
        <v>80</v>
      </c>
      <c r="E23" s="13" t="s">
        <v>80</v>
      </c>
      <c r="F23" s="13" t="s">
        <v>80</v>
      </c>
      <c r="G23" s="13" t="s">
        <v>80</v>
      </c>
      <c r="H23" s="13" t="s">
        <v>80</v>
      </c>
      <c r="I23" s="13" t="s">
        <v>80</v>
      </c>
      <c r="J23" s="13" t="s">
        <v>80</v>
      </c>
      <c r="K23" s="13" t="s">
        <v>80</v>
      </c>
      <c r="L23" s="13" t="s">
        <v>80</v>
      </c>
      <c r="M23" s="13" t="s">
        <v>80</v>
      </c>
      <c r="N23" s="13" t="s">
        <v>80</v>
      </c>
      <c r="O23" s="13" t="s">
        <v>80</v>
      </c>
      <c r="P23" s="13">
        <v>11074</v>
      </c>
      <c r="Q23" s="13">
        <v>12400</v>
      </c>
      <c r="R23" s="13">
        <v>15047</v>
      </c>
      <c r="S23" s="13">
        <v>19189</v>
      </c>
      <c r="T23" s="13">
        <v>24131</v>
      </c>
      <c r="U23" s="13">
        <v>26669</v>
      </c>
      <c r="V23" s="13">
        <v>28326</v>
      </c>
      <c r="W23" s="13">
        <v>28020</v>
      </c>
      <c r="X23" s="13" t="s">
        <v>80</v>
      </c>
      <c r="Y23" s="13" t="s">
        <v>80</v>
      </c>
      <c r="Z23" s="13" t="s">
        <v>80</v>
      </c>
      <c r="AA23" s="13" t="s">
        <v>80</v>
      </c>
    </row>
    <row r="24" spans="1:27" x14ac:dyDescent="0.25">
      <c r="A24" s="10" t="s">
        <v>672</v>
      </c>
      <c r="B24" s="10" t="s">
        <v>673</v>
      </c>
      <c r="C24" s="13" t="s">
        <v>80</v>
      </c>
      <c r="D24" s="13" t="s">
        <v>80</v>
      </c>
      <c r="E24" s="13" t="s">
        <v>80</v>
      </c>
      <c r="F24" s="13" t="s">
        <v>80</v>
      </c>
      <c r="G24" s="13" t="s">
        <v>80</v>
      </c>
      <c r="H24" s="13" t="s">
        <v>80</v>
      </c>
      <c r="I24" s="13" t="s">
        <v>80</v>
      </c>
      <c r="J24" s="13" t="s">
        <v>80</v>
      </c>
      <c r="K24" s="13">
        <v>13911</v>
      </c>
      <c r="L24" s="13">
        <v>16669</v>
      </c>
      <c r="M24" s="13">
        <v>22781</v>
      </c>
      <c r="N24" s="13">
        <v>28412</v>
      </c>
      <c r="O24" s="13">
        <v>37560</v>
      </c>
      <c r="P24" s="13">
        <v>34098</v>
      </c>
      <c r="Q24" s="13">
        <v>38482</v>
      </c>
      <c r="R24" s="13">
        <v>44838</v>
      </c>
      <c r="S24" s="13">
        <v>52469</v>
      </c>
      <c r="T24" s="13">
        <v>52653</v>
      </c>
      <c r="U24" s="13">
        <v>51311</v>
      </c>
      <c r="V24" s="13">
        <v>53092</v>
      </c>
      <c r="W24" s="13">
        <v>53744</v>
      </c>
      <c r="X24" s="13">
        <v>103873</v>
      </c>
      <c r="Y24" s="13">
        <v>121690</v>
      </c>
      <c r="Z24" s="13">
        <v>208741</v>
      </c>
      <c r="AA24" s="13">
        <v>241777</v>
      </c>
    </row>
    <row r="25" spans="1:27" x14ac:dyDescent="0.25">
      <c r="A25" s="10" t="s">
        <v>674</v>
      </c>
      <c r="B25" s="10" t="s">
        <v>675</v>
      </c>
      <c r="C25" s="13" t="s">
        <v>80</v>
      </c>
      <c r="D25" s="13" t="s">
        <v>80</v>
      </c>
      <c r="E25" s="13" t="s">
        <v>80</v>
      </c>
      <c r="F25" s="13" t="s">
        <v>80</v>
      </c>
      <c r="G25" s="13" t="s">
        <v>80</v>
      </c>
      <c r="H25" s="13" t="s">
        <v>80</v>
      </c>
      <c r="I25" s="13">
        <v>159315.71299999999</v>
      </c>
      <c r="J25" s="13">
        <v>201267</v>
      </c>
      <c r="K25" s="13">
        <v>52278</v>
      </c>
      <c r="L25" s="13">
        <v>59735</v>
      </c>
      <c r="M25" s="13">
        <v>89671</v>
      </c>
      <c r="N25" s="13">
        <v>105209</v>
      </c>
      <c r="O25" s="13">
        <v>114154</v>
      </c>
      <c r="P25" s="13">
        <v>133418</v>
      </c>
      <c r="Q25" s="13">
        <v>142151</v>
      </c>
      <c r="R25" s="13">
        <v>145201</v>
      </c>
      <c r="S25" s="13">
        <v>147461</v>
      </c>
      <c r="T25" s="13">
        <v>210686</v>
      </c>
      <c r="U25" s="13">
        <v>186794</v>
      </c>
      <c r="V25" s="13">
        <v>161600</v>
      </c>
      <c r="W25" s="13">
        <v>160407</v>
      </c>
      <c r="X25" s="13">
        <v>177255</v>
      </c>
      <c r="Y25" s="13">
        <v>177520</v>
      </c>
      <c r="Z25" s="13">
        <v>187406</v>
      </c>
      <c r="AA25" s="13">
        <v>189244</v>
      </c>
    </row>
    <row r="26" spans="1:27" x14ac:dyDescent="0.25">
      <c r="A26" s="10" t="s">
        <v>676</v>
      </c>
      <c r="B26" s="10" t="s">
        <v>64</v>
      </c>
      <c r="C26" s="13">
        <v>83703</v>
      </c>
      <c r="D26" s="13">
        <v>154730.62599999999</v>
      </c>
      <c r="E26" s="13">
        <v>152498.62100000001</v>
      </c>
      <c r="F26" s="13">
        <v>104117</v>
      </c>
      <c r="G26" s="13">
        <v>116341</v>
      </c>
      <c r="H26" s="13">
        <v>144025</v>
      </c>
      <c r="I26" s="13">
        <v>196531.38500000001</v>
      </c>
      <c r="J26" s="13">
        <v>248295</v>
      </c>
      <c r="K26" s="13">
        <v>245108</v>
      </c>
      <c r="L26" s="13">
        <v>270214</v>
      </c>
      <c r="M26" s="13">
        <v>357507</v>
      </c>
      <c r="N26" s="13">
        <v>409914</v>
      </c>
      <c r="O26" s="13">
        <v>438693</v>
      </c>
      <c r="P26" s="13">
        <v>486061</v>
      </c>
      <c r="Q26" s="13">
        <v>530091</v>
      </c>
      <c r="R26" s="13">
        <v>577117</v>
      </c>
      <c r="S26" s="13">
        <v>622136</v>
      </c>
      <c r="T26" s="13">
        <v>782720</v>
      </c>
      <c r="U26" s="13">
        <v>768059</v>
      </c>
      <c r="V26" s="13">
        <v>799896</v>
      </c>
      <c r="W26" s="13">
        <v>818423</v>
      </c>
      <c r="X26" s="13">
        <v>914762</v>
      </c>
      <c r="Y26" s="13">
        <v>1020727</v>
      </c>
      <c r="Z26" s="13">
        <v>1155286</v>
      </c>
      <c r="AA26" s="13">
        <v>1238949</v>
      </c>
    </row>
    <row r="27" spans="1:27" x14ac:dyDescent="0.25">
      <c r="A27" s="10" t="s">
        <v>677</v>
      </c>
      <c r="B27" s="10" t="s">
        <v>678</v>
      </c>
      <c r="C27" s="13">
        <v>4494</v>
      </c>
      <c r="D27" s="13">
        <v>5608.7269999999999</v>
      </c>
      <c r="E27" s="13">
        <v>4316.1509999999998</v>
      </c>
      <c r="F27" s="13">
        <v>2752</v>
      </c>
      <c r="G27" s="13">
        <v>3067</v>
      </c>
      <c r="H27" s="13">
        <v>3533</v>
      </c>
      <c r="I27" s="13">
        <v>3786.0619999999999</v>
      </c>
      <c r="J27" s="13">
        <v>6690</v>
      </c>
      <c r="K27" s="13">
        <v>7535</v>
      </c>
      <c r="L27" s="13">
        <v>8245</v>
      </c>
      <c r="M27" s="13">
        <v>9944</v>
      </c>
      <c r="N27" s="13">
        <v>11734</v>
      </c>
      <c r="O27" s="13">
        <v>14289</v>
      </c>
      <c r="P27" s="13">
        <v>15287</v>
      </c>
      <c r="Q27" s="13">
        <v>13813</v>
      </c>
      <c r="R27" s="13">
        <v>14384</v>
      </c>
      <c r="S27" s="13">
        <v>16122</v>
      </c>
      <c r="T27" s="13">
        <v>18844</v>
      </c>
      <c r="U27" s="13">
        <v>17639</v>
      </c>
      <c r="V27" s="13">
        <v>20004</v>
      </c>
      <c r="W27" s="13">
        <v>16251</v>
      </c>
      <c r="X27" s="13">
        <v>17899</v>
      </c>
      <c r="Y27" s="13">
        <v>19857</v>
      </c>
      <c r="Z27" s="13">
        <v>20434</v>
      </c>
      <c r="AA27" s="13">
        <v>24097</v>
      </c>
    </row>
    <row r="28" spans="1:27" x14ac:dyDescent="0.25">
      <c r="A28" s="10" t="s">
        <v>679</v>
      </c>
      <c r="B28" s="10" t="s">
        <v>115</v>
      </c>
      <c r="C28" s="13">
        <v>79209</v>
      </c>
      <c r="D28" s="13">
        <v>149121.899</v>
      </c>
      <c r="E28" s="13">
        <v>148182.47</v>
      </c>
      <c r="F28" s="13">
        <v>101365</v>
      </c>
      <c r="G28" s="13">
        <v>113274</v>
      </c>
      <c r="H28" s="13">
        <v>140492</v>
      </c>
      <c r="I28" s="13">
        <v>192745.323</v>
      </c>
      <c r="J28" s="13">
        <v>241605</v>
      </c>
      <c r="K28" s="13">
        <v>237573</v>
      </c>
      <c r="L28" s="13">
        <v>261969</v>
      </c>
      <c r="M28" s="13">
        <v>347563</v>
      </c>
      <c r="N28" s="13">
        <v>398180</v>
      </c>
      <c r="O28" s="13">
        <v>424404</v>
      </c>
      <c r="P28" s="13">
        <v>470775</v>
      </c>
      <c r="Q28" s="13">
        <v>516278</v>
      </c>
      <c r="R28" s="13">
        <v>562733</v>
      </c>
      <c r="S28" s="13">
        <v>606014</v>
      </c>
      <c r="T28" s="13">
        <v>763876</v>
      </c>
      <c r="U28" s="13">
        <v>750420</v>
      </c>
      <c r="V28" s="13">
        <v>779892</v>
      </c>
      <c r="W28" s="13">
        <v>802172</v>
      </c>
      <c r="X28" s="13">
        <v>896863</v>
      </c>
      <c r="Y28" s="13">
        <v>1000870</v>
      </c>
      <c r="Z28" s="13">
        <v>1134852</v>
      </c>
      <c r="AA28" s="13">
        <v>1214852</v>
      </c>
    </row>
    <row r="29" spans="1:27" x14ac:dyDescent="0.25">
      <c r="A29" s="10" t="s">
        <v>680</v>
      </c>
      <c r="B29" s="10" t="s">
        <v>681</v>
      </c>
      <c r="C29" s="13">
        <v>3624</v>
      </c>
      <c r="D29" s="13">
        <v>5721.5969999999998</v>
      </c>
      <c r="E29" s="13">
        <v>5712.902</v>
      </c>
      <c r="F29" s="13">
        <v>5941</v>
      </c>
      <c r="G29" s="13">
        <v>5682</v>
      </c>
      <c r="H29" s="13">
        <v>6646</v>
      </c>
      <c r="I29" s="13">
        <v>8097.7070000000003</v>
      </c>
      <c r="J29" s="13">
        <v>8429</v>
      </c>
      <c r="K29" s="13">
        <v>8622</v>
      </c>
      <c r="L29" s="13">
        <v>9316</v>
      </c>
      <c r="M29" s="13">
        <v>11785</v>
      </c>
      <c r="N29" s="13">
        <v>11986</v>
      </c>
      <c r="O29" s="13">
        <v>12033</v>
      </c>
      <c r="P29" s="13">
        <v>12845</v>
      </c>
      <c r="Q29" s="13">
        <v>14537</v>
      </c>
      <c r="R29" s="13">
        <v>15829</v>
      </c>
      <c r="S29" s="13">
        <v>18170</v>
      </c>
      <c r="T29" s="13">
        <v>17684</v>
      </c>
      <c r="U29" s="13">
        <v>18763</v>
      </c>
      <c r="V29" s="13">
        <v>32627</v>
      </c>
      <c r="W29" s="13">
        <v>21451</v>
      </c>
      <c r="X29" s="13">
        <v>35897</v>
      </c>
      <c r="Y29" s="13">
        <v>34454</v>
      </c>
      <c r="Z29" s="13">
        <v>36353</v>
      </c>
      <c r="AA29" s="13">
        <v>39809</v>
      </c>
    </row>
    <row r="30" spans="1:27" x14ac:dyDescent="0.25">
      <c r="A30" s="10" t="s">
        <v>682</v>
      </c>
      <c r="B30" s="10" t="s">
        <v>683</v>
      </c>
      <c r="C30" s="13" t="s">
        <v>80</v>
      </c>
      <c r="D30" s="13" t="s">
        <v>80</v>
      </c>
      <c r="E30" s="13" t="s">
        <v>80</v>
      </c>
      <c r="F30" s="13" t="s">
        <v>80</v>
      </c>
      <c r="G30" s="13" t="s">
        <v>80</v>
      </c>
      <c r="H30" s="13" t="s">
        <v>80</v>
      </c>
      <c r="I30" s="13" t="s">
        <v>80</v>
      </c>
      <c r="J30" s="13" t="s">
        <v>80</v>
      </c>
      <c r="K30" s="13">
        <v>8622</v>
      </c>
      <c r="L30" s="13">
        <v>9316</v>
      </c>
      <c r="M30" s="13">
        <v>11785</v>
      </c>
      <c r="N30" s="13">
        <v>11986</v>
      </c>
      <c r="O30" s="13">
        <v>12033</v>
      </c>
      <c r="P30" s="13">
        <v>12845</v>
      </c>
      <c r="Q30" s="13">
        <v>14537</v>
      </c>
      <c r="R30" s="13">
        <v>15829</v>
      </c>
      <c r="S30" s="13">
        <v>18170</v>
      </c>
      <c r="T30" s="13">
        <v>17684</v>
      </c>
      <c r="U30" s="13">
        <v>18763</v>
      </c>
      <c r="V30" s="13">
        <v>32627</v>
      </c>
      <c r="W30" s="13">
        <v>21451</v>
      </c>
      <c r="X30" s="13">
        <v>35897</v>
      </c>
      <c r="Y30" s="13">
        <v>34454</v>
      </c>
      <c r="Z30" s="13">
        <v>36353</v>
      </c>
      <c r="AA30" s="13">
        <v>39809</v>
      </c>
    </row>
    <row r="31" spans="1:27" x14ac:dyDescent="0.25">
      <c r="A31" s="10" t="s">
        <v>684</v>
      </c>
      <c r="B31" s="10" t="s">
        <v>685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>
        <v>5377</v>
      </c>
      <c r="K31" s="13">
        <v>3121</v>
      </c>
      <c r="L31" s="13">
        <v>2950</v>
      </c>
      <c r="M31" s="13">
        <v>15689</v>
      </c>
      <c r="N31" s="13">
        <v>20724</v>
      </c>
      <c r="O31" s="13">
        <v>22366</v>
      </c>
      <c r="P31" s="13">
        <v>24697</v>
      </c>
      <c r="Q31" s="13">
        <v>28860</v>
      </c>
      <c r="R31" s="13">
        <v>26315</v>
      </c>
      <c r="S31" s="13">
        <v>12644</v>
      </c>
      <c r="T31" s="13">
        <v>44393</v>
      </c>
      <c r="U31" s="13">
        <v>26700</v>
      </c>
      <c r="V31" s="13">
        <v>26720</v>
      </c>
      <c r="W31" s="13">
        <v>26732</v>
      </c>
      <c r="X31" s="13">
        <v>44829</v>
      </c>
      <c r="Y31" s="13">
        <v>44095</v>
      </c>
      <c r="Z31" s="13">
        <v>42965</v>
      </c>
      <c r="AA31" s="13">
        <v>39068</v>
      </c>
    </row>
    <row r="32" spans="1:27" x14ac:dyDescent="0.25">
      <c r="A32" s="10" t="s">
        <v>686</v>
      </c>
      <c r="B32" s="10" t="s">
        <v>687</v>
      </c>
      <c r="C32" s="13" t="s">
        <v>80</v>
      </c>
      <c r="D32" s="13" t="s">
        <v>80</v>
      </c>
      <c r="E32" s="13" t="s">
        <v>80</v>
      </c>
      <c r="F32" s="13" t="s">
        <v>80</v>
      </c>
      <c r="G32" s="13" t="s">
        <v>80</v>
      </c>
      <c r="H32" s="13" t="s">
        <v>80</v>
      </c>
      <c r="I32" s="13" t="s">
        <v>80</v>
      </c>
      <c r="J32" s="13">
        <v>5377</v>
      </c>
      <c r="K32" s="13">
        <v>3121</v>
      </c>
      <c r="L32" s="13">
        <v>2950</v>
      </c>
      <c r="M32" s="13">
        <v>15689</v>
      </c>
      <c r="N32" s="13">
        <v>15356</v>
      </c>
      <c r="O32" s="13">
        <v>15381</v>
      </c>
      <c r="P32" s="13">
        <v>15771</v>
      </c>
      <c r="Q32" s="13">
        <v>16362</v>
      </c>
      <c r="R32" s="13">
        <v>12679</v>
      </c>
      <c r="S32" s="13">
        <v>12644</v>
      </c>
      <c r="T32" s="13">
        <v>24453</v>
      </c>
      <c r="U32" s="13">
        <v>26700</v>
      </c>
      <c r="V32" s="13">
        <v>26720</v>
      </c>
      <c r="W32" s="13">
        <v>26732</v>
      </c>
      <c r="X32" s="13">
        <v>26741</v>
      </c>
      <c r="Y32" s="13">
        <v>26825</v>
      </c>
      <c r="Z32" s="13">
        <v>28067</v>
      </c>
      <c r="AA32" s="13">
        <v>27478</v>
      </c>
    </row>
    <row r="33" spans="1:27" x14ac:dyDescent="0.25">
      <c r="A33" s="10" t="s">
        <v>688</v>
      </c>
      <c r="B33" s="10" t="s">
        <v>689</v>
      </c>
      <c r="C33" s="13" t="s">
        <v>80</v>
      </c>
      <c r="D33" s="13" t="s">
        <v>80</v>
      </c>
      <c r="E33" s="13" t="s">
        <v>80</v>
      </c>
      <c r="F33" s="13" t="s">
        <v>80</v>
      </c>
      <c r="G33" s="13" t="s">
        <v>80</v>
      </c>
      <c r="H33" s="13" t="s">
        <v>80</v>
      </c>
      <c r="I33" s="13" t="s">
        <v>80</v>
      </c>
      <c r="J33" s="13" t="s">
        <v>80</v>
      </c>
      <c r="K33" s="13" t="s">
        <v>80</v>
      </c>
      <c r="L33" s="13" t="s">
        <v>80</v>
      </c>
      <c r="M33" s="13" t="s">
        <v>80</v>
      </c>
      <c r="N33" s="13">
        <v>5368</v>
      </c>
      <c r="O33" s="13">
        <v>6985</v>
      </c>
      <c r="P33" s="13">
        <v>8926</v>
      </c>
      <c r="Q33" s="13">
        <v>12498</v>
      </c>
      <c r="R33" s="13">
        <v>13636</v>
      </c>
      <c r="S33" s="13" t="s">
        <v>80</v>
      </c>
      <c r="T33" s="13">
        <v>19940</v>
      </c>
      <c r="U33" s="13" t="s">
        <v>80</v>
      </c>
      <c r="V33" s="13" t="s">
        <v>80</v>
      </c>
      <c r="W33" s="13" t="s">
        <v>80</v>
      </c>
      <c r="X33" s="13">
        <v>18088</v>
      </c>
      <c r="Y33" s="13">
        <v>17270</v>
      </c>
      <c r="Z33" s="13">
        <v>14898</v>
      </c>
      <c r="AA33" s="13">
        <v>11590</v>
      </c>
    </row>
    <row r="34" spans="1:27" x14ac:dyDescent="0.25">
      <c r="A34" s="10" t="s">
        <v>690</v>
      </c>
      <c r="B34" s="10" t="s">
        <v>691</v>
      </c>
      <c r="C34" s="13">
        <v>711</v>
      </c>
      <c r="D34" s="13">
        <v>1023.92</v>
      </c>
      <c r="E34" s="13">
        <v>1703.713</v>
      </c>
      <c r="F34" s="13" t="s">
        <v>80</v>
      </c>
      <c r="G34" s="13">
        <v>2226</v>
      </c>
      <c r="H34" s="13">
        <v>3164</v>
      </c>
      <c r="I34" s="13" t="s">
        <v>80</v>
      </c>
      <c r="J34" s="13">
        <v>2559</v>
      </c>
      <c r="K34" s="13">
        <v>3036</v>
      </c>
      <c r="L34" s="13">
        <v>3130</v>
      </c>
      <c r="M34" s="13">
        <v>2280</v>
      </c>
      <c r="N34" s="13">
        <v>5170</v>
      </c>
      <c r="O34" s="13">
        <v>14205</v>
      </c>
      <c r="P34" s="13">
        <v>13916</v>
      </c>
      <c r="Q34" s="13">
        <v>13805</v>
      </c>
      <c r="R34" s="13">
        <v>13764</v>
      </c>
      <c r="S34" s="13">
        <v>13771</v>
      </c>
      <c r="T34" s="13">
        <v>14038</v>
      </c>
      <c r="U34" s="13">
        <v>14554</v>
      </c>
      <c r="V34" s="13">
        <v>14805</v>
      </c>
      <c r="W34" s="13">
        <v>15004</v>
      </c>
      <c r="X34" s="13">
        <v>14954</v>
      </c>
      <c r="Y34" s="13">
        <v>15495</v>
      </c>
      <c r="Z34" s="13">
        <v>15629</v>
      </c>
      <c r="AA34" s="13">
        <v>15758</v>
      </c>
    </row>
    <row r="35" spans="1:27" x14ac:dyDescent="0.25">
      <c r="A35" s="10" t="s">
        <v>692</v>
      </c>
      <c r="B35" s="10" t="s">
        <v>693</v>
      </c>
      <c r="C35" s="13" t="s">
        <v>80</v>
      </c>
      <c r="D35" s="13" t="s">
        <v>80</v>
      </c>
      <c r="E35" s="13" t="s">
        <v>80</v>
      </c>
      <c r="F35" s="13" t="s">
        <v>80</v>
      </c>
      <c r="G35" s="13" t="s">
        <v>80</v>
      </c>
      <c r="H35" s="13" t="s">
        <v>80</v>
      </c>
      <c r="I35" s="13" t="s">
        <v>80</v>
      </c>
      <c r="J35" s="13" t="s">
        <v>80</v>
      </c>
      <c r="K35" s="13">
        <v>1411</v>
      </c>
      <c r="L35" s="13">
        <v>1340</v>
      </c>
      <c r="M35" s="13">
        <v>0</v>
      </c>
      <c r="N35" s="13">
        <v>0</v>
      </c>
      <c r="O35" s="13">
        <v>0</v>
      </c>
      <c r="P35" s="13">
        <v>2311</v>
      </c>
      <c r="Q35" s="13">
        <v>2785</v>
      </c>
      <c r="R35" s="13">
        <v>3994</v>
      </c>
      <c r="S35" s="13">
        <v>2949</v>
      </c>
      <c r="T35" s="13">
        <v>4318</v>
      </c>
      <c r="U35" s="13">
        <v>626</v>
      </c>
      <c r="V35" s="13" t="s">
        <v>80</v>
      </c>
      <c r="W35" s="13">
        <v>0</v>
      </c>
      <c r="X35" s="13">
        <v>0</v>
      </c>
      <c r="Y35" s="13">
        <v>0</v>
      </c>
      <c r="Z35" s="13">
        <v>0</v>
      </c>
      <c r="AA35" s="13">
        <v>3437</v>
      </c>
    </row>
    <row r="36" spans="1:27" x14ac:dyDescent="0.25">
      <c r="A36" s="10" t="s">
        <v>694</v>
      </c>
      <c r="B36" s="10" t="s">
        <v>695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 t="s">
        <v>80</v>
      </c>
      <c r="J36" s="13" t="s">
        <v>80</v>
      </c>
      <c r="K36" s="13">
        <v>5880</v>
      </c>
      <c r="L36" s="13">
        <v>8059</v>
      </c>
      <c r="M36" s="13">
        <v>16600</v>
      </c>
      <c r="N36" s="13">
        <v>18440</v>
      </c>
      <c r="O36" s="13">
        <v>15012</v>
      </c>
      <c r="P36" s="13">
        <v>16739</v>
      </c>
      <c r="Q36" s="13">
        <v>19275</v>
      </c>
      <c r="R36" s="13">
        <v>41990</v>
      </c>
      <c r="S36" s="13">
        <v>25824</v>
      </c>
      <c r="T36" s="13">
        <v>28323</v>
      </c>
      <c r="U36" s="13">
        <v>25596</v>
      </c>
      <c r="V36" s="13">
        <v>50330</v>
      </c>
      <c r="W36" s="13">
        <v>28036</v>
      </c>
      <c r="X36" s="13">
        <v>43033</v>
      </c>
      <c r="Y36" s="13">
        <v>38317</v>
      </c>
      <c r="Z36" s="13">
        <v>26128</v>
      </c>
      <c r="AA36" s="13">
        <v>22272</v>
      </c>
    </row>
    <row r="37" spans="1:27" x14ac:dyDescent="0.25">
      <c r="A37" s="10" t="s">
        <v>696</v>
      </c>
      <c r="B37" s="10" t="s">
        <v>697</v>
      </c>
      <c r="C37" s="13">
        <v>0</v>
      </c>
      <c r="D37" s="13" t="s">
        <v>80</v>
      </c>
      <c r="E37" s="13">
        <v>0</v>
      </c>
      <c r="F37" s="13" t="s">
        <v>80</v>
      </c>
      <c r="G37" s="13" t="s">
        <v>80</v>
      </c>
      <c r="H37" s="13" t="s">
        <v>80</v>
      </c>
      <c r="I37" s="13" t="s">
        <v>80</v>
      </c>
      <c r="J37" s="13" t="s">
        <v>80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</row>
    <row r="38" spans="1:27" x14ac:dyDescent="0.25">
      <c r="A38" s="10" t="s">
        <v>698</v>
      </c>
      <c r="B38" s="10" t="s">
        <v>699</v>
      </c>
      <c r="C38" s="13">
        <v>84179</v>
      </c>
      <c r="D38" s="13">
        <v>152696.891</v>
      </c>
      <c r="E38" s="13">
        <v>151823.95499999999</v>
      </c>
      <c r="F38" s="13">
        <v>106225</v>
      </c>
      <c r="G38" s="13">
        <v>115416</v>
      </c>
      <c r="H38" s="13">
        <v>146295</v>
      </c>
      <c r="I38" s="13">
        <v>202530.33</v>
      </c>
      <c r="J38" s="13">
        <v>256626</v>
      </c>
      <c r="K38" s="13">
        <v>7859</v>
      </c>
      <c r="L38" s="13">
        <v>9443</v>
      </c>
      <c r="M38" s="13">
        <v>15650</v>
      </c>
      <c r="N38" s="13">
        <v>9575</v>
      </c>
      <c r="O38" s="13">
        <v>8785</v>
      </c>
      <c r="P38" s="13">
        <v>8308</v>
      </c>
      <c r="Q38" s="13">
        <v>7132</v>
      </c>
      <c r="R38" s="13">
        <v>13114</v>
      </c>
      <c r="S38" s="13">
        <v>20052</v>
      </c>
      <c r="T38" s="13">
        <v>3883</v>
      </c>
      <c r="U38" s="13">
        <v>38699</v>
      </c>
      <c r="V38" s="13">
        <v>38675</v>
      </c>
      <c r="W38" s="13">
        <v>43225</v>
      </c>
      <c r="X38" s="13">
        <v>31746</v>
      </c>
      <c r="Y38" s="13">
        <v>31821</v>
      </c>
      <c r="Z38" s="13">
        <v>39567</v>
      </c>
      <c r="AA38" s="13">
        <v>42714</v>
      </c>
    </row>
    <row r="39" spans="1:27" x14ac:dyDescent="0.25">
      <c r="A39" s="6" t="s">
        <v>65</v>
      </c>
      <c r="B39" s="6" t="s">
        <v>66</v>
      </c>
      <c r="C39" s="19">
        <v>105408</v>
      </c>
      <c r="D39" s="19">
        <v>199520.74400000001</v>
      </c>
      <c r="E39" s="19">
        <v>213186.59299999999</v>
      </c>
      <c r="F39" s="19">
        <v>176220</v>
      </c>
      <c r="G39" s="19">
        <v>190187</v>
      </c>
      <c r="H39" s="19">
        <v>234437</v>
      </c>
      <c r="I39" s="19">
        <v>287928.28399999999</v>
      </c>
      <c r="J39" s="19">
        <v>577025</v>
      </c>
      <c r="K39" s="19">
        <v>567138</v>
      </c>
      <c r="L39" s="19">
        <v>590558</v>
      </c>
      <c r="M39" s="19">
        <v>829277</v>
      </c>
      <c r="N39" s="19">
        <v>916566</v>
      </c>
      <c r="O39" s="19">
        <v>1006788</v>
      </c>
      <c r="P39" s="19">
        <v>1097982</v>
      </c>
      <c r="Q39" s="19">
        <v>1198476</v>
      </c>
      <c r="R39" s="19">
        <v>1268119</v>
      </c>
      <c r="S39" s="19">
        <v>1354147</v>
      </c>
      <c r="T39" s="19">
        <v>1620470</v>
      </c>
      <c r="U39" s="19">
        <v>1580010</v>
      </c>
      <c r="V39" s="19">
        <v>1787904</v>
      </c>
      <c r="W39" s="19">
        <v>1850879</v>
      </c>
      <c r="X39" s="19">
        <v>2070072</v>
      </c>
      <c r="Y39" s="19">
        <v>2274859</v>
      </c>
      <c r="Z39" s="19">
        <v>2471209</v>
      </c>
      <c r="AA39" s="19">
        <v>2598663</v>
      </c>
    </row>
    <row r="40" spans="1:27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6" t="s">
        <v>700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10" t="s">
        <v>701</v>
      </c>
      <c r="B42" s="10" t="s">
        <v>702</v>
      </c>
      <c r="C42" s="13" t="s">
        <v>80</v>
      </c>
      <c r="D42" s="13" t="s">
        <v>80</v>
      </c>
      <c r="E42" s="13" t="s">
        <v>80</v>
      </c>
      <c r="F42" s="13" t="s">
        <v>80</v>
      </c>
      <c r="G42" s="13" t="s">
        <v>80</v>
      </c>
      <c r="H42" s="13" t="s">
        <v>80</v>
      </c>
      <c r="I42" s="13">
        <v>111080.2</v>
      </c>
      <c r="J42" s="13">
        <v>128350</v>
      </c>
      <c r="K42" s="13">
        <v>99201</v>
      </c>
      <c r="L42" s="13">
        <v>113125</v>
      </c>
      <c r="M42" s="13">
        <v>141620</v>
      </c>
      <c r="N42" s="13">
        <v>164454</v>
      </c>
      <c r="O42" s="13">
        <v>193721</v>
      </c>
      <c r="P42" s="13">
        <v>225715</v>
      </c>
      <c r="Q42" s="13">
        <v>347573</v>
      </c>
      <c r="R42" s="13">
        <v>381203</v>
      </c>
      <c r="S42" s="13">
        <v>393308</v>
      </c>
      <c r="T42" s="13">
        <v>410375</v>
      </c>
      <c r="U42" s="13">
        <v>416548</v>
      </c>
      <c r="V42" s="13">
        <v>520283</v>
      </c>
      <c r="W42" s="13">
        <v>528051</v>
      </c>
      <c r="X42" s="13">
        <v>597782</v>
      </c>
      <c r="Y42" s="13">
        <v>678923</v>
      </c>
      <c r="Z42" s="13">
        <v>722181</v>
      </c>
      <c r="AA42" s="13">
        <v>813139</v>
      </c>
    </row>
    <row r="43" spans="1:27" x14ac:dyDescent="0.25">
      <c r="A43" s="10" t="s">
        <v>703</v>
      </c>
      <c r="B43" s="10" t="s">
        <v>704</v>
      </c>
      <c r="C43" s="13" t="s">
        <v>80</v>
      </c>
      <c r="D43" s="13" t="s">
        <v>80</v>
      </c>
      <c r="E43" s="13" t="s">
        <v>80</v>
      </c>
      <c r="F43" s="13" t="s">
        <v>80</v>
      </c>
      <c r="G43" s="13" t="s">
        <v>80</v>
      </c>
      <c r="H43" s="13" t="s">
        <v>80</v>
      </c>
      <c r="I43" s="13">
        <v>92227.009000000005</v>
      </c>
      <c r="J43" s="13">
        <v>132419</v>
      </c>
      <c r="K43" s="13">
        <v>137595</v>
      </c>
      <c r="L43" s="13">
        <v>139282</v>
      </c>
      <c r="M43" s="13">
        <v>174070</v>
      </c>
      <c r="N43" s="13">
        <v>208999</v>
      </c>
      <c r="O43" s="13">
        <v>184120</v>
      </c>
      <c r="P43" s="13">
        <v>193667</v>
      </c>
      <c r="Q43" s="13">
        <v>212549</v>
      </c>
      <c r="R43" s="13">
        <v>191920</v>
      </c>
      <c r="S43" s="13">
        <v>242853</v>
      </c>
      <c r="T43" s="13">
        <v>331938</v>
      </c>
      <c r="U43" s="13">
        <v>278950</v>
      </c>
      <c r="V43" s="13">
        <v>266519</v>
      </c>
      <c r="W43" s="13">
        <v>240151</v>
      </c>
      <c r="X43" s="13">
        <v>279155</v>
      </c>
      <c r="Y43" s="13">
        <v>340196</v>
      </c>
      <c r="Z43" s="13">
        <v>365479</v>
      </c>
      <c r="AA43" s="13">
        <v>389273</v>
      </c>
    </row>
    <row r="44" spans="1:27" x14ac:dyDescent="0.25">
      <c r="A44" s="10" t="s">
        <v>705</v>
      </c>
      <c r="B44" s="10" t="s">
        <v>706</v>
      </c>
      <c r="C44" s="13" t="s">
        <v>80</v>
      </c>
      <c r="D44" s="13" t="s">
        <v>80</v>
      </c>
      <c r="E44" s="13" t="s">
        <v>80</v>
      </c>
      <c r="F44" s="13" t="s">
        <v>80</v>
      </c>
      <c r="G44" s="13" t="s">
        <v>80</v>
      </c>
      <c r="H44" s="13" t="s">
        <v>80</v>
      </c>
      <c r="I44" s="13">
        <v>92227.009000000005</v>
      </c>
      <c r="J44" s="13" t="s">
        <v>80</v>
      </c>
      <c r="K44" s="13">
        <v>268</v>
      </c>
      <c r="L44" s="13">
        <v>262</v>
      </c>
      <c r="M44" s="13">
        <v>346</v>
      </c>
      <c r="N44" s="13">
        <v>411</v>
      </c>
      <c r="O44" s="13">
        <v>3</v>
      </c>
      <c r="P44" s="13">
        <v>3</v>
      </c>
      <c r="Q44" s="13">
        <v>3</v>
      </c>
      <c r="R44" s="13">
        <v>0</v>
      </c>
      <c r="S44" s="13" t="s">
        <v>80</v>
      </c>
      <c r="T44" s="13" t="s">
        <v>80</v>
      </c>
      <c r="U44" s="13" t="s">
        <v>80</v>
      </c>
      <c r="V44" s="13" t="s">
        <v>80</v>
      </c>
      <c r="W44" s="13" t="s">
        <v>80</v>
      </c>
      <c r="X44" s="13" t="s">
        <v>80</v>
      </c>
      <c r="Y44" s="13" t="s">
        <v>80</v>
      </c>
      <c r="Z44" s="13" t="s">
        <v>80</v>
      </c>
      <c r="AA44" s="13" t="s">
        <v>80</v>
      </c>
    </row>
    <row r="45" spans="1:27" x14ac:dyDescent="0.25">
      <c r="A45" s="10" t="s">
        <v>707</v>
      </c>
      <c r="B45" s="10" t="s">
        <v>708</v>
      </c>
      <c r="C45" s="13" t="s">
        <v>80</v>
      </c>
      <c r="D45" s="13" t="s">
        <v>80</v>
      </c>
      <c r="E45" s="13" t="s">
        <v>80</v>
      </c>
      <c r="F45" s="13" t="s">
        <v>80</v>
      </c>
      <c r="G45" s="13" t="s">
        <v>80</v>
      </c>
      <c r="H45" s="13" t="s">
        <v>80</v>
      </c>
      <c r="I45" s="13" t="s">
        <v>80</v>
      </c>
      <c r="J45" s="13">
        <v>132419</v>
      </c>
      <c r="K45" s="13">
        <v>137327</v>
      </c>
      <c r="L45" s="13">
        <v>139020</v>
      </c>
      <c r="M45" s="13">
        <v>173724</v>
      </c>
      <c r="N45" s="13">
        <v>208588</v>
      </c>
      <c r="O45" s="13">
        <v>184117</v>
      </c>
      <c r="P45" s="13">
        <v>193664</v>
      </c>
      <c r="Q45" s="13">
        <v>212546</v>
      </c>
      <c r="R45" s="13">
        <v>191920</v>
      </c>
      <c r="S45" s="13">
        <v>242853</v>
      </c>
      <c r="T45" s="13">
        <v>331938</v>
      </c>
      <c r="U45" s="13">
        <v>278950</v>
      </c>
      <c r="V45" s="13">
        <v>266519</v>
      </c>
      <c r="W45" s="13">
        <v>240151</v>
      </c>
      <c r="X45" s="13">
        <v>279155</v>
      </c>
      <c r="Y45" s="13">
        <v>340196</v>
      </c>
      <c r="Z45" s="13">
        <v>365479</v>
      </c>
      <c r="AA45" s="13">
        <v>389273</v>
      </c>
    </row>
    <row r="46" spans="1:27" x14ac:dyDescent="0.25">
      <c r="A46" s="10" t="s">
        <v>709</v>
      </c>
      <c r="B46" s="10" t="s">
        <v>710</v>
      </c>
      <c r="C46" s="13" t="s">
        <v>80</v>
      </c>
      <c r="D46" s="13" t="s">
        <v>80</v>
      </c>
      <c r="E46" s="13" t="s">
        <v>80</v>
      </c>
      <c r="F46" s="13" t="s">
        <v>80</v>
      </c>
      <c r="G46" s="13" t="s">
        <v>80</v>
      </c>
      <c r="H46" s="13" t="s">
        <v>80</v>
      </c>
      <c r="I46" s="13">
        <v>0</v>
      </c>
      <c r="J46" s="13">
        <v>0</v>
      </c>
      <c r="K46" s="13">
        <v>38112</v>
      </c>
      <c r="L46" s="13">
        <v>40208</v>
      </c>
      <c r="M46" s="13">
        <v>54600</v>
      </c>
      <c r="N46" s="13">
        <v>50872</v>
      </c>
      <c r="O46" s="13">
        <v>65900</v>
      </c>
      <c r="P46" s="13">
        <v>78540</v>
      </c>
      <c r="Q46" s="13">
        <v>1340</v>
      </c>
      <c r="R46" s="13">
        <v>1437</v>
      </c>
      <c r="S46" s="13">
        <v>4660</v>
      </c>
      <c r="T46" s="13">
        <v>13989</v>
      </c>
      <c r="U46" s="13">
        <v>28992</v>
      </c>
      <c r="V46" s="13">
        <v>34910</v>
      </c>
      <c r="W46" s="13">
        <v>30823</v>
      </c>
      <c r="X46" s="13">
        <v>20255</v>
      </c>
      <c r="Y46" s="13">
        <v>37299</v>
      </c>
      <c r="Z46" s="13">
        <v>45840</v>
      </c>
      <c r="AA46" s="13">
        <v>39595</v>
      </c>
    </row>
    <row r="47" spans="1:27" x14ac:dyDescent="0.25">
      <c r="A47" s="10" t="s">
        <v>711</v>
      </c>
      <c r="B47" s="10" t="s">
        <v>62</v>
      </c>
      <c r="C47" s="13">
        <v>75555</v>
      </c>
      <c r="D47" s="13">
        <v>143281.465</v>
      </c>
      <c r="E47" s="13">
        <v>162444.45699999999</v>
      </c>
      <c r="F47" s="13">
        <v>128398</v>
      </c>
      <c r="G47" s="13">
        <v>137438</v>
      </c>
      <c r="H47" s="13">
        <v>169538</v>
      </c>
      <c r="I47" s="13">
        <v>203307.209</v>
      </c>
      <c r="J47" s="13">
        <v>260769</v>
      </c>
      <c r="K47" s="13">
        <v>274908</v>
      </c>
      <c r="L47" s="13">
        <v>292615</v>
      </c>
      <c r="M47" s="13">
        <v>370290</v>
      </c>
      <c r="N47" s="13">
        <v>424325</v>
      </c>
      <c r="O47" s="13">
        <v>443741</v>
      </c>
      <c r="P47" s="13">
        <v>497922</v>
      </c>
      <c r="Q47" s="13">
        <v>561462</v>
      </c>
      <c r="R47" s="13">
        <v>574560</v>
      </c>
      <c r="S47" s="13">
        <v>640821</v>
      </c>
      <c r="T47" s="13">
        <v>756302</v>
      </c>
      <c r="U47" s="13">
        <v>724490</v>
      </c>
      <c r="V47" s="13">
        <v>821712</v>
      </c>
      <c r="W47" s="13">
        <v>799025</v>
      </c>
      <c r="X47" s="13">
        <v>897192</v>
      </c>
      <c r="Y47" s="13">
        <v>1056418</v>
      </c>
      <c r="Z47" s="13">
        <v>1133500</v>
      </c>
      <c r="AA47" s="13">
        <v>1242007</v>
      </c>
    </row>
    <row r="48" spans="1:27" x14ac:dyDescent="0.25">
      <c r="A48" s="10" t="s">
        <v>712</v>
      </c>
      <c r="B48" s="10" t="s">
        <v>713</v>
      </c>
      <c r="C48" s="13">
        <v>7564</v>
      </c>
      <c r="D48" s="13">
        <v>26951.863000000001</v>
      </c>
      <c r="E48" s="13">
        <v>18420.322</v>
      </c>
      <c r="F48" s="13">
        <v>23119</v>
      </c>
      <c r="G48" s="13">
        <v>8882</v>
      </c>
      <c r="H48" s="13">
        <v>6891</v>
      </c>
      <c r="I48" s="13">
        <v>22723.303</v>
      </c>
      <c r="J48" s="13">
        <v>218775</v>
      </c>
      <c r="K48" s="13">
        <v>198888</v>
      </c>
      <c r="L48" s="13">
        <v>196709</v>
      </c>
      <c r="M48" s="13">
        <v>272905</v>
      </c>
      <c r="N48" s="13">
        <v>271990</v>
      </c>
      <c r="O48" s="13">
        <v>326409</v>
      </c>
      <c r="P48" s="13">
        <v>327838</v>
      </c>
      <c r="Q48" s="13">
        <v>331638</v>
      </c>
      <c r="R48" s="13">
        <v>329951</v>
      </c>
      <c r="S48" s="13">
        <v>319881</v>
      </c>
      <c r="T48" s="13">
        <v>395183</v>
      </c>
      <c r="U48" s="13">
        <v>368851</v>
      </c>
      <c r="V48" s="13">
        <v>339691</v>
      </c>
      <c r="W48" s="13">
        <v>368581</v>
      </c>
      <c r="X48" s="13">
        <v>464208</v>
      </c>
      <c r="Y48" s="13">
        <v>494888</v>
      </c>
      <c r="Z48" s="13">
        <v>534342</v>
      </c>
      <c r="AA48" s="13">
        <v>546017</v>
      </c>
    </row>
    <row r="49" spans="1:27" x14ac:dyDescent="0.25">
      <c r="A49" s="10" t="s">
        <v>714</v>
      </c>
      <c r="B49" s="10" t="s">
        <v>715</v>
      </c>
      <c r="C49" s="13">
        <v>0</v>
      </c>
      <c r="D49" s="13">
        <v>32.072000000000003</v>
      </c>
      <c r="E49" s="13">
        <v>214.76900000000001</v>
      </c>
      <c r="F49" s="13" t="s">
        <v>80</v>
      </c>
      <c r="G49" s="13" t="s">
        <v>80</v>
      </c>
      <c r="H49" s="13" t="s">
        <v>80</v>
      </c>
      <c r="I49" s="13" t="s">
        <v>80</v>
      </c>
      <c r="J49" s="13">
        <v>192727</v>
      </c>
      <c r="K49" s="13">
        <v>185482</v>
      </c>
      <c r="L49" s="13">
        <v>178758</v>
      </c>
      <c r="M49" s="13">
        <v>243787</v>
      </c>
      <c r="N49" s="13">
        <v>244067</v>
      </c>
      <c r="O49" s="13">
        <v>304029</v>
      </c>
      <c r="P49" s="13">
        <v>306756</v>
      </c>
      <c r="Q49" s="13">
        <v>315156</v>
      </c>
      <c r="R49" s="13">
        <v>308777</v>
      </c>
      <c r="S49" s="13">
        <v>301668</v>
      </c>
      <c r="T49" s="13">
        <v>369459</v>
      </c>
      <c r="U49" s="13">
        <v>346065</v>
      </c>
      <c r="V49" s="13">
        <v>317192</v>
      </c>
      <c r="W49" s="13">
        <v>342710</v>
      </c>
      <c r="X49" s="13">
        <v>441801</v>
      </c>
      <c r="Y49" s="13">
        <v>469157</v>
      </c>
      <c r="Z49" s="13">
        <v>512146</v>
      </c>
      <c r="AA49" s="13">
        <v>518918</v>
      </c>
    </row>
    <row r="50" spans="1:27" x14ac:dyDescent="0.25">
      <c r="A50" s="10" t="s">
        <v>716</v>
      </c>
      <c r="B50" s="10" t="s">
        <v>717</v>
      </c>
      <c r="C50" s="13" t="s">
        <v>80</v>
      </c>
      <c r="D50" s="13" t="s">
        <v>80</v>
      </c>
      <c r="E50" s="13" t="s">
        <v>80</v>
      </c>
      <c r="F50" s="13" t="s">
        <v>80</v>
      </c>
      <c r="G50" s="13" t="s">
        <v>80</v>
      </c>
      <c r="H50" s="13" t="s">
        <v>80</v>
      </c>
      <c r="I50" s="13" t="s">
        <v>80</v>
      </c>
      <c r="J50" s="13" t="s">
        <v>80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 t="s">
        <v>80</v>
      </c>
      <c r="U50" s="13" t="s">
        <v>80</v>
      </c>
      <c r="V50" s="13" t="s">
        <v>80</v>
      </c>
      <c r="W50" s="13" t="s">
        <v>80</v>
      </c>
      <c r="X50" s="13" t="s">
        <v>80</v>
      </c>
      <c r="Y50" s="13" t="s">
        <v>80</v>
      </c>
      <c r="Z50" s="13" t="s">
        <v>80</v>
      </c>
      <c r="AA50" s="13" t="s">
        <v>80</v>
      </c>
    </row>
    <row r="51" spans="1:27" x14ac:dyDescent="0.25">
      <c r="A51" s="11" t="s">
        <v>718</v>
      </c>
      <c r="B51" s="11" t="s">
        <v>719</v>
      </c>
      <c r="C51" s="25" t="s">
        <v>80</v>
      </c>
      <c r="D51" s="25" t="s">
        <v>80</v>
      </c>
      <c r="E51" s="25" t="s">
        <v>80</v>
      </c>
      <c r="F51" s="25" t="s">
        <v>80</v>
      </c>
      <c r="G51" s="25" t="s">
        <v>80</v>
      </c>
      <c r="H51" s="25" t="s">
        <v>80</v>
      </c>
      <c r="I51" s="25" t="s">
        <v>80</v>
      </c>
      <c r="J51" s="25" t="s">
        <v>80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 t="s">
        <v>80</v>
      </c>
      <c r="U51" s="25" t="s">
        <v>80</v>
      </c>
      <c r="V51" s="25" t="s">
        <v>80</v>
      </c>
      <c r="W51" s="25" t="s">
        <v>80</v>
      </c>
      <c r="X51" s="25" t="s">
        <v>80</v>
      </c>
      <c r="Y51" s="25" t="s">
        <v>80</v>
      </c>
      <c r="Z51" s="25" t="s">
        <v>80</v>
      </c>
      <c r="AA51" s="25" t="s">
        <v>80</v>
      </c>
    </row>
    <row r="52" spans="1:27" x14ac:dyDescent="0.25">
      <c r="A52" s="10" t="s">
        <v>720</v>
      </c>
      <c r="B52" s="10" t="s">
        <v>721</v>
      </c>
      <c r="C52" s="13" t="s">
        <v>80</v>
      </c>
      <c r="D52" s="13" t="s">
        <v>80</v>
      </c>
      <c r="E52" s="13" t="s">
        <v>80</v>
      </c>
      <c r="F52" s="13" t="s">
        <v>80</v>
      </c>
      <c r="G52" s="13" t="s">
        <v>80</v>
      </c>
      <c r="H52" s="13" t="s">
        <v>80</v>
      </c>
      <c r="I52" s="13" t="s">
        <v>80</v>
      </c>
      <c r="J52" s="13" t="s">
        <v>80</v>
      </c>
      <c r="K52" s="13">
        <v>13406</v>
      </c>
      <c r="L52" s="13">
        <v>17951</v>
      </c>
      <c r="M52" s="13">
        <v>29118</v>
      </c>
      <c r="N52" s="13">
        <v>27923</v>
      </c>
      <c r="O52" s="13">
        <v>22380</v>
      </c>
      <c r="P52" s="13">
        <v>21082</v>
      </c>
      <c r="Q52" s="13">
        <v>16482</v>
      </c>
      <c r="R52" s="13">
        <v>21174</v>
      </c>
      <c r="S52" s="13">
        <v>18213</v>
      </c>
      <c r="T52" s="13">
        <v>25724</v>
      </c>
      <c r="U52" s="13">
        <v>22786</v>
      </c>
      <c r="V52" s="13">
        <v>22499</v>
      </c>
      <c r="W52" s="13">
        <v>25871</v>
      </c>
      <c r="X52" s="13">
        <v>22407</v>
      </c>
      <c r="Y52" s="13">
        <v>25731</v>
      </c>
      <c r="Z52" s="13">
        <v>22196</v>
      </c>
      <c r="AA52" s="13">
        <v>27099</v>
      </c>
    </row>
    <row r="53" spans="1:27" x14ac:dyDescent="0.25">
      <c r="A53" s="10" t="s">
        <v>722</v>
      </c>
      <c r="B53" s="10" t="s">
        <v>723</v>
      </c>
      <c r="C53" s="13">
        <v>10046</v>
      </c>
      <c r="D53" s="13">
        <v>13227.569</v>
      </c>
      <c r="E53" s="13">
        <v>13842.102999999999</v>
      </c>
      <c r="F53" s="13">
        <v>4610</v>
      </c>
      <c r="G53" s="13">
        <v>16022</v>
      </c>
      <c r="H53" s="13">
        <v>21325</v>
      </c>
      <c r="I53" s="13">
        <v>11037.096</v>
      </c>
      <c r="J53" s="13">
        <v>31248</v>
      </c>
      <c r="K53" s="13">
        <v>25730</v>
      </c>
      <c r="L53" s="13">
        <v>26299</v>
      </c>
      <c r="M53" s="13">
        <v>22873</v>
      </c>
      <c r="N53" s="13">
        <v>27437</v>
      </c>
      <c r="O53" s="13">
        <v>25680</v>
      </c>
      <c r="P53" s="13">
        <v>25470</v>
      </c>
      <c r="Q53" s="13">
        <v>31936</v>
      </c>
      <c r="R53" s="13">
        <v>39379</v>
      </c>
      <c r="S53" s="13">
        <v>48175</v>
      </c>
      <c r="T53" s="13">
        <v>66595</v>
      </c>
      <c r="U53" s="13">
        <v>62325</v>
      </c>
      <c r="V53" s="13">
        <v>70682</v>
      </c>
      <c r="W53" s="13">
        <v>94190</v>
      </c>
      <c r="X53" s="13">
        <v>87550</v>
      </c>
      <c r="Y53" s="13">
        <v>66779</v>
      </c>
      <c r="Z53" s="13">
        <v>104370</v>
      </c>
      <c r="AA53" s="13">
        <v>89931</v>
      </c>
    </row>
    <row r="54" spans="1:27" x14ac:dyDescent="0.25">
      <c r="A54" s="10" t="s">
        <v>724</v>
      </c>
      <c r="B54" s="10" t="s">
        <v>725</v>
      </c>
      <c r="C54" s="13" t="s">
        <v>80</v>
      </c>
      <c r="D54" s="13" t="s">
        <v>80</v>
      </c>
      <c r="E54" s="13" t="s">
        <v>80</v>
      </c>
      <c r="F54" s="13" t="s">
        <v>80</v>
      </c>
      <c r="G54" s="13" t="s">
        <v>80</v>
      </c>
      <c r="H54" s="13" t="s">
        <v>80</v>
      </c>
      <c r="I54" s="13" t="s">
        <v>80</v>
      </c>
      <c r="J54" s="13" t="s">
        <v>80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 t="s">
        <v>80</v>
      </c>
      <c r="U54" s="13" t="s">
        <v>80</v>
      </c>
      <c r="V54" s="13" t="s">
        <v>80</v>
      </c>
      <c r="W54" s="13" t="s">
        <v>80</v>
      </c>
      <c r="X54" s="13">
        <v>6771</v>
      </c>
      <c r="Y54" s="13">
        <v>3947</v>
      </c>
      <c r="Z54" s="13">
        <v>4577</v>
      </c>
      <c r="AA54" s="13">
        <v>4717</v>
      </c>
    </row>
    <row r="55" spans="1:27" x14ac:dyDescent="0.25">
      <c r="A55" s="11" t="s">
        <v>726</v>
      </c>
      <c r="B55" s="11" t="s">
        <v>727</v>
      </c>
      <c r="C55" s="25" t="s">
        <v>80</v>
      </c>
      <c r="D55" s="25" t="s">
        <v>80</v>
      </c>
      <c r="E55" s="25" t="s">
        <v>80</v>
      </c>
      <c r="F55" s="25" t="s">
        <v>80</v>
      </c>
      <c r="G55" s="25" t="s">
        <v>80</v>
      </c>
      <c r="H55" s="25" t="s">
        <v>80</v>
      </c>
      <c r="I55" s="25" t="s">
        <v>80</v>
      </c>
      <c r="J55" s="25" t="s">
        <v>80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 t="s">
        <v>80</v>
      </c>
      <c r="U55" s="25" t="s">
        <v>80</v>
      </c>
      <c r="V55" s="25" t="s">
        <v>80</v>
      </c>
      <c r="W55" s="25" t="s">
        <v>80</v>
      </c>
      <c r="X55" s="25" t="s">
        <v>80</v>
      </c>
      <c r="Y55" s="25" t="s">
        <v>80</v>
      </c>
      <c r="Z55" s="25" t="s">
        <v>80</v>
      </c>
      <c r="AA55" s="25" t="s">
        <v>80</v>
      </c>
    </row>
    <row r="56" spans="1:27" x14ac:dyDescent="0.25">
      <c r="A56" s="10" t="s">
        <v>728</v>
      </c>
      <c r="B56" s="10" t="s">
        <v>729</v>
      </c>
      <c r="C56" s="13" t="s">
        <v>80</v>
      </c>
      <c r="D56" s="13" t="s">
        <v>80</v>
      </c>
      <c r="E56" s="13" t="s">
        <v>80</v>
      </c>
      <c r="F56" s="13" t="s">
        <v>80</v>
      </c>
      <c r="G56" s="13" t="s">
        <v>80</v>
      </c>
      <c r="H56" s="13" t="s">
        <v>80</v>
      </c>
      <c r="I56" s="13" t="s">
        <v>80</v>
      </c>
      <c r="J56" s="13" t="s">
        <v>80</v>
      </c>
      <c r="K56" s="13">
        <v>25730</v>
      </c>
      <c r="L56" s="13">
        <v>26299</v>
      </c>
      <c r="M56" s="13">
        <v>22873</v>
      </c>
      <c r="N56" s="13">
        <v>27437</v>
      </c>
      <c r="O56" s="13">
        <v>25680</v>
      </c>
      <c r="P56" s="13">
        <v>25470</v>
      </c>
      <c r="Q56" s="13">
        <v>31936</v>
      </c>
      <c r="R56" s="13">
        <v>39379</v>
      </c>
      <c r="S56" s="13">
        <v>48175</v>
      </c>
      <c r="T56" s="13">
        <v>66595</v>
      </c>
      <c r="U56" s="13">
        <v>62325</v>
      </c>
      <c r="V56" s="13">
        <v>70682</v>
      </c>
      <c r="W56" s="13">
        <v>94190</v>
      </c>
      <c r="X56" s="13">
        <v>80779</v>
      </c>
      <c r="Y56" s="13">
        <v>62832</v>
      </c>
      <c r="Z56" s="13">
        <v>99793</v>
      </c>
      <c r="AA56" s="13">
        <v>85214</v>
      </c>
    </row>
    <row r="57" spans="1:27" x14ac:dyDescent="0.25">
      <c r="A57" s="10" t="s">
        <v>730</v>
      </c>
      <c r="B57" s="10" t="s">
        <v>731</v>
      </c>
      <c r="C57" s="13" t="s">
        <v>80</v>
      </c>
      <c r="D57" s="13" t="s">
        <v>80</v>
      </c>
      <c r="E57" s="13" t="s">
        <v>80</v>
      </c>
      <c r="F57" s="13" t="s">
        <v>80</v>
      </c>
      <c r="G57" s="13" t="s">
        <v>80</v>
      </c>
      <c r="H57" s="13" t="s">
        <v>80</v>
      </c>
      <c r="I57" s="13" t="s">
        <v>80</v>
      </c>
      <c r="J57" s="13">
        <v>0</v>
      </c>
      <c r="K57" s="13">
        <v>2773</v>
      </c>
      <c r="L57" s="13">
        <v>3333</v>
      </c>
      <c r="M57" s="13">
        <v>3692</v>
      </c>
      <c r="N57" s="13">
        <v>717</v>
      </c>
      <c r="O57" s="13">
        <v>239</v>
      </c>
      <c r="P57" s="13">
        <v>519</v>
      </c>
      <c r="Q57" s="13">
        <v>461</v>
      </c>
      <c r="R57" s="13">
        <v>500</v>
      </c>
      <c r="S57" s="13">
        <v>612</v>
      </c>
      <c r="T57" s="13">
        <v>725</v>
      </c>
      <c r="U57" s="13">
        <v>4606</v>
      </c>
      <c r="V57" s="13">
        <v>3202</v>
      </c>
      <c r="W57" s="13">
        <v>3363</v>
      </c>
      <c r="X57" s="13">
        <v>9550</v>
      </c>
      <c r="Y57" s="13">
        <v>11399</v>
      </c>
      <c r="Z57" s="13">
        <v>12646</v>
      </c>
      <c r="AA57" s="13">
        <v>13885</v>
      </c>
    </row>
    <row r="58" spans="1:27" x14ac:dyDescent="0.25">
      <c r="A58" s="10" t="s">
        <v>732</v>
      </c>
      <c r="B58" s="10" t="s">
        <v>733</v>
      </c>
      <c r="C58" s="13" t="s">
        <v>80</v>
      </c>
      <c r="D58" s="13" t="s">
        <v>80</v>
      </c>
      <c r="E58" s="13" t="s">
        <v>80</v>
      </c>
      <c r="F58" s="13" t="s">
        <v>80</v>
      </c>
      <c r="G58" s="13" t="s">
        <v>80</v>
      </c>
      <c r="H58" s="13" t="s">
        <v>80</v>
      </c>
      <c r="I58" s="13" t="s">
        <v>80</v>
      </c>
      <c r="J58" s="13" t="s">
        <v>80</v>
      </c>
      <c r="K58" s="13">
        <v>0</v>
      </c>
      <c r="L58" s="13">
        <v>0</v>
      </c>
      <c r="M58" s="13">
        <v>39</v>
      </c>
      <c r="N58" s="13">
        <v>978</v>
      </c>
      <c r="O58" s="13">
        <v>200</v>
      </c>
      <c r="P58" s="13">
        <v>0</v>
      </c>
      <c r="Q58" s="13">
        <v>0</v>
      </c>
      <c r="R58" s="13" t="s">
        <v>80</v>
      </c>
      <c r="S58" s="13" t="s">
        <v>80</v>
      </c>
      <c r="T58" s="13" t="s">
        <v>80</v>
      </c>
      <c r="U58" s="13" t="s">
        <v>80</v>
      </c>
      <c r="V58" s="13">
        <v>1618</v>
      </c>
      <c r="W58" s="13">
        <v>3346</v>
      </c>
      <c r="X58" s="13" t="s">
        <v>80</v>
      </c>
      <c r="Y58" s="13" t="s">
        <v>80</v>
      </c>
      <c r="Z58" s="13" t="s">
        <v>80</v>
      </c>
      <c r="AA58" s="13" t="s">
        <v>80</v>
      </c>
    </row>
    <row r="59" spans="1:27" x14ac:dyDescent="0.25">
      <c r="A59" s="10" t="s">
        <v>734</v>
      </c>
      <c r="B59" s="10" t="s">
        <v>735</v>
      </c>
      <c r="C59" s="13" t="s">
        <v>80</v>
      </c>
      <c r="D59" s="13" t="s">
        <v>80</v>
      </c>
      <c r="E59" s="13" t="s">
        <v>80</v>
      </c>
      <c r="F59" s="13" t="s">
        <v>80</v>
      </c>
      <c r="G59" s="13" t="s">
        <v>80</v>
      </c>
      <c r="H59" s="13" t="s">
        <v>80</v>
      </c>
      <c r="I59" s="13" t="s">
        <v>80</v>
      </c>
      <c r="J59" s="13" t="s">
        <v>80</v>
      </c>
      <c r="K59" s="13">
        <v>8375</v>
      </c>
      <c r="L59" s="13">
        <v>10737</v>
      </c>
      <c r="M59" s="13">
        <v>21223</v>
      </c>
      <c r="N59" s="13">
        <v>22238</v>
      </c>
      <c r="O59" s="13">
        <v>18327</v>
      </c>
      <c r="P59" s="13">
        <v>21291</v>
      </c>
      <c r="Q59" s="13">
        <v>24944</v>
      </c>
      <c r="R59" s="13">
        <v>49775</v>
      </c>
      <c r="S59" s="13">
        <v>37009</v>
      </c>
      <c r="T59" s="13">
        <v>34568</v>
      </c>
      <c r="U59" s="13">
        <v>24973</v>
      </c>
      <c r="V59" s="13">
        <v>49087</v>
      </c>
      <c r="W59" s="13">
        <v>29013</v>
      </c>
      <c r="X59" s="13">
        <v>29120</v>
      </c>
      <c r="Y59" s="13">
        <v>21534</v>
      </c>
      <c r="Z59" s="13">
        <v>22130</v>
      </c>
      <c r="AA59" s="13">
        <v>8283</v>
      </c>
    </row>
    <row r="60" spans="1:27" x14ac:dyDescent="0.25">
      <c r="A60" s="10" t="s">
        <v>736</v>
      </c>
      <c r="B60" s="10" t="s">
        <v>737</v>
      </c>
      <c r="C60" s="13">
        <v>2384</v>
      </c>
      <c r="D60" s="13">
        <v>4068.982</v>
      </c>
      <c r="E60" s="13">
        <v>4119.0929999999998</v>
      </c>
      <c r="F60" s="13">
        <v>3724</v>
      </c>
      <c r="G60" s="13">
        <v>6371</v>
      </c>
      <c r="H60" s="13">
        <v>9178</v>
      </c>
      <c r="I60" s="13">
        <v>16059.279</v>
      </c>
      <c r="J60" s="13">
        <v>26487</v>
      </c>
      <c r="K60" s="13">
        <v>11490</v>
      </c>
      <c r="L60" s="13">
        <v>10638</v>
      </c>
      <c r="M60" s="13">
        <v>61173</v>
      </c>
      <c r="N60" s="13">
        <v>80372</v>
      </c>
      <c r="O60" s="13">
        <v>83501</v>
      </c>
      <c r="P60" s="13">
        <v>100270</v>
      </c>
      <c r="Q60" s="13">
        <v>110683</v>
      </c>
      <c r="R60" s="13">
        <v>131253</v>
      </c>
      <c r="S60" s="13">
        <v>160065</v>
      </c>
      <c r="T60" s="13">
        <v>192633</v>
      </c>
      <c r="U60" s="13">
        <v>198767</v>
      </c>
      <c r="V60" s="13">
        <v>276808</v>
      </c>
      <c r="W60" s="13">
        <v>316121</v>
      </c>
      <c r="X60" s="13">
        <v>343420</v>
      </c>
      <c r="Y60" s="13">
        <v>374636</v>
      </c>
      <c r="Z60" s="13">
        <v>415793</v>
      </c>
      <c r="AA60" s="13">
        <v>446327</v>
      </c>
    </row>
    <row r="61" spans="1:27" x14ac:dyDescent="0.25">
      <c r="A61" s="6" t="s">
        <v>120</v>
      </c>
      <c r="B61" s="6" t="s">
        <v>121</v>
      </c>
      <c r="C61" s="19">
        <v>95549</v>
      </c>
      <c r="D61" s="19">
        <v>187529.87899999999</v>
      </c>
      <c r="E61" s="19">
        <v>198825.97500000001</v>
      </c>
      <c r="F61" s="19">
        <v>159851</v>
      </c>
      <c r="G61" s="19">
        <v>168713</v>
      </c>
      <c r="H61" s="19">
        <v>206932</v>
      </c>
      <c r="I61" s="19">
        <v>253126.88699999999</v>
      </c>
      <c r="J61" s="19">
        <v>537279</v>
      </c>
      <c r="K61" s="19">
        <v>522164</v>
      </c>
      <c r="L61" s="19">
        <v>540331</v>
      </c>
      <c r="M61" s="19">
        <v>752195</v>
      </c>
      <c r="N61" s="19">
        <v>828057</v>
      </c>
      <c r="O61" s="19">
        <v>898097</v>
      </c>
      <c r="P61" s="19">
        <v>973310</v>
      </c>
      <c r="Q61" s="19">
        <v>1061124</v>
      </c>
      <c r="R61" s="19">
        <v>1125418</v>
      </c>
      <c r="S61" s="19">
        <v>1206563</v>
      </c>
      <c r="T61" s="19">
        <v>1446006</v>
      </c>
      <c r="U61" s="19">
        <v>1384012</v>
      </c>
      <c r="V61" s="19">
        <v>1562800</v>
      </c>
      <c r="W61" s="19">
        <v>1613639</v>
      </c>
      <c r="X61" s="19">
        <v>1831040</v>
      </c>
      <c r="Y61" s="19">
        <v>2025654</v>
      </c>
      <c r="Z61" s="19">
        <v>2222781</v>
      </c>
      <c r="AA61" s="19">
        <v>2346450</v>
      </c>
    </row>
    <row r="62" spans="1:27" x14ac:dyDescent="0.25">
      <c r="A62" s="10" t="s">
        <v>738</v>
      </c>
      <c r="B62" s="10" t="s">
        <v>174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</row>
    <row r="63" spans="1:27" x14ac:dyDescent="0.25">
      <c r="A63" s="10" t="s">
        <v>739</v>
      </c>
      <c r="B63" s="10" t="s">
        <v>740</v>
      </c>
      <c r="C63" s="13">
        <v>6249</v>
      </c>
      <c r="D63" s="13">
        <v>6609.1450000000004</v>
      </c>
      <c r="E63" s="13">
        <v>6914.1239999999998</v>
      </c>
      <c r="F63" s="13">
        <v>7291</v>
      </c>
      <c r="G63" s="13">
        <v>12836</v>
      </c>
      <c r="H63" s="13">
        <v>13374</v>
      </c>
      <c r="I63" s="13">
        <v>13882.3</v>
      </c>
      <c r="J63" s="13">
        <v>13409</v>
      </c>
      <c r="K63" s="13">
        <v>13481</v>
      </c>
      <c r="L63" s="13">
        <v>13644</v>
      </c>
      <c r="M63" s="13">
        <v>31056</v>
      </c>
      <c r="N63" s="13">
        <v>31392</v>
      </c>
      <c r="O63" s="13">
        <v>49871</v>
      </c>
      <c r="P63" s="13">
        <v>50833</v>
      </c>
      <c r="Q63" s="13">
        <v>51030</v>
      </c>
      <c r="R63" s="13">
        <v>51001</v>
      </c>
      <c r="S63" s="13">
        <v>50183</v>
      </c>
      <c r="T63" s="13">
        <v>62866</v>
      </c>
      <c r="U63" s="13">
        <v>62971</v>
      </c>
      <c r="V63" s="13">
        <v>63188</v>
      </c>
      <c r="W63" s="13">
        <v>63249</v>
      </c>
      <c r="X63" s="13">
        <v>63395</v>
      </c>
      <c r="Y63" s="13">
        <v>62636</v>
      </c>
      <c r="Z63" s="13">
        <v>62872</v>
      </c>
      <c r="AA63" s="13">
        <v>56814</v>
      </c>
    </row>
    <row r="64" spans="1:27" x14ac:dyDescent="0.25">
      <c r="A64" s="10" t="s">
        <v>741</v>
      </c>
      <c r="B64" s="10" t="s">
        <v>742</v>
      </c>
      <c r="C64" s="13" t="s">
        <v>80</v>
      </c>
      <c r="D64" s="13" t="s">
        <v>80</v>
      </c>
      <c r="E64" s="13" t="s">
        <v>80</v>
      </c>
      <c r="F64" s="13" t="s">
        <v>80</v>
      </c>
      <c r="G64" s="13" t="s">
        <v>80</v>
      </c>
      <c r="H64" s="13" t="s">
        <v>80</v>
      </c>
      <c r="I64" s="13" t="s">
        <v>80</v>
      </c>
      <c r="J64" s="13" t="s">
        <v>80</v>
      </c>
      <c r="K64" s="13">
        <v>11956</v>
      </c>
      <c r="L64" s="13">
        <v>11971</v>
      </c>
      <c r="M64" s="13">
        <v>13050</v>
      </c>
      <c r="N64" s="13">
        <v>13072</v>
      </c>
      <c r="O64" s="13">
        <v>14652</v>
      </c>
      <c r="P64" s="13">
        <v>14632</v>
      </c>
      <c r="Q64" s="13">
        <v>14606</v>
      </c>
      <c r="R64" s="13">
        <v>14574</v>
      </c>
      <c r="S64" s="13">
        <v>14591</v>
      </c>
      <c r="T64" s="13">
        <v>14962</v>
      </c>
      <c r="U64" s="13">
        <v>14992</v>
      </c>
      <c r="V64" s="13">
        <v>14919</v>
      </c>
      <c r="W64" s="13">
        <v>14957</v>
      </c>
      <c r="X64" s="13">
        <v>14955</v>
      </c>
      <c r="Y64" s="13">
        <v>14988</v>
      </c>
      <c r="Z64" s="13">
        <v>14711</v>
      </c>
      <c r="AA64" s="13">
        <v>14674</v>
      </c>
    </row>
    <row r="65" spans="1:27" x14ac:dyDescent="0.25">
      <c r="A65" s="10" t="s">
        <v>743</v>
      </c>
      <c r="B65" s="10" t="s">
        <v>744</v>
      </c>
      <c r="C65" s="13" t="s">
        <v>80</v>
      </c>
      <c r="D65" s="13" t="s">
        <v>80</v>
      </c>
      <c r="E65" s="13" t="s">
        <v>80</v>
      </c>
      <c r="F65" s="13" t="s">
        <v>80</v>
      </c>
      <c r="G65" s="13" t="s">
        <v>80</v>
      </c>
      <c r="H65" s="13" t="s">
        <v>80</v>
      </c>
      <c r="I65" s="13" t="s">
        <v>80</v>
      </c>
      <c r="J65" s="13" t="s">
        <v>80</v>
      </c>
      <c r="K65" s="13">
        <v>1525</v>
      </c>
      <c r="L65" s="13">
        <v>1673</v>
      </c>
      <c r="M65" s="13">
        <v>18006</v>
      </c>
      <c r="N65" s="13">
        <v>18320</v>
      </c>
      <c r="O65" s="13">
        <v>35219</v>
      </c>
      <c r="P65" s="13">
        <v>36201</v>
      </c>
      <c r="Q65" s="13">
        <v>36424</v>
      </c>
      <c r="R65" s="13">
        <v>36427</v>
      </c>
      <c r="S65" s="13">
        <v>35592</v>
      </c>
      <c r="T65" s="13">
        <v>47904</v>
      </c>
      <c r="U65" s="13">
        <v>47979</v>
      </c>
      <c r="V65" s="13">
        <v>48269</v>
      </c>
      <c r="W65" s="13">
        <v>48292</v>
      </c>
      <c r="X65" s="13">
        <v>48440</v>
      </c>
      <c r="Y65" s="13">
        <v>47648</v>
      </c>
      <c r="Z65" s="13">
        <v>48161</v>
      </c>
      <c r="AA65" s="13">
        <v>42140</v>
      </c>
    </row>
    <row r="66" spans="1:27" x14ac:dyDescent="0.25">
      <c r="A66" s="10" t="s">
        <v>745</v>
      </c>
      <c r="B66" s="10" t="s">
        <v>746</v>
      </c>
      <c r="C66" s="13" t="s">
        <v>80</v>
      </c>
      <c r="D66" s="13" t="s">
        <v>80</v>
      </c>
      <c r="E66" s="13" t="s">
        <v>80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</row>
    <row r="67" spans="1:27" x14ac:dyDescent="0.25">
      <c r="A67" s="10" t="s">
        <v>747</v>
      </c>
      <c r="B67" s="10" t="s">
        <v>748</v>
      </c>
      <c r="C67" s="13" t="s">
        <v>80</v>
      </c>
      <c r="D67" s="13">
        <v>11507.102000000001</v>
      </c>
      <c r="E67" s="13">
        <v>13633.339</v>
      </c>
      <c r="F67" s="13" t="s">
        <v>80</v>
      </c>
      <c r="G67" s="13" t="s">
        <v>80</v>
      </c>
      <c r="H67" s="13" t="s">
        <v>80</v>
      </c>
      <c r="I67" s="13">
        <v>28189.395</v>
      </c>
      <c r="J67" s="13">
        <v>23949</v>
      </c>
      <c r="K67" s="13">
        <v>26535</v>
      </c>
      <c r="L67" s="13">
        <v>32197</v>
      </c>
      <c r="M67" s="13">
        <v>39090</v>
      </c>
      <c r="N67" s="13">
        <v>48532</v>
      </c>
      <c r="O67" s="13">
        <v>52811</v>
      </c>
      <c r="P67" s="13">
        <v>65635</v>
      </c>
      <c r="Q67" s="13">
        <v>79968</v>
      </c>
      <c r="R67" s="13">
        <v>87800</v>
      </c>
      <c r="S67" s="13">
        <v>95202</v>
      </c>
      <c r="T67" s="13">
        <v>108508</v>
      </c>
      <c r="U67" s="13">
        <v>126612</v>
      </c>
      <c r="V67" s="13">
        <v>149281</v>
      </c>
      <c r="W67" s="13">
        <v>165124</v>
      </c>
      <c r="X67" s="13">
        <v>145218</v>
      </c>
      <c r="Y67" s="13">
        <v>155928</v>
      </c>
      <c r="Z67" s="13">
        <v>170319</v>
      </c>
      <c r="AA67" s="13">
        <v>165336</v>
      </c>
    </row>
    <row r="68" spans="1:27" x14ac:dyDescent="0.25">
      <c r="A68" s="10" t="s">
        <v>749</v>
      </c>
      <c r="B68" s="10" t="s">
        <v>750</v>
      </c>
      <c r="C68" s="13">
        <v>2815</v>
      </c>
      <c r="D68" s="13">
        <v>-6940.7849999999999</v>
      </c>
      <c r="E68" s="13">
        <v>-7077.835</v>
      </c>
      <c r="F68" s="13">
        <v>8204</v>
      </c>
      <c r="G68" s="13">
        <v>7659</v>
      </c>
      <c r="H68" s="13">
        <v>12723</v>
      </c>
      <c r="I68" s="13">
        <v>-8937.17</v>
      </c>
      <c r="J68" s="13">
        <v>444</v>
      </c>
      <c r="K68" s="13">
        <v>1350</v>
      </c>
      <c r="L68" s="13">
        <v>276</v>
      </c>
      <c r="M68" s="13">
        <v>703</v>
      </c>
      <c r="N68" s="13">
        <v>1957</v>
      </c>
      <c r="O68" s="13">
        <v>3975</v>
      </c>
      <c r="P68" s="13">
        <v>6454</v>
      </c>
      <c r="Q68" s="13">
        <v>4454</v>
      </c>
      <c r="R68" s="13">
        <v>1945</v>
      </c>
      <c r="S68" s="13">
        <v>367</v>
      </c>
      <c r="T68" s="13">
        <v>905</v>
      </c>
      <c r="U68" s="13">
        <v>4134</v>
      </c>
      <c r="V68" s="13">
        <v>9773</v>
      </c>
      <c r="W68" s="13">
        <v>5861</v>
      </c>
      <c r="X68" s="13">
        <v>27430</v>
      </c>
      <c r="Y68" s="13">
        <v>30789</v>
      </c>
      <c r="Z68" s="13">
        <v>16218</v>
      </c>
      <c r="AA68" s="13">
        <v>26940</v>
      </c>
    </row>
    <row r="69" spans="1:27" x14ac:dyDescent="0.25">
      <c r="A69" s="6" t="s">
        <v>751</v>
      </c>
      <c r="B69" s="6" t="s">
        <v>752</v>
      </c>
      <c r="C69" s="19">
        <v>9064</v>
      </c>
      <c r="D69" s="19">
        <v>11175.462</v>
      </c>
      <c r="E69" s="19">
        <v>13469.628000000001</v>
      </c>
      <c r="F69" s="19">
        <v>15495</v>
      </c>
      <c r="G69" s="19">
        <v>20495</v>
      </c>
      <c r="H69" s="19">
        <v>26097</v>
      </c>
      <c r="I69" s="19">
        <v>33134.525000000001</v>
      </c>
      <c r="J69" s="19">
        <v>37802</v>
      </c>
      <c r="K69" s="19">
        <v>41366</v>
      </c>
      <c r="L69" s="19">
        <v>46117</v>
      </c>
      <c r="M69" s="19">
        <v>70849</v>
      </c>
      <c r="N69" s="19">
        <v>81881</v>
      </c>
      <c r="O69" s="19">
        <v>106657</v>
      </c>
      <c r="P69" s="19">
        <v>122922</v>
      </c>
      <c r="Q69" s="19">
        <v>135452</v>
      </c>
      <c r="R69" s="19">
        <v>140746</v>
      </c>
      <c r="S69" s="19">
        <v>145752</v>
      </c>
      <c r="T69" s="19">
        <v>172279</v>
      </c>
      <c r="U69" s="19">
        <v>193717</v>
      </c>
      <c r="V69" s="19">
        <v>222242</v>
      </c>
      <c r="W69" s="19">
        <v>234234</v>
      </c>
      <c r="X69" s="19">
        <v>236043</v>
      </c>
      <c r="Y69" s="19">
        <v>249353</v>
      </c>
      <c r="Z69" s="19">
        <v>249409</v>
      </c>
      <c r="AA69" s="19">
        <v>249090</v>
      </c>
    </row>
    <row r="70" spans="1:27" x14ac:dyDescent="0.25">
      <c r="A70" s="10" t="s">
        <v>753</v>
      </c>
      <c r="B70" s="10" t="s">
        <v>176</v>
      </c>
      <c r="C70" s="13">
        <v>795</v>
      </c>
      <c r="D70" s="13">
        <v>815.40300000000002</v>
      </c>
      <c r="E70" s="13">
        <v>890.99</v>
      </c>
      <c r="F70" s="13">
        <v>874</v>
      </c>
      <c r="G70" s="13">
        <v>979</v>
      </c>
      <c r="H70" s="13">
        <v>1408</v>
      </c>
      <c r="I70" s="13">
        <v>1666.8720000000001</v>
      </c>
      <c r="J70" s="13">
        <v>1944</v>
      </c>
      <c r="K70" s="13">
        <v>3608</v>
      </c>
      <c r="L70" s="13">
        <v>4110</v>
      </c>
      <c r="M70" s="13">
        <v>6233</v>
      </c>
      <c r="N70" s="13">
        <v>6628</v>
      </c>
      <c r="O70" s="13">
        <v>2034</v>
      </c>
      <c r="P70" s="13">
        <v>1750</v>
      </c>
      <c r="Q70" s="13">
        <v>1900</v>
      </c>
      <c r="R70" s="13">
        <v>1955</v>
      </c>
      <c r="S70" s="13">
        <v>1832</v>
      </c>
      <c r="T70" s="13">
        <v>2185</v>
      </c>
      <c r="U70" s="13">
        <v>2281</v>
      </c>
      <c r="V70" s="13">
        <v>2862</v>
      </c>
      <c r="W70" s="13">
        <v>3006</v>
      </c>
      <c r="X70" s="13">
        <v>2989</v>
      </c>
      <c r="Y70" s="13">
        <v>-148</v>
      </c>
      <c r="Z70" s="13">
        <v>-981</v>
      </c>
      <c r="AA70" s="13">
        <v>3123</v>
      </c>
    </row>
    <row r="71" spans="1:27" x14ac:dyDescent="0.25">
      <c r="A71" s="6" t="s">
        <v>122</v>
      </c>
      <c r="B71" s="6" t="s">
        <v>123</v>
      </c>
      <c r="C71" s="19">
        <v>9859</v>
      </c>
      <c r="D71" s="19">
        <v>11990.865</v>
      </c>
      <c r="E71" s="19">
        <v>14360.618</v>
      </c>
      <c r="F71" s="19">
        <v>16369</v>
      </c>
      <c r="G71" s="19">
        <v>21474</v>
      </c>
      <c r="H71" s="19">
        <v>27505</v>
      </c>
      <c r="I71" s="19">
        <v>34801.396999999997</v>
      </c>
      <c r="J71" s="19">
        <v>39746</v>
      </c>
      <c r="K71" s="19">
        <v>44974</v>
      </c>
      <c r="L71" s="19">
        <v>50227</v>
      </c>
      <c r="M71" s="19">
        <v>77082</v>
      </c>
      <c r="N71" s="19">
        <v>88509</v>
      </c>
      <c r="O71" s="19">
        <v>108691</v>
      </c>
      <c r="P71" s="19">
        <v>124672</v>
      </c>
      <c r="Q71" s="19">
        <v>137352</v>
      </c>
      <c r="R71" s="19">
        <v>142701</v>
      </c>
      <c r="S71" s="19">
        <v>147584</v>
      </c>
      <c r="T71" s="19">
        <v>174464</v>
      </c>
      <c r="U71" s="19">
        <v>195998</v>
      </c>
      <c r="V71" s="19">
        <v>225104</v>
      </c>
      <c r="W71" s="19">
        <v>237240</v>
      </c>
      <c r="X71" s="19">
        <v>239032</v>
      </c>
      <c r="Y71" s="19">
        <v>249205</v>
      </c>
      <c r="Z71" s="19">
        <v>248428</v>
      </c>
      <c r="AA71" s="19">
        <v>252213</v>
      </c>
    </row>
    <row r="72" spans="1:27" x14ac:dyDescent="0.25">
      <c r="A72" s="6" t="s">
        <v>754</v>
      </c>
      <c r="B72" s="6" t="s">
        <v>755</v>
      </c>
      <c r="C72" s="19">
        <v>105408</v>
      </c>
      <c r="D72" s="19">
        <v>199520.74400000001</v>
      </c>
      <c r="E72" s="19">
        <v>213186.59299999999</v>
      </c>
      <c r="F72" s="19">
        <v>176220</v>
      </c>
      <c r="G72" s="19">
        <v>190187</v>
      </c>
      <c r="H72" s="19">
        <v>234437</v>
      </c>
      <c r="I72" s="19">
        <v>287928.28399999999</v>
      </c>
      <c r="J72" s="19">
        <v>577025</v>
      </c>
      <c r="K72" s="19">
        <v>567138</v>
      </c>
      <c r="L72" s="19">
        <v>590558</v>
      </c>
      <c r="M72" s="19">
        <v>829277</v>
      </c>
      <c r="N72" s="19">
        <v>916566</v>
      </c>
      <c r="O72" s="19">
        <v>1006788</v>
      </c>
      <c r="P72" s="19">
        <v>1097982</v>
      </c>
      <c r="Q72" s="19">
        <v>1198476</v>
      </c>
      <c r="R72" s="19">
        <v>1268119</v>
      </c>
      <c r="S72" s="19">
        <v>1354147</v>
      </c>
      <c r="T72" s="19">
        <v>1620470</v>
      </c>
      <c r="U72" s="19">
        <v>1580010</v>
      </c>
      <c r="V72" s="19">
        <v>1787904</v>
      </c>
      <c r="W72" s="19">
        <v>1850879</v>
      </c>
      <c r="X72" s="19">
        <v>2070072</v>
      </c>
      <c r="Y72" s="19">
        <v>2274859</v>
      </c>
      <c r="Z72" s="19">
        <v>2471209</v>
      </c>
      <c r="AA72" s="19">
        <v>2598663</v>
      </c>
    </row>
    <row r="73" spans="1:27" x14ac:dyDescent="0.25">
      <c r="A73" s="6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x14ac:dyDescent="0.25">
      <c r="A74" s="6" t="s">
        <v>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10" t="s">
        <v>353</v>
      </c>
      <c r="B75" s="10" t="s">
        <v>354</v>
      </c>
      <c r="C75" s="12" t="s">
        <v>355</v>
      </c>
      <c r="D75" s="12" t="s">
        <v>355</v>
      </c>
      <c r="E75" s="12" t="s">
        <v>355</v>
      </c>
      <c r="F75" s="12" t="s">
        <v>355</v>
      </c>
      <c r="G75" s="12" t="s">
        <v>355</v>
      </c>
      <c r="H75" s="12" t="s">
        <v>355</v>
      </c>
      <c r="I75" s="12" t="s">
        <v>355</v>
      </c>
      <c r="J75" s="12" t="s">
        <v>355</v>
      </c>
      <c r="K75" s="12" t="s">
        <v>355</v>
      </c>
      <c r="L75" s="12" t="s">
        <v>355</v>
      </c>
      <c r="M75" s="12" t="s">
        <v>355</v>
      </c>
      <c r="N75" s="12" t="s">
        <v>355</v>
      </c>
      <c r="O75" s="12" t="s">
        <v>355</v>
      </c>
      <c r="P75" s="12" t="s">
        <v>355</v>
      </c>
      <c r="Q75" s="12" t="s">
        <v>355</v>
      </c>
      <c r="R75" s="12" t="s">
        <v>355</v>
      </c>
      <c r="S75" s="12" t="s">
        <v>355</v>
      </c>
      <c r="T75" s="12" t="s">
        <v>355</v>
      </c>
      <c r="U75" s="12" t="s">
        <v>355</v>
      </c>
      <c r="V75" s="12" t="s">
        <v>355</v>
      </c>
      <c r="W75" s="12" t="s">
        <v>355</v>
      </c>
      <c r="X75" s="12" t="s">
        <v>355</v>
      </c>
      <c r="Y75" s="12" t="s">
        <v>355</v>
      </c>
      <c r="Z75" s="12" t="s">
        <v>355</v>
      </c>
      <c r="AA75" s="12" t="s">
        <v>355</v>
      </c>
    </row>
    <row r="76" spans="1:27" x14ac:dyDescent="0.25">
      <c r="A76" s="10" t="s">
        <v>756</v>
      </c>
      <c r="B76" s="10" t="s">
        <v>125</v>
      </c>
      <c r="C76" s="13">
        <v>2000.4880000000001</v>
      </c>
      <c r="D76" s="13">
        <v>1999.7045000000001</v>
      </c>
      <c r="E76" s="13">
        <v>2018.2075</v>
      </c>
      <c r="F76" s="13">
        <v>2018.348</v>
      </c>
      <c r="G76" s="13">
        <v>2018.1</v>
      </c>
      <c r="H76" s="13">
        <v>2018.1</v>
      </c>
      <c r="I76" s="13">
        <v>2018.3</v>
      </c>
      <c r="J76" s="13">
        <v>2013.9974999999999</v>
      </c>
      <c r="K76" s="13">
        <v>2017.8475000000001</v>
      </c>
      <c r="L76" s="13">
        <v>2018.3475000000001</v>
      </c>
      <c r="M76" s="13">
        <v>2312.8375999999998</v>
      </c>
      <c r="N76" s="13">
        <v>2326.4</v>
      </c>
      <c r="O76" s="13">
        <v>2773.7296000000001</v>
      </c>
      <c r="P76" s="13">
        <v>2769.3438999999998</v>
      </c>
      <c r="Q76" s="13">
        <v>2758.4643000000001</v>
      </c>
      <c r="R76" s="13">
        <v>2749.2201</v>
      </c>
      <c r="S76" s="13">
        <v>2773.7</v>
      </c>
      <c r="T76" s="13">
        <v>2858.9868999999999</v>
      </c>
      <c r="U76" s="13">
        <v>2867.5232999999998</v>
      </c>
      <c r="V76" s="13">
        <v>2846.8443000000002</v>
      </c>
      <c r="W76" s="13">
        <v>2857.4385000000002</v>
      </c>
      <c r="X76" s="13">
        <v>2857.1005</v>
      </c>
      <c r="Y76" s="13">
        <v>2866.4162000000001</v>
      </c>
      <c r="Z76" s="13">
        <v>2787.3714</v>
      </c>
      <c r="AA76" s="13">
        <v>2813.1565999999998</v>
      </c>
    </row>
    <row r="77" spans="1:27" x14ac:dyDescent="0.25">
      <c r="A77" s="10" t="s">
        <v>757</v>
      </c>
      <c r="B77" s="10" t="s">
        <v>758</v>
      </c>
      <c r="C77" s="13" t="s">
        <v>80</v>
      </c>
      <c r="D77" s="13" t="s">
        <v>80</v>
      </c>
      <c r="E77" s="13" t="s">
        <v>80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</row>
    <row r="78" spans="1:27" x14ac:dyDescent="0.25">
      <c r="A78" s="10" t="s">
        <v>759</v>
      </c>
      <c r="B78" s="10" t="s">
        <v>760</v>
      </c>
      <c r="C78" s="13" t="s">
        <v>80</v>
      </c>
      <c r="D78" s="13" t="s">
        <v>80</v>
      </c>
      <c r="E78" s="13" t="s">
        <v>80</v>
      </c>
      <c r="F78" s="13" t="s">
        <v>80</v>
      </c>
      <c r="G78" s="13" t="s">
        <v>80</v>
      </c>
      <c r="H78" s="13" t="s">
        <v>80</v>
      </c>
      <c r="I78" s="13" t="s">
        <v>80</v>
      </c>
      <c r="J78" s="13" t="s">
        <v>80</v>
      </c>
      <c r="K78" s="13">
        <v>2773</v>
      </c>
      <c r="L78" s="13">
        <v>3333</v>
      </c>
      <c r="M78" s="13">
        <v>3692</v>
      </c>
      <c r="N78" s="13">
        <v>717</v>
      </c>
      <c r="O78" s="13">
        <v>239</v>
      </c>
      <c r="P78" s="13">
        <v>519</v>
      </c>
      <c r="Q78" s="13">
        <v>461</v>
      </c>
      <c r="R78" s="13">
        <v>500</v>
      </c>
      <c r="S78" s="13">
        <v>612</v>
      </c>
      <c r="T78" s="13">
        <v>725</v>
      </c>
      <c r="U78" s="13">
        <v>4606</v>
      </c>
      <c r="V78" s="13">
        <v>3202</v>
      </c>
      <c r="W78" s="13">
        <v>3363</v>
      </c>
      <c r="X78" s="13">
        <v>9550</v>
      </c>
      <c r="Y78" s="13">
        <v>11399</v>
      </c>
      <c r="Z78" s="13">
        <v>12646</v>
      </c>
      <c r="AA78" s="13">
        <v>13885</v>
      </c>
    </row>
    <row r="79" spans="1:27" x14ac:dyDescent="0.25">
      <c r="A79" s="10" t="s">
        <v>761</v>
      </c>
      <c r="B79" s="10" t="s">
        <v>762</v>
      </c>
      <c r="C79" s="13" t="s">
        <v>80</v>
      </c>
      <c r="D79" s="13" t="s">
        <v>80</v>
      </c>
      <c r="E79" s="13" t="s">
        <v>80</v>
      </c>
      <c r="F79" s="13" t="s">
        <v>80</v>
      </c>
      <c r="G79" s="13" t="s">
        <v>80</v>
      </c>
      <c r="H79" s="13" t="s">
        <v>80</v>
      </c>
      <c r="I79" s="13" t="s">
        <v>80</v>
      </c>
      <c r="J79" s="13" t="s">
        <v>80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21938</v>
      </c>
      <c r="U79" s="13">
        <v>26110</v>
      </c>
      <c r="V79" s="13">
        <v>25370</v>
      </c>
      <c r="W79" s="13">
        <v>33572</v>
      </c>
      <c r="X79" s="13" t="s">
        <v>80</v>
      </c>
      <c r="Y79" s="13" t="s">
        <v>80</v>
      </c>
      <c r="Z79" s="13" t="s">
        <v>80</v>
      </c>
      <c r="AA79" s="13" t="s">
        <v>80</v>
      </c>
    </row>
    <row r="80" spans="1:27" x14ac:dyDescent="0.25">
      <c r="A80" s="10" t="s">
        <v>763</v>
      </c>
      <c r="B80" s="10" t="s">
        <v>764</v>
      </c>
      <c r="C80" s="13" t="s">
        <v>80</v>
      </c>
      <c r="D80" s="13" t="s">
        <v>80</v>
      </c>
      <c r="E80" s="13" t="s">
        <v>80</v>
      </c>
      <c r="F80" s="13" t="s">
        <v>80</v>
      </c>
      <c r="G80" s="13" t="s">
        <v>80</v>
      </c>
      <c r="H80" s="13" t="s">
        <v>80</v>
      </c>
      <c r="I80" s="13" t="s">
        <v>80</v>
      </c>
      <c r="J80" s="13" t="s">
        <v>80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 t="s">
        <v>80</v>
      </c>
      <c r="U80" s="13" t="s">
        <v>80</v>
      </c>
      <c r="V80" s="13" t="s">
        <v>80</v>
      </c>
      <c r="W80" s="13" t="s">
        <v>80</v>
      </c>
      <c r="X80" s="13" t="s">
        <v>80</v>
      </c>
      <c r="Y80" s="13" t="s">
        <v>80</v>
      </c>
      <c r="Z80" s="13" t="s">
        <v>80</v>
      </c>
      <c r="AA80" s="13" t="s">
        <v>80</v>
      </c>
    </row>
    <row r="81" spans="1:27" x14ac:dyDescent="0.25">
      <c r="A81" s="10" t="s">
        <v>134</v>
      </c>
      <c r="B81" s="10" t="s">
        <v>135</v>
      </c>
      <c r="C81" s="14">
        <v>4.5308999999999999</v>
      </c>
      <c r="D81" s="14">
        <v>5.5885999999999996</v>
      </c>
      <c r="E81" s="14">
        <v>6.6741000000000001</v>
      </c>
      <c r="F81" s="14">
        <v>7.6771000000000003</v>
      </c>
      <c r="G81" s="14">
        <v>10.1556</v>
      </c>
      <c r="H81" s="14">
        <v>12.9315</v>
      </c>
      <c r="I81" s="14">
        <v>16.417000000000002</v>
      </c>
      <c r="J81" s="14">
        <v>18.769600000000001</v>
      </c>
      <c r="K81" s="14">
        <v>20.5001</v>
      </c>
      <c r="L81" s="14">
        <v>22.8489</v>
      </c>
      <c r="M81" s="14">
        <v>30.632899999999999</v>
      </c>
      <c r="N81" s="14">
        <v>35.196399999999997</v>
      </c>
      <c r="O81" s="14">
        <v>38.452599999999997</v>
      </c>
      <c r="P81" s="14">
        <v>44.386699999999998</v>
      </c>
      <c r="Q81" s="14">
        <v>49.104100000000003</v>
      </c>
      <c r="R81" s="14">
        <v>51.194899999999997</v>
      </c>
      <c r="S81" s="14">
        <v>52.547899999999998</v>
      </c>
      <c r="T81" s="14">
        <v>60.258800000000001</v>
      </c>
      <c r="U81" s="14">
        <v>67.555499999999995</v>
      </c>
      <c r="V81" s="14">
        <v>78.066100000000006</v>
      </c>
      <c r="W81" s="14">
        <v>81.973399999999998</v>
      </c>
      <c r="X81" s="14">
        <v>82.616299999999995</v>
      </c>
      <c r="Y81" s="14">
        <v>86.991200000000006</v>
      </c>
      <c r="Z81" s="14">
        <v>89.478200000000001</v>
      </c>
      <c r="AA81" s="14">
        <v>88.544700000000006</v>
      </c>
    </row>
    <row r="82" spans="1:27" x14ac:dyDescent="0.25">
      <c r="A82" s="10" t="s">
        <v>138</v>
      </c>
      <c r="B82" s="10" t="s">
        <v>139</v>
      </c>
      <c r="C82" s="13" t="s">
        <v>80</v>
      </c>
      <c r="D82" s="13" t="s">
        <v>80</v>
      </c>
      <c r="E82" s="13" t="s">
        <v>80</v>
      </c>
      <c r="F82" s="13">
        <v>355364</v>
      </c>
      <c r="G82" s="13">
        <v>401046</v>
      </c>
      <c r="H82" s="13">
        <v>525557</v>
      </c>
      <c r="I82" s="13" t="s">
        <v>80</v>
      </c>
      <c r="J82" s="13" t="s">
        <v>80</v>
      </c>
      <c r="K82" s="13" t="s">
        <v>80</v>
      </c>
      <c r="L82" s="13" t="s">
        <v>80</v>
      </c>
      <c r="M82" s="13" t="s">
        <v>80</v>
      </c>
      <c r="N82" s="13" t="s">
        <v>80</v>
      </c>
      <c r="O82" s="13" t="s">
        <v>80</v>
      </c>
      <c r="P82" s="13" t="s">
        <v>80</v>
      </c>
      <c r="Q82" s="13">
        <v>2105565</v>
      </c>
      <c r="R82" s="13">
        <v>2184877</v>
      </c>
      <c r="S82" s="13">
        <v>2423321</v>
      </c>
      <c r="T82" s="13">
        <v>2607083</v>
      </c>
      <c r="U82" s="13">
        <v>2771604</v>
      </c>
      <c r="V82" s="13">
        <v>2975753</v>
      </c>
      <c r="W82" s="13">
        <v>3144794</v>
      </c>
      <c r="X82" s="13">
        <v>3214060</v>
      </c>
      <c r="Y82" s="13">
        <v>3957801</v>
      </c>
      <c r="Z82" s="13">
        <v>4495930</v>
      </c>
      <c r="AA82" s="13">
        <v>5196669</v>
      </c>
    </row>
    <row r="83" spans="1:27" x14ac:dyDescent="0.25">
      <c r="A83" s="10" t="s">
        <v>765</v>
      </c>
      <c r="B83" s="10" t="s">
        <v>143</v>
      </c>
      <c r="C83" s="13">
        <v>4518</v>
      </c>
      <c r="D83" s="13" t="s">
        <v>80</v>
      </c>
      <c r="E83" s="13" t="s">
        <v>80</v>
      </c>
      <c r="F83" s="13">
        <v>1804</v>
      </c>
      <c r="G83" s="13">
        <v>1851</v>
      </c>
      <c r="H83" s="13">
        <v>2059</v>
      </c>
      <c r="I83" s="13">
        <v>2894</v>
      </c>
      <c r="J83" s="13">
        <v>4948</v>
      </c>
      <c r="K83" s="13">
        <v>6154</v>
      </c>
      <c r="L83" s="13">
        <v>6664</v>
      </c>
      <c r="M83" s="13">
        <v>6949</v>
      </c>
      <c r="N83" s="13">
        <v>8481</v>
      </c>
      <c r="O83" s="13">
        <v>13655</v>
      </c>
      <c r="P83" s="13">
        <v>14293</v>
      </c>
      <c r="Q83" s="13">
        <v>11903</v>
      </c>
      <c r="R83" s="13">
        <v>10312</v>
      </c>
      <c r="S83" s="13">
        <v>12482</v>
      </c>
      <c r="T83" s="13">
        <v>13263</v>
      </c>
      <c r="U83" s="13">
        <v>12806</v>
      </c>
      <c r="V83" s="13">
        <v>8931</v>
      </c>
      <c r="W83" s="13">
        <v>8506</v>
      </c>
      <c r="X83" s="13">
        <v>9973</v>
      </c>
      <c r="Y83" s="13">
        <v>10890</v>
      </c>
      <c r="Z83" s="13">
        <v>11125</v>
      </c>
      <c r="AA83" s="13">
        <v>17839</v>
      </c>
    </row>
    <row r="84" spans="1:27" x14ac:dyDescent="0.25">
      <c r="A84" s="10" t="s">
        <v>116</v>
      </c>
      <c r="B84" s="10" t="s">
        <v>117</v>
      </c>
      <c r="C84" s="13">
        <v>93404</v>
      </c>
      <c r="D84" s="13">
        <v>168647.43900000001</v>
      </c>
      <c r="E84" s="13">
        <v>173470.95800000001</v>
      </c>
      <c r="F84" s="13">
        <v>125947</v>
      </c>
      <c r="G84" s="13">
        <v>141475</v>
      </c>
      <c r="H84" s="13">
        <v>169697</v>
      </c>
      <c r="I84" s="13">
        <v>218583.606</v>
      </c>
      <c r="J84" s="13">
        <v>488562</v>
      </c>
      <c r="K84" s="13">
        <v>471608</v>
      </c>
      <c r="L84" s="13">
        <v>489762</v>
      </c>
      <c r="M84" s="13">
        <v>696007</v>
      </c>
      <c r="N84" s="13">
        <v>766678</v>
      </c>
      <c r="O84" s="13">
        <v>853784</v>
      </c>
      <c r="P84" s="13">
        <v>919452</v>
      </c>
      <c r="Q84" s="13">
        <v>972602</v>
      </c>
      <c r="R84" s="13">
        <v>1035901</v>
      </c>
      <c r="S84" s="13">
        <v>1132305</v>
      </c>
      <c r="T84" s="13">
        <v>1392603</v>
      </c>
      <c r="U84" s="13">
        <v>1362571</v>
      </c>
      <c r="V84" s="13">
        <v>1481005</v>
      </c>
      <c r="W84" s="13">
        <v>1588670</v>
      </c>
      <c r="X84" s="13">
        <v>1791145</v>
      </c>
      <c r="Y84" s="13">
        <v>2025884</v>
      </c>
      <c r="Z84" s="13">
        <v>2179194</v>
      </c>
      <c r="AA84" s="13">
        <v>2316293</v>
      </c>
    </row>
    <row r="85" spans="1:27" x14ac:dyDescent="0.25">
      <c r="A85" s="10" t="s">
        <v>766</v>
      </c>
      <c r="B85" s="10" t="s">
        <v>155</v>
      </c>
      <c r="C85" s="14">
        <v>1.4424999999999999</v>
      </c>
      <c r="D85" s="14">
        <v>1.3222</v>
      </c>
      <c r="E85" s="14">
        <v>1.0750999999999999</v>
      </c>
      <c r="F85" s="14">
        <v>1.3462000000000001</v>
      </c>
      <c r="G85" s="14">
        <v>3.1206</v>
      </c>
      <c r="H85" s="14">
        <v>2.8067000000000002</v>
      </c>
      <c r="I85" s="14">
        <v>2.6074999999999999</v>
      </c>
      <c r="J85" s="14">
        <v>1.6217999999999999</v>
      </c>
      <c r="K85" s="14">
        <v>1.0233000000000001</v>
      </c>
      <c r="L85" s="14">
        <v>1.1583000000000001</v>
      </c>
      <c r="M85" s="14">
        <v>1.1997</v>
      </c>
      <c r="N85" s="14">
        <v>1.2473000000000001</v>
      </c>
      <c r="O85" s="14">
        <v>1.4046000000000001</v>
      </c>
      <c r="P85" s="14">
        <v>1.4470000000000001</v>
      </c>
      <c r="Q85" s="14">
        <v>1.4899</v>
      </c>
      <c r="R85" s="14">
        <v>1.5656000000000001</v>
      </c>
      <c r="S85" s="14">
        <v>1.8234999999999999</v>
      </c>
      <c r="T85" s="14">
        <v>2.1486999999999998</v>
      </c>
      <c r="U85" s="14">
        <v>2.2827000000000002</v>
      </c>
      <c r="V85" s="14">
        <v>1.8117000000000001</v>
      </c>
      <c r="W85" s="14">
        <v>1.9263999999999999</v>
      </c>
      <c r="X85" s="14">
        <v>2.3161999999999998</v>
      </c>
      <c r="Y85" s="14">
        <v>2.4127999999999998</v>
      </c>
      <c r="Z85" s="14">
        <v>2.3677999999999999</v>
      </c>
      <c r="AA85" s="14">
        <v>2.3191000000000002</v>
      </c>
    </row>
    <row r="86" spans="1:27" x14ac:dyDescent="0.25">
      <c r="A86" s="10" t="s">
        <v>767</v>
      </c>
      <c r="B86" s="10" t="s">
        <v>768</v>
      </c>
      <c r="C86" s="13">
        <v>711</v>
      </c>
      <c r="D86" s="13">
        <v>-809.30600000000004</v>
      </c>
      <c r="E86" s="13">
        <v>-970.15099999999995</v>
      </c>
      <c r="F86" s="13" t="s">
        <v>80</v>
      </c>
      <c r="G86" s="13" t="s">
        <v>80</v>
      </c>
      <c r="H86" s="13" t="s">
        <v>80</v>
      </c>
      <c r="I86" s="13">
        <v>-214.51300000000001</v>
      </c>
      <c r="J86" s="13">
        <v>-471</v>
      </c>
      <c r="K86" s="13">
        <v>-1411</v>
      </c>
      <c r="L86" s="13">
        <v>-1340</v>
      </c>
      <c r="M86" s="13">
        <v>39</v>
      </c>
      <c r="N86" s="13">
        <v>978</v>
      </c>
      <c r="O86" s="13">
        <v>200</v>
      </c>
      <c r="P86" s="13">
        <v>-2311</v>
      </c>
      <c r="Q86" s="13">
        <v>-2785</v>
      </c>
      <c r="R86" s="13">
        <v>-3994</v>
      </c>
      <c r="S86" s="13">
        <v>-2949</v>
      </c>
      <c r="T86" s="13">
        <v>-4318</v>
      </c>
      <c r="U86" s="13">
        <v>-626</v>
      </c>
      <c r="V86" s="13">
        <v>1618</v>
      </c>
      <c r="W86" s="13">
        <v>3346</v>
      </c>
      <c r="X86" s="13">
        <v>0</v>
      </c>
      <c r="Y86" s="13">
        <v>0</v>
      </c>
      <c r="Z86" s="13">
        <v>0</v>
      </c>
      <c r="AA86" s="13">
        <v>-3437</v>
      </c>
    </row>
    <row r="87" spans="1:27" x14ac:dyDescent="0.25">
      <c r="A87" s="10" t="s">
        <v>769</v>
      </c>
      <c r="B87" s="10" t="s">
        <v>770</v>
      </c>
      <c r="C87" s="13">
        <v>93165</v>
      </c>
      <c r="D87" s="13">
        <v>183460.897</v>
      </c>
      <c r="E87" s="13">
        <v>194706.88200000001</v>
      </c>
      <c r="F87" s="13">
        <v>156127</v>
      </c>
      <c r="G87" s="13">
        <v>162342</v>
      </c>
      <c r="H87" s="13">
        <v>197754</v>
      </c>
      <c r="I87" s="13">
        <v>237067.60800000001</v>
      </c>
      <c r="J87" s="13">
        <v>510792</v>
      </c>
      <c r="K87" s="13">
        <v>400325</v>
      </c>
      <c r="L87" s="13">
        <v>402498</v>
      </c>
      <c r="M87" s="13">
        <v>524448</v>
      </c>
      <c r="N87" s="13">
        <v>559298</v>
      </c>
      <c r="O87" s="13">
        <v>602109</v>
      </c>
      <c r="P87" s="13">
        <v>625515</v>
      </c>
      <c r="Q87" s="13">
        <v>577463</v>
      </c>
      <c r="R87" s="13">
        <v>562687</v>
      </c>
      <c r="S87" s="13">
        <v>615569</v>
      </c>
      <c r="T87" s="13">
        <v>807705</v>
      </c>
      <c r="U87" s="13">
        <v>739118</v>
      </c>
      <c r="V87" s="13">
        <v>711802</v>
      </c>
      <c r="W87" s="13">
        <v>733745</v>
      </c>
      <c r="X87" s="13">
        <v>851168</v>
      </c>
      <c r="Y87" s="13">
        <v>939162</v>
      </c>
      <c r="Z87" s="13">
        <v>1050031</v>
      </c>
      <c r="AA87" s="13">
        <v>1064816</v>
      </c>
    </row>
    <row r="88" spans="1:27" x14ac:dyDescent="0.25">
      <c r="A88" s="10" t="s">
        <v>771</v>
      </c>
      <c r="B88" s="10" t="s">
        <v>772</v>
      </c>
      <c r="C88" s="13">
        <v>12971</v>
      </c>
      <c r="D88" s="13">
        <v>16654.102999999999</v>
      </c>
      <c r="E88" s="13">
        <v>1519.2639999999999</v>
      </c>
      <c r="F88" s="13">
        <v>-11636</v>
      </c>
      <c r="G88" s="13">
        <v>-13884</v>
      </c>
      <c r="H88" s="13">
        <v>-15187</v>
      </c>
      <c r="I88" s="13">
        <v>-7849.4859999999999</v>
      </c>
      <c r="J88" s="13">
        <v>195621</v>
      </c>
      <c r="K88" s="13">
        <v>165346</v>
      </c>
      <c r="L88" s="13">
        <v>159928</v>
      </c>
      <c r="M88" s="13">
        <v>237980</v>
      </c>
      <c r="N88" s="13">
        <v>225252</v>
      </c>
      <c r="O88" s="13">
        <v>289909</v>
      </c>
      <c r="P88" s="13">
        <v>278599</v>
      </c>
      <c r="Q88" s="13">
        <v>255233</v>
      </c>
      <c r="R88" s="13">
        <v>303444</v>
      </c>
      <c r="S88" s="13">
        <v>285165</v>
      </c>
      <c r="T88" s="13">
        <v>377385</v>
      </c>
      <c r="U88" s="13">
        <v>360990</v>
      </c>
      <c r="V88" s="13">
        <v>285859</v>
      </c>
      <c r="W88" s="13">
        <v>348526</v>
      </c>
      <c r="X88" s="13">
        <v>402397</v>
      </c>
      <c r="Y88" s="13">
        <v>394238</v>
      </c>
      <c r="Z88" s="13">
        <v>496699</v>
      </c>
      <c r="AA88" s="13">
        <v>483981</v>
      </c>
    </row>
    <row r="89" spans="1:27" x14ac:dyDescent="0.25">
      <c r="A89" s="10" t="s">
        <v>773</v>
      </c>
      <c r="B89" s="10" t="s">
        <v>157</v>
      </c>
      <c r="C89" s="14">
        <v>18.1555</v>
      </c>
      <c r="D89" s="14">
        <v>19.920100000000001</v>
      </c>
      <c r="E89" s="14">
        <v>18.003499999999999</v>
      </c>
      <c r="F89" s="14">
        <v>18.097899999999999</v>
      </c>
      <c r="G89" s="14">
        <v>31.7699</v>
      </c>
      <c r="H89" s="14">
        <v>25.579499999999999</v>
      </c>
      <c r="I89" s="14">
        <v>22.9954</v>
      </c>
      <c r="J89" s="14">
        <v>19.775400000000001</v>
      </c>
      <c r="K89" s="14">
        <v>14.7888</v>
      </c>
      <c r="L89" s="14">
        <v>15.3287</v>
      </c>
      <c r="M89" s="14">
        <v>14.5632</v>
      </c>
      <c r="N89" s="14">
        <v>14.2578</v>
      </c>
      <c r="O89" s="14">
        <v>14.3292</v>
      </c>
      <c r="P89" s="14">
        <v>13.266</v>
      </c>
      <c r="Q89" s="14">
        <v>13.242800000000001</v>
      </c>
      <c r="R89" s="14">
        <v>13.981299999999999</v>
      </c>
      <c r="S89" s="14">
        <v>16.689800000000002</v>
      </c>
      <c r="T89" s="14">
        <v>20.0974</v>
      </c>
      <c r="U89" s="14">
        <v>19.960899999999999</v>
      </c>
      <c r="V89" s="14">
        <v>14.668799999999999</v>
      </c>
      <c r="W89" s="14">
        <v>15.3559</v>
      </c>
      <c r="X89" s="14">
        <v>19.311199999999999</v>
      </c>
      <c r="Y89" s="14">
        <v>21.597999999999999</v>
      </c>
      <c r="Z89" s="14">
        <v>22.530999999999999</v>
      </c>
      <c r="AA89" s="14">
        <v>23.585999999999999</v>
      </c>
    </row>
    <row r="90" spans="1:27" x14ac:dyDescent="0.25">
      <c r="A90" s="10" t="s">
        <v>774</v>
      </c>
      <c r="B90" s="10" t="s">
        <v>161</v>
      </c>
      <c r="C90" s="14" t="s">
        <v>80</v>
      </c>
      <c r="D90" s="14" t="s">
        <v>80</v>
      </c>
      <c r="E90" s="14" t="s">
        <v>80</v>
      </c>
      <c r="F90" s="14" t="s">
        <v>80</v>
      </c>
      <c r="G90" s="14" t="s">
        <v>80</v>
      </c>
      <c r="H90" s="14" t="s">
        <v>80</v>
      </c>
      <c r="I90" s="14" t="s">
        <v>80</v>
      </c>
      <c r="J90" s="14">
        <v>5.6722000000000001</v>
      </c>
      <c r="K90" s="14">
        <v>6.7808000000000002</v>
      </c>
      <c r="L90" s="14">
        <v>7.3461999999999996</v>
      </c>
      <c r="M90" s="14">
        <v>6.7797999999999998</v>
      </c>
      <c r="N90" s="14">
        <v>6.8268000000000004</v>
      </c>
      <c r="O90" s="14">
        <v>8.5625</v>
      </c>
      <c r="P90" s="14">
        <v>9.1517999999999997</v>
      </c>
      <c r="Q90" s="14">
        <v>9.1134000000000004</v>
      </c>
      <c r="R90" s="14">
        <v>9.2149000000000001</v>
      </c>
      <c r="S90" s="14">
        <v>9.9222999999999999</v>
      </c>
      <c r="T90" s="14">
        <v>8.1142000000000003</v>
      </c>
      <c r="U90" s="14">
        <v>10.7523</v>
      </c>
      <c r="V90" s="14">
        <v>11.101699999999999</v>
      </c>
      <c r="W90" s="14">
        <v>11.375299999999999</v>
      </c>
      <c r="X90" s="14">
        <v>9.4414999999999996</v>
      </c>
      <c r="Y90" s="14">
        <v>9.2012</v>
      </c>
      <c r="Z90" s="14">
        <v>8.5017999999999994</v>
      </c>
      <c r="AA90" s="14">
        <v>8.2052999999999994</v>
      </c>
    </row>
    <row r="91" spans="1:27" x14ac:dyDescent="0.25">
      <c r="A91" s="10" t="s">
        <v>775</v>
      </c>
      <c r="B91" s="10" t="s">
        <v>163</v>
      </c>
      <c r="C91" s="14" t="s">
        <v>80</v>
      </c>
      <c r="D91" s="14" t="s">
        <v>80</v>
      </c>
      <c r="E91" s="14" t="s">
        <v>80</v>
      </c>
      <c r="F91" s="14" t="s">
        <v>80</v>
      </c>
      <c r="G91" s="14" t="s">
        <v>80</v>
      </c>
      <c r="H91" s="14" t="s">
        <v>80</v>
      </c>
      <c r="I91" s="14" t="s">
        <v>80</v>
      </c>
      <c r="J91" s="14" t="s">
        <v>80</v>
      </c>
      <c r="K91" s="14" t="s">
        <v>80</v>
      </c>
      <c r="L91" s="14">
        <v>19.4285</v>
      </c>
      <c r="M91" s="14">
        <v>14.132300000000001</v>
      </c>
      <c r="N91" s="14">
        <v>15.501300000000001</v>
      </c>
      <c r="O91" s="14">
        <v>18.964700000000001</v>
      </c>
      <c r="P91" s="14">
        <v>19.739599999999999</v>
      </c>
      <c r="Q91" s="14">
        <v>17.476500000000001</v>
      </c>
      <c r="R91" s="14">
        <v>17.843499999999999</v>
      </c>
      <c r="S91" s="14">
        <v>21.119399999999999</v>
      </c>
      <c r="T91" s="14">
        <v>17.111899999999999</v>
      </c>
      <c r="U91" s="14">
        <v>20.873899999999999</v>
      </c>
      <c r="V91" s="14">
        <v>20.938300000000002</v>
      </c>
      <c r="W91" s="14">
        <v>24.133800000000001</v>
      </c>
      <c r="X91" s="14">
        <v>22.4267</v>
      </c>
      <c r="Y91" s="14">
        <v>21.683900000000001</v>
      </c>
      <c r="Z91" s="14">
        <v>20.1309</v>
      </c>
      <c r="AA91" s="14">
        <v>20.066099999999999</v>
      </c>
    </row>
    <row r="92" spans="1:27" x14ac:dyDescent="0.25">
      <c r="A92" s="10" t="s">
        <v>776</v>
      </c>
      <c r="B92" s="10" t="s">
        <v>84</v>
      </c>
      <c r="C92" s="14" t="s">
        <v>80</v>
      </c>
      <c r="D92" s="14" t="s">
        <v>80</v>
      </c>
      <c r="E92" s="14" t="s">
        <v>80</v>
      </c>
      <c r="F92" s="14">
        <v>16.2</v>
      </c>
      <c r="G92" s="14">
        <v>16.100000000000001</v>
      </c>
      <c r="H92" s="14">
        <v>17.399999999999999</v>
      </c>
      <c r="I92" s="14">
        <v>16</v>
      </c>
      <c r="J92" s="14">
        <v>9.4</v>
      </c>
      <c r="K92" s="14" t="s">
        <v>80</v>
      </c>
      <c r="L92" s="14" t="s">
        <v>80</v>
      </c>
      <c r="M92" s="14">
        <v>10.76</v>
      </c>
      <c r="N92" s="14">
        <v>11.74</v>
      </c>
      <c r="O92" s="14">
        <v>12.73</v>
      </c>
      <c r="P92" s="14">
        <v>13.7</v>
      </c>
      <c r="Q92" s="14">
        <v>13.2</v>
      </c>
      <c r="R92" s="14">
        <v>12.68</v>
      </c>
      <c r="S92" s="14">
        <v>15.12</v>
      </c>
      <c r="T92" s="14">
        <v>15.23</v>
      </c>
      <c r="U92" s="14">
        <v>17.45</v>
      </c>
      <c r="V92" s="14">
        <v>19.239999999999998</v>
      </c>
      <c r="W92" s="14">
        <v>23.78</v>
      </c>
      <c r="X92" s="14">
        <v>22.47</v>
      </c>
      <c r="Y92" s="14">
        <v>20.45</v>
      </c>
      <c r="Z92" s="14">
        <v>21.56</v>
      </c>
      <c r="AA92" s="14">
        <v>19.66</v>
      </c>
    </row>
    <row r="93" spans="1:27" x14ac:dyDescent="0.25">
      <c r="A93" s="10" t="s">
        <v>777</v>
      </c>
      <c r="B93" s="10" t="s">
        <v>86</v>
      </c>
      <c r="C93" s="14" t="s">
        <v>80</v>
      </c>
      <c r="D93" s="14" t="s">
        <v>80</v>
      </c>
      <c r="E93" s="14" t="s">
        <v>80</v>
      </c>
      <c r="F93" s="14">
        <v>20.8</v>
      </c>
      <c r="G93" s="14">
        <v>21.2</v>
      </c>
      <c r="H93" s="14">
        <v>24</v>
      </c>
      <c r="I93" s="14">
        <v>13.8</v>
      </c>
      <c r="J93" s="14">
        <v>14.3</v>
      </c>
      <c r="K93" s="14">
        <v>24.42</v>
      </c>
      <c r="L93" s="14">
        <v>23.68</v>
      </c>
      <c r="M93" s="14">
        <v>12.9</v>
      </c>
      <c r="N93" s="14">
        <v>14.65</v>
      </c>
      <c r="O93" s="14">
        <v>15.12</v>
      </c>
      <c r="P93" s="14">
        <v>13.7</v>
      </c>
      <c r="Q93" s="14">
        <v>13.2</v>
      </c>
      <c r="R93" s="14">
        <v>12.68</v>
      </c>
      <c r="S93" s="14">
        <v>17.23</v>
      </c>
      <c r="T93" s="14">
        <v>17.170000000000002</v>
      </c>
      <c r="U93" s="14">
        <v>18.55</v>
      </c>
      <c r="V93" s="14">
        <v>20.2</v>
      </c>
      <c r="W93" s="14">
        <v>24.69</v>
      </c>
      <c r="X93" s="14">
        <v>22.86</v>
      </c>
      <c r="Y93" s="14">
        <v>20.69</v>
      </c>
      <c r="Z93" s="14">
        <v>21.78</v>
      </c>
      <c r="AA93" s="14">
        <v>20.059999999999999</v>
      </c>
    </row>
    <row r="94" spans="1:27" x14ac:dyDescent="0.25">
      <c r="A94" s="10" t="s">
        <v>778</v>
      </c>
      <c r="B94" s="10" t="s">
        <v>779</v>
      </c>
      <c r="C94" s="14">
        <v>11174</v>
      </c>
      <c r="D94" s="14">
        <v>15084</v>
      </c>
      <c r="E94" s="14">
        <v>15863</v>
      </c>
      <c r="F94" s="14" t="s">
        <v>80</v>
      </c>
      <c r="G94" s="14" t="s">
        <v>80</v>
      </c>
      <c r="H94" s="14" t="s">
        <v>80</v>
      </c>
      <c r="I94" s="14">
        <v>17361</v>
      </c>
      <c r="J94" s="14">
        <v>19997</v>
      </c>
      <c r="K94" s="14" t="s">
        <v>80</v>
      </c>
      <c r="L94" s="14">
        <v>19759</v>
      </c>
      <c r="M94" s="14">
        <v>23898</v>
      </c>
      <c r="N94" s="14" t="s">
        <v>80</v>
      </c>
      <c r="O94" s="14" t="s">
        <v>80</v>
      </c>
      <c r="P94" s="14">
        <v>27943</v>
      </c>
      <c r="Q94" s="14">
        <v>27594</v>
      </c>
      <c r="R94" s="14">
        <v>27913</v>
      </c>
      <c r="S94" s="14" t="s">
        <v>80</v>
      </c>
      <c r="T94" s="14">
        <v>30548</v>
      </c>
      <c r="U94" s="14" t="s">
        <v>80</v>
      </c>
      <c r="V94" s="14" t="s">
        <v>80</v>
      </c>
      <c r="W94" s="14" t="s">
        <v>80</v>
      </c>
      <c r="X94" s="14" t="s">
        <v>80</v>
      </c>
      <c r="Y94" s="14">
        <v>30941</v>
      </c>
      <c r="Z94" s="14" t="s">
        <v>80</v>
      </c>
      <c r="AA94" s="14" t="s">
        <v>80</v>
      </c>
    </row>
    <row r="95" spans="1:27" x14ac:dyDescent="0.25">
      <c r="A95" s="7" t="s">
        <v>87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04"/>
  <sheetViews>
    <sheetView workbookViewId="0">
      <selection activeCell="I13" sqref="I13"/>
    </sheetView>
  </sheetViews>
  <sheetFormatPr baseColWidth="10"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377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89</v>
      </c>
      <c r="B4" s="3"/>
      <c r="C4" s="4" t="s">
        <v>7</v>
      </c>
      <c r="D4" s="4" t="s">
        <v>8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</row>
    <row r="5" spans="1:23" x14ac:dyDescent="0.25">
      <c r="A5" s="9" t="s">
        <v>31</v>
      </c>
      <c r="B5" s="9"/>
      <c r="C5" s="5" t="s">
        <v>32</v>
      </c>
      <c r="D5" s="5" t="s">
        <v>33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</row>
    <row r="6" spans="1:23" x14ac:dyDescent="0.25">
      <c r="A6" s="6" t="s">
        <v>780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465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6" t="s">
        <v>781</v>
      </c>
      <c r="B8" s="6" t="s">
        <v>782</v>
      </c>
      <c r="C8" s="19" t="s">
        <v>80</v>
      </c>
      <c r="D8" s="19" t="s">
        <v>80</v>
      </c>
      <c r="E8" s="19" t="s">
        <v>80</v>
      </c>
      <c r="F8" s="19" t="s">
        <v>80</v>
      </c>
      <c r="G8" s="19" t="s">
        <v>80</v>
      </c>
      <c r="H8" s="19" t="s">
        <v>80</v>
      </c>
      <c r="I8" s="19" t="s">
        <v>80</v>
      </c>
      <c r="J8" s="19" t="s">
        <v>80</v>
      </c>
      <c r="K8" s="19" t="s">
        <v>80</v>
      </c>
      <c r="L8" s="19">
        <v>944776</v>
      </c>
      <c r="M8" s="19">
        <v>1059044</v>
      </c>
      <c r="N8" s="19">
        <v>1088718</v>
      </c>
      <c r="O8" s="19">
        <v>1157638</v>
      </c>
      <c r="P8" s="19">
        <v>1329316</v>
      </c>
      <c r="Q8" s="19">
        <v>1434764</v>
      </c>
      <c r="R8" s="19">
        <v>1564112</v>
      </c>
      <c r="S8" s="19">
        <v>1651127</v>
      </c>
      <c r="T8" s="19">
        <v>1839143</v>
      </c>
      <c r="U8" s="19">
        <v>2017095</v>
      </c>
      <c r="V8" s="19">
        <v>2227252</v>
      </c>
      <c r="W8" s="19">
        <v>2262414</v>
      </c>
    </row>
    <row r="9" spans="1:23" x14ac:dyDescent="0.25">
      <c r="A9" s="6" t="s">
        <v>783</v>
      </c>
      <c r="B9" s="6" t="s">
        <v>784</v>
      </c>
      <c r="C9" s="19" t="s">
        <v>80</v>
      </c>
      <c r="D9" s="19" t="s">
        <v>80</v>
      </c>
      <c r="E9" s="19" t="s">
        <v>80</v>
      </c>
      <c r="F9" s="19" t="s">
        <v>80</v>
      </c>
      <c r="G9" s="19" t="s">
        <v>80</v>
      </c>
      <c r="H9" s="19" t="s">
        <v>80</v>
      </c>
      <c r="I9" s="19" t="s">
        <v>80</v>
      </c>
      <c r="J9" s="19" t="s">
        <v>80</v>
      </c>
      <c r="K9" s="19" t="s">
        <v>80</v>
      </c>
      <c r="L9" s="19" t="s">
        <v>80</v>
      </c>
      <c r="M9" s="19" t="s">
        <v>80</v>
      </c>
      <c r="N9" s="19" t="s">
        <v>80</v>
      </c>
      <c r="O9" s="19">
        <v>628080</v>
      </c>
      <c r="P9" s="19">
        <v>790455</v>
      </c>
      <c r="Q9" s="19">
        <v>775448</v>
      </c>
      <c r="R9" s="19">
        <v>811070</v>
      </c>
      <c r="S9" s="19">
        <v>829338</v>
      </c>
      <c r="T9" s="19">
        <v>929854</v>
      </c>
      <c r="U9" s="19">
        <v>1042817</v>
      </c>
      <c r="V9" s="19">
        <v>1190782</v>
      </c>
      <c r="W9" s="19">
        <v>1286666</v>
      </c>
    </row>
    <row r="10" spans="1:23" x14ac:dyDescent="0.25">
      <c r="A10" s="6" t="s">
        <v>785</v>
      </c>
      <c r="B10" s="6" t="s">
        <v>786</v>
      </c>
      <c r="C10" s="19" t="s">
        <v>80</v>
      </c>
      <c r="D10" s="19" t="s">
        <v>80</v>
      </c>
      <c r="E10" s="19" t="s">
        <v>80</v>
      </c>
      <c r="F10" s="19" t="s">
        <v>80</v>
      </c>
      <c r="G10" s="19" t="s">
        <v>80</v>
      </c>
      <c r="H10" s="19" t="s">
        <v>80</v>
      </c>
      <c r="I10" s="19" t="s">
        <v>80</v>
      </c>
      <c r="J10" s="19" t="s">
        <v>80</v>
      </c>
      <c r="K10" s="19" t="s">
        <v>80</v>
      </c>
      <c r="L10" s="19" t="s">
        <v>80</v>
      </c>
      <c r="M10" s="19" t="s">
        <v>80</v>
      </c>
      <c r="N10" s="19" t="s">
        <v>80</v>
      </c>
      <c r="O10" s="19">
        <v>145142</v>
      </c>
      <c r="P10" s="19">
        <v>161024</v>
      </c>
      <c r="Q10" s="19">
        <v>185231</v>
      </c>
      <c r="R10" s="19">
        <v>210550.5</v>
      </c>
      <c r="S10" s="19">
        <v>231171</v>
      </c>
      <c r="T10" s="19">
        <v>238136</v>
      </c>
      <c r="U10" s="19">
        <v>997657</v>
      </c>
      <c r="V10" s="19">
        <v>248428</v>
      </c>
      <c r="W10" s="19">
        <v>252213</v>
      </c>
    </row>
    <row r="11" spans="1:23" x14ac:dyDescent="0.25">
      <c r="A11" s="6" t="s">
        <v>787</v>
      </c>
      <c r="B11" s="6" t="s">
        <v>788</v>
      </c>
      <c r="C11" s="20" t="s">
        <v>80</v>
      </c>
      <c r="D11" s="20" t="s">
        <v>80</v>
      </c>
      <c r="E11" s="20" t="s">
        <v>80</v>
      </c>
      <c r="F11" s="20" t="s">
        <v>80</v>
      </c>
      <c r="G11" s="20" t="s">
        <v>80</v>
      </c>
      <c r="H11" s="20" t="s">
        <v>80</v>
      </c>
      <c r="I11" s="20" t="s">
        <v>80</v>
      </c>
      <c r="J11" s="20" t="s">
        <v>80</v>
      </c>
      <c r="K11" s="20" t="s">
        <v>80</v>
      </c>
      <c r="L11" s="20" t="s">
        <v>80</v>
      </c>
      <c r="M11" s="20" t="s">
        <v>80</v>
      </c>
      <c r="N11" s="20" t="s">
        <v>80</v>
      </c>
      <c r="O11" s="20">
        <v>7.25</v>
      </c>
      <c r="P11" s="20">
        <v>8.25</v>
      </c>
      <c r="Q11" s="20" t="s">
        <v>80</v>
      </c>
      <c r="R11" s="20">
        <v>4.25</v>
      </c>
      <c r="S11" s="20">
        <v>5.5</v>
      </c>
      <c r="T11" s="20">
        <v>10.5</v>
      </c>
      <c r="U11" s="20">
        <v>11.25</v>
      </c>
      <c r="V11" s="20">
        <v>10</v>
      </c>
      <c r="W11" s="20">
        <v>7</v>
      </c>
    </row>
    <row r="12" spans="1:23" x14ac:dyDescent="0.25">
      <c r="A12" s="10" t="s">
        <v>789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 s="10" t="s">
        <v>790</v>
      </c>
      <c r="B13" s="10" t="s">
        <v>791</v>
      </c>
      <c r="C13" s="13">
        <v>2755.654</v>
      </c>
      <c r="D13" s="13">
        <v>2668.4479999999999</v>
      </c>
      <c r="E13" s="13">
        <v>9570.4940000000006</v>
      </c>
      <c r="F13" s="13">
        <v>11759</v>
      </c>
      <c r="G13" s="13">
        <v>10411</v>
      </c>
      <c r="H13" s="13">
        <v>11217</v>
      </c>
      <c r="I13" s="13">
        <v>30188</v>
      </c>
      <c r="J13" s="13">
        <v>28572</v>
      </c>
      <c r="K13" s="13">
        <v>7510</v>
      </c>
      <c r="L13" s="13">
        <v>6754</v>
      </c>
      <c r="M13" s="13">
        <v>6394</v>
      </c>
      <c r="N13" s="13">
        <v>5037</v>
      </c>
      <c r="O13" s="13">
        <v>29786</v>
      </c>
      <c r="P13" s="13">
        <v>45796</v>
      </c>
      <c r="Q13" s="13">
        <v>58657</v>
      </c>
      <c r="R13" s="13">
        <v>46240</v>
      </c>
      <c r="S13" s="13">
        <v>60932</v>
      </c>
      <c r="T13" s="13">
        <v>30771</v>
      </c>
      <c r="U13" s="13">
        <v>30883</v>
      </c>
      <c r="V13" s="13">
        <v>38348</v>
      </c>
      <c r="W13" s="13">
        <v>38638</v>
      </c>
    </row>
    <row r="14" spans="1:23" x14ac:dyDescent="0.25">
      <c r="A14" s="10" t="s">
        <v>792</v>
      </c>
      <c r="B14" s="10" t="s">
        <v>793</v>
      </c>
      <c r="C14" s="13" t="s">
        <v>80</v>
      </c>
      <c r="D14" s="13" t="s">
        <v>80</v>
      </c>
      <c r="E14" s="13" t="s">
        <v>80</v>
      </c>
      <c r="F14" s="13" t="s">
        <v>80</v>
      </c>
      <c r="G14" s="13">
        <v>119</v>
      </c>
      <c r="H14" s="13">
        <v>49</v>
      </c>
      <c r="I14" s="13">
        <v>43</v>
      </c>
      <c r="J14" s="13">
        <v>351</v>
      </c>
      <c r="K14" s="13">
        <v>477</v>
      </c>
      <c r="L14" s="13">
        <v>922</v>
      </c>
      <c r="M14" s="13">
        <v>462</v>
      </c>
      <c r="N14" s="13">
        <v>438</v>
      </c>
      <c r="O14" s="13">
        <v>783</v>
      </c>
      <c r="P14" s="13">
        <v>961</v>
      </c>
      <c r="Q14" s="13">
        <v>677</v>
      </c>
      <c r="R14" s="13">
        <v>946</v>
      </c>
      <c r="S14" s="13">
        <v>1026</v>
      </c>
      <c r="T14" s="13">
        <v>975</v>
      </c>
      <c r="U14" s="13">
        <v>938</v>
      </c>
      <c r="V14" s="13">
        <v>1219</v>
      </c>
      <c r="W14" s="13">
        <v>1297</v>
      </c>
    </row>
    <row r="15" spans="1:23" x14ac:dyDescent="0.25">
      <c r="A15" s="10" t="s">
        <v>794</v>
      </c>
      <c r="B15" s="10" t="s">
        <v>795</v>
      </c>
      <c r="C15" s="13" t="s">
        <v>80</v>
      </c>
      <c r="D15" s="13" t="s">
        <v>80</v>
      </c>
      <c r="E15" s="13" t="s">
        <v>80</v>
      </c>
      <c r="F15" s="13" t="s">
        <v>80</v>
      </c>
      <c r="G15" s="13" t="s">
        <v>80</v>
      </c>
      <c r="H15" s="13" t="s">
        <v>80</v>
      </c>
      <c r="I15" s="13">
        <v>0</v>
      </c>
      <c r="J15" s="13">
        <v>0</v>
      </c>
      <c r="K15" s="13">
        <v>0</v>
      </c>
      <c r="L15" s="13" t="s">
        <v>80</v>
      </c>
      <c r="M15" s="13">
        <v>0</v>
      </c>
      <c r="N15" s="13">
        <v>5299</v>
      </c>
      <c r="O15" s="13">
        <v>0</v>
      </c>
      <c r="P15" s="13" t="s">
        <v>80</v>
      </c>
      <c r="Q15" s="13" t="s">
        <v>80</v>
      </c>
      <c r="R15" s="13" t="s">
        <v>80</v>
      </c>
      <c r="S15" s="13" t="s">
        <v>80</v>
      </c>
      <c r="T15" s="13" t="s">
        <v>80</v>
      </c>
      <c r="U15" s="13" t="s">
        <v>80</v>
      </c>
      <c r="V15" s="13">
        <v>0</v>
      </c>
      <c r="W15" s="13">
        <v>2779</v>
      </c>
    </row>
    <row r="16" spans="1:23" x14ac:dyDescent="0.25">
      <c r="A16" s="10" t="s">
        <v>796</v>
      </c>
      <c r="B16" s="10" t="s">
        <v>797</v>
      </c>
      <c r="C16" s="13">
        <v>5721.5969999999998</v>
      </c>
      <c r="D16" s="13">
        <v>5712.902</v>
      </c>
      <c r="E16" s="13">
        <v>8097.7070000000003</v>
      </c>
      <c r="F16" s="13">
        <v>8429</v>
      </c>
      <c r="G16" s="13">
        <v>8622</v>
      </c>
      <c r="H16" s="13">
        <v>9316</v>
      </c>
      <c r="I16" s="13">
        <v>11785</v>
      </c>
      <c r="J16" s="13">
        <v>11986</v>
      </c>
      <c r="K16" s="13">
        <v>12033</v>
      </c>
      <c r="L16" s="13">
        <v>12845</v>
      </c>
      <c r="M16" s="13">
        <v>14537</v>
      </c>
      <c r="N16" s="13">
        <v>15829</v>
      </c>
      <c r="O16" s="13">
        <v>18170</v>
      </c>
      <c r="P16" s="13">
        <v>17684</v>
      </c>
      <c r="Q16" s="13">
        <v>18763</v>
      </c>
      <c r="R16" s="13">
        <v>32627</v>
      </c>
      <c r="S16" s="13">
        <v>21451</v>
      </c>
      <c r="T16" s="13">
        <v>28785</v>
      </c>
      <c r="U16" s="13">
        <v>30551</v>
      </c>
      <c r="V16" s="13">
        <v>31913</v>
      </c>
      <c r="W16" s="13">
        <v>35284</v>
      </c>
    </row>
    <row r="17" spans="1:23" x14ac:dyDescent="0.25">
      <c r="A17" s="10" t="s">
        <v>798</v>
      </c>
      <c r="B17" s="10" t="s">
        <v>799</v>
      </c>
      <c r="C17" s="13">
        <v>809.30600000000004</v>
      </c>
      <c r="D17" s="13">
        <v>970.15099999999995</v>
      </c>
      <c r="E17" s="13">
        <v>214.51300000000001</v>
      </c>
      <c r="F17" s="13">
        <v>471</v>
      </c>
      <c r="G17" s="13">
        <v>1411</v>
      </c>
      <c r="H17" s="13">
        <v>1340</v>
      </c>
      <c r="I17" s="13">
        <v>0</v>
      </c>
      <c r="J17" s="13">
        <v>0</v>
      </c>
      <c r="K17" s="13">
        <v>0</v>
      </c>
      <c r="L17" s="13">
        <v>2311</v>
      </c>
      <c r="M17" s="13">
        <v>2785</v>
      </c>
      <c r="N17" s="13">
        <v>3994</v>
      </c>
      <c r="O17" s="13">
        <v>2949</v>
      </c>
      <c r="P17" s="13">
        <v>4318</v>
      </c>
      <c r="Q17" s="13">
        <v>626</v>
      </c>
      <c r="R17" s="13" t="s">
        <v>80</v>
      </c>
      <c r="S17" s="13">
        <v>0</v>
      </c>
      <c r="T17" s="13" t="s">
        <v>80</v>
      </c>
      <c r="U17" s="13">
        <v>0</v>
      </c>
      <c r="V17" s="13" t="s">
        <v>80</v>
      </c>
      <c r="W17" s="13">
        <v>3437</v>
      </c>
    </row>
    <row r="18" spans="1:23" x14ac:dyDescent="0.25">
      <c r="A18" s="10" t="s">
        <v>800</v>
      </c>
      <c r="B18" s="10" t="s">
        <v>801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 t="s">
        <v>80</v>
      </c>
      <c r="K18" s="13">
        <v>22366</v>
      </c>
      <c r="L18" s="13">
        <v>24697</v>
      </c>
      <c r="M18" s="13">
        <v>28860</v>
      </c>
      <c r="N18" s="13">
        <v>26315</v>
      </c>
      <c r="O18" s="13" t="s">
        <v>80</v>
      </c>
      <c r="P18" s="13" t="s">
        <v>80</v>
      </c>
      <c r="Q18" s="13" t="s">
        <v>80</v>
      </c>
      <c r="R18" s="13" t="s">
        <v>80</v>
      </c>
      <c r="S18" s="13" t="s">
        <v>80</v>
      </c>
      <c r="T18" s="13" t="s">
        <v>80</v>
      </c>
      <c r="U18" s="13" t="s">
        <v>80</v>
      </c>
      <c r="V18" s="13" t="s">
        <v>80</v>
      </c>
      <c r="W18" s="13" t="s">
        <v>80</v>
      </c>
    </row>
    <row r="19" spans="1:23" x14ac:dyDescent="0.25">
      <c r="A19" s="10" t="s">
        <v>802</v>
      </c>
      <c r="B19" s="10" t="s">
        <v>803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 t="s">
        <v>80</v>
      </c>
      <c r="J19" s="13" t="s">
        <v>80</v>
      </c>
      <c r="K19" s="13" t="s">
        <v>80</v>
      </c>
      <c r="L19" s="13" t="s">
        <v>80</v>
      </c>
      <c r="M19" s="13" t="s">
        <v>80</v>
      </c>
      <c r="N19" s="13" t="s">
        <v>80</v>
      </c>
      <c r="O19" s="13" t="s">
        <v>80</v>
      </c>
      <c r="P19" s="13" t="s">
        <v>80</v>
      </c>
      <c r="Q19" s="13" t="s">
        <v>80</v>
      </c>
      <c r="R19" s="13" t="s">
        <v>80</v>
      </c>
      <c r="S19" s="13" t="s">
        <v>80</v>
      </c>
      <c r="T19" s="13">
        <v>18088</v>
      </c>
      <c r="U19" s="13">
        <v>17270</v>
      </c>
      <c r="V19" s="13">
        <v>14898</v>
      </c>
      <c r="W19" s="13">
        <v>11590</v>
      </c>
    </row>
    <row r="20" spans="1:23" x14ac:dyDescent="0.25">
      <c r="A20" s="10" t="s">
        <v>804</v>
      </c>
      <c r="B20" s="10" t="s">
        <v>805</v>
      </c>
      <c r="C20" s="13" t="s">
        <v>80</v>
      </c>
      <c r="D20" s="13" t="s">
        <v>80</v>
      </c>
      <c r="E20" s="13" t="s">
        <v>80</v>
      </c>
      <c r="F20" s="13" t="s">
        <v>80</v>
      </c>
      <c r="G20" s="13">
        <v>3121</v>
      </c>
      <c r="H20" s="13">
        <v>2950</v>
      </c>
      <c r="I20" s="13">
        <v>15689</v>
      </c>
      <c r="J20" s="13">
        <v>15356</v>
      </c>
      <c r="K20" s="13">
        <v>15381</v>
      </c>
      <c r="L20" s="13">
        <v>15771</v>
      </c>
      <c r="M20" s="13">
        <v>16362</v>
      </c>
      <c r="N20" s="13">
        <v>12679</v>
      </c>
      <c r="O20" s="13" t="s">
        <v>80</v>
      </c>
      <c r="P20" s="13" t="s">
        <v>80</v>
      </c>
      <c r="Q20" s="13" t="s">
        <v>80</v>
      </c>
      <c r="R20" s="13" t="s">
        <v>80</v>
      </c>
      <c r="S20" s="13" t="s">
        <v>80</v>
      </c>
      <c r="T20" s="13">
        <v>26741</v>
      </c>
      <c r="U20" s="13">
        <v>26825</v>
      </c>
      <c r="V20" s="13">
        <v>28067</v>
      </c>
      <c r="W20" s="13">
        <v>27478</v>
      </c>
    </row>
    <row r="21" spans="1:23" x14ac:dyDescent="0.25">
      <c r="A21" s="10" t="s">
        <v>806</v>
      </c>
      <c r="B21" s="10" t="s">
        <v>807</v>
      </c>
      <c r="C21" s="13" t="s">
        <v>80</v>
      </c>
      <c r="D21" s="13" t="s">
        <v>80</v>
      </c>
      <c r="E21" s="13" t="s">
        <v>80</v>
      </c>
      <c r="F21" s="13" t="s">
        <v>80</v>
      </c>
      <c r="G21" s="13" t="s">
        <v>80</v>
      </c>
      <c r="H21" s="13" t="s">
        <v>80</v>
      </c>
      <c r="I21" s="13" t="s">
        <v>80</v>
      </c>
      <c r="J21" s="13" t="s">
        <v>80</v>
      </c>
      <c r="K21" s="13" t="s">
        <v>80</v>
      </c>
      <c r="L21" s="13">
        <v>89758</v>
      </c>
      <c r="M21" s="13">
        <v>99825</v>
      </c>
      <c r="N21" s="13">
        <v>114718</v>
      </c>
      <c r="O21" s="13">
        <v>135334</v>
      </c>
      <c r="P21" s="13">
        <v>152271</v>
      </c>
      <c r="Q21" s="13">
        <v>166921</v>
      </c>
      <c r="R21" s="13">
        <v>186409</v>
      </c>
      <c r="S21" s="13">
        <v>199858</v>
      </c>
      <c r="T21" s="13">
        <v>226454</v>
      </c>
      <c r="U21" s="13">
        <v>253281</v>
      </c>
      <c r="V21" s="13">
        <v>272998</v>
      </c>
      <c r="W21" s="13">
        <v>295419</v>
      </c>
    </row>
    <row r="22" spans="1:23" x14ac:dyDescent="0.25">
      <c r="A22" s="10" t="s">
        <v>808</v>
      </c>
      <c r="B22" s="10" t="s">
        <v>809</v>
      </c>
      <c r="C22" s="13">
        <v>2984.1019999999999</v>
      </c>
      <c r="D22" s="13">
        <v>9247.4529999999995</v>
      </c>
      <c r="E22" s="13">
        <v>7753.9979999999996</v>
      </c>
      <c r="F22" s="13">
        <v>6630</v>
      </c>
      <c r="G22" s="13">
        <v>24459</v>
      </c>
      <c r="H22" s="13">
        <v>66181</v>
      </c>
      <c r="I22" s="13">
        <v>115026</v>
      </c>
      <c r="J22" s="13">
        <v>123233</v>
      </c>
      <c r="K22" s="13">
        <v>232926</v>
      </c>
      <c r="L22" s="13">
        <v>248976</v>
      </c>
      <c r="M22" s="13">
        <v>244945</v>
      </c>
      <c r="N22" s="13">
        <v>181777</v>
      </c>
      <c r="O22" s="13">
        <v>239019</v>
      </c>
      <c r="P22" s="13">
        <v>257904</v>
      </c>
      <c r="Q22" s="13">
        <v>233832</v>
      </c>
      <c r="R22" s="13">
        <v>223390</v>
      </c>
      <c r="S22" s="13">
        <v>258201</v>
      </c>
      <c r="T22" s="13">
        <v>289855</v>
      </c>
      <c r="U22" s="13">
        <v>335756</v>
      </c>
      <c r="V22" s="13">
        <v>400772</v>
      </c>
      <c r="W22" s="13">
        <v>436130</v>
      </c>
    </row>
    <row r="23" spans="1:23" x14ac:dyDescent="0.25">
      <c r="A23" s="10" t="s">
        <v>810</v>
      </c>
      <c r="B23" s="10" t="s">
        <v>811</v>
      </c>
      <c r="C23" s="13">
        <v>1309.1079999999999</v>
      </c>
      <c r="D23" s="13">
        <v>239.88499999999999</v>
      </c>
      <c r="E23" s="13">
        <v>10948.22</v>
      </c>
      <c r="F23" s="13">
        <v>11722</v>
      </c>
      <c r="G23" s="13">
        <v>11701</v>
      </c>
      <c r="H23" s="13">
        <v>12288</v>
      </c>
      <c r="I23" s="13">
        <v>53666</v>
      </c>
      <c r="J23" s="13">
        <v>115291</v>
      </c>
      <c r="K23" s="13">
        <v>85031</v>
      </c>
      <c r="L23" s="13">
        <v>104937</v>
      </c>
      <c r="M23" s="13">
        <v>113465</v>
      </c>
      <c r="N23" s="13">
        <v>195087</v>
      </c>
      <c r="O23" s="13">
        <v>168540</v>
      </c>
      <c r="P23" s="13">
        <v>214164</v>
      </c>
      <c r="Q23" s="13">
        <v>202685</v>
      </c>
      <c r="R23" s="13">
        <v>244823</v>
      </c>
      <c r="S23" s="13">
        <v>233594</v>
      </c>
      <c r="T23" s="13">
        <v>209351</v>
      </c>
      <c r="U23" s="13">
        <v>222018</v>
      </c>
      <c r="V23" s="13">
        <v>201079</v>
      </c>
      <c r="W23" s="13">
        <v>199502</v>
      </c>
    </row>
    <row r="24" spans="1:23" x14ac:dyDescent="0.25">
      <c r="A24" s="10" t="s">
        <v>812</v>
      </c>
      <c r="B24" s="10" t="s">
        <v>813</v>
      </c>
      <c r="C24" s="13" t="s">
        <v>80</v>
      </c>
      <c r="D24" s="13" t="s">
        <v>80</v>
      </c>
      <c r="E24" s="13" t="s">
        <v>80</v>
      </c>
      <c r="F24" s="13" t="s">
        <v>80</v>
      </c>
      <c r="G24" s="13">
        <v>163361</v>
      </c>
      <c r="H24" s="13">
        <v>179554</v>
      </c>
      <c r="I24" s="13">
        <v>251745</v>
      </c>
      <c r="J24" s="13">
        <v>282789</v>
      </c>
      <c r="K24" s="13">
        <v>285123</v>
      </c>
      <c r="L24" s="13">
        <v>194504</v>
      </c>
      <c r="M24" s="13">
        <v>212380</v>
      </c>
      <c r="N24" s="13">
        <v>228868</v>
      </c>
      <c r="O24" s="13">
        <v>233777</v>
      </c>
      <c r="P24" s="13">
        <v>302845</v>
      </c>
      <c r="Q24" s="13">
        <v>293499</v>
      </c>
      <c r="R24" s="13">
        <v>327713</v>
      </c>
      <c r="S24" s="13">
        <v>333265</v>
      </c>
      <c r="T24" s="13">
        <v>358601</v>
      </c>
      <c r="U24" s="13">
        <v>410277</v>
      </c>
      <c r="V24" s="13">
        <v>484349</v>
      </c>
      <c r="W24" s="13">
        <v>512509</v>
      </c>
    </row>
    <row r="25" spans="1:23" x14ac:dyDescent="0.25">
      <c r="A25" s="10" t="s">
        <v>814</v>
      </c>
      <c r="B25" s="10" t="s">
        <v>815</v>
      </c>
      <c r="C25" s="13" t="s">
        <v>80</v>
      </c>
      <c r="D25" s="13" t="s">
        <v>80</v>
      </c>
      <c r="E25" s="13" t="s">
        <v>80</v>
      </c>
      <c r="F25" s="13" t="s">
        <v>80</v>
      </c>
      <c r="G25" s="13">
        <v>25712</v>
      </c>
      <c r="H25" s="13">
        <v>27828</v>
      </c>
      <c r="I25" s="13">
        <v>34246</v>
      </c>
      <c r="J25" s="13">
        <v>46036</v>
      </c>
      <c r="K25" s="13">
        <v>57883</v>
      </c>
      <c r="L25" s="13" t="s">
        <v>80</v>
      </c>
      <c r="M25" s="13" t="s">
        <v>80</v>
      </c>
      <c r="N25" s="13" t="s">
        <v>80</v>
      </c>
      <c r="O25" s="13" t="s">
        <v>80</v>
      </c>
      <c r="P25" s="13" t="s">
        <v>80</v>
      </c>
      <c r="Q25" s="13" t="s">
        <v>80</v>
      </c>
      <c r="R25" s="13" t="s">
        <v>80</v>
      </c>
      <c r="S25" s="13" t="s">
        <v>80</v>
      </c>
      <c r="T25" s="13" t="s">
        <v>80</v>
      </c>
      <c r="U25" s="13" t="s">
        <v>80</v>
      </c>
      <c r="V25" s="13" t="s">
        <v>80</v>
      </c>
      <c r="W25" s="13" t="s">
        <v>80</v>
      </c>
    </row>
    <row r="26" spans="1:23" x14ac:dyDescent="0.25">
      <c r="A26" s="10" t="s">
        <v>816</v>
      </c>
      <c r="B26" s="10" t="s">
        <v>817</v>
      </c>
      <c r="C26" s="13" t="s">
        <v>80</v>
      </c>
      <c r="D26" s="13" t="s">
        <v>80</v>
      </c>
      <c r="E26" s="13" t="s">
        <v>80</v>
      </c>
      <c r="F26" s="13" t="s">
        <v>80</v>
      </c>
      <c r="G26" s="13" t="s">
        <v>80</v>
      </c>
      <c r="H26" s="13" t="s">
        <v>80</v>
      </c>
      <c r="I26" s="13" t="s">
        <v>80</v>
      </c>
      <c r="J26" s="13" t="s">
        <v>80</v>
      </c>
      <c r="K26" s="13" t="s">
        <v>80</v>
      </c>
      <c r="L26" s="13">
        <v>23209</v>
      </c>
      <c r="M26" s="13">
        <v>24855</v>
      </c>
      <c r="N26" s="13">
        <v>28445</v>
      </c>
      <c r="O26" s="13">
        <v>33906</v>
      </c>
      <c r="P26" s="13" t="s">
        <v>80</v>
      </c>
      <c r="Q26" s="13" t="s">
        <v>80</v>
      </c>
      <c r="R26" s="13" t="s">
        <v>80</v>
      </c>
      <c r="S26" s="13" t="s">
        <v>80</v>
      </c>
      <c r="T26" s="13" t="s">
        <v>80</v>
      </c>
      <c r="U26" s="13" t="s">
        <v>80</v>
      </c>
      <c r="V26" s="13" t="s">
        <v>80</v>
      </c>
      <c r="W26" s="13" t="s">
        <v>80</v>
      </c>
    </row>
    <row r="27" spans="1:23" x14ac:dyDescent="0.25">
      <c r="A27" s="10" t="s">
        <v>818</v>
      </c>
      <c r="B27" s="10" t="s">
        <v>819</v>
      </c>
      <c r="C27" s="13" t="s">
        <v>80</v>
      </c>
      <c r="D27" s="13" t="s">
        <v>80</v>
      </c>
      <c r="E27" s="13">
        <v>37215.671999999999</v>
      </c>
      <c r="F27" s="13">
        <v>47028</v>
      </c>
      <c r="G27" s="13">
        <v>49881</v>
      </c>
      <c r="H27" s="13">
        <v>56168</v>
      </c>
      <c r="I27" s="13">
        <v>64567</v>
      </c>
      <c r="J27" s="13">
        <v>72608</v>
      </c>
      <c r="K27" s="13">
        <v>82033</v>
      </c>
      <c r="L27" s="13" t="s">
        <v>80</v>
      </c>
      <c r="M27" s="13" t="s">
        <v>80</v>
      </c>
      <c r="N27" s="13" t="s">
        <v>80</v>
      </c>
      <c r="O27" s="13" t="s">
        <v>80</v>
      </c>
      <c r="P27" s="13" t="s">
        <v>80</v>
      </c>
      <c r="Q27" s="13" t="s">
        <v>80</v>
      </c>
      <c r="R27" s="13" t="s">
        <v>80</v>
      </c>
      <c r="S27" s="13" t="s">
        <v>80</v>
      </c>
      <c r="T27" s="13" t="s">
        <v>80</v>
      </c>
      <c r="U27" s="13" t="s">
        <v>80</v>
      </c>
      <c r="V27" s="13" t="s">
        <v>80</v>
      </c>
      <c r="W27" s="13" t="s">
        <v>80</v>
      </c>
    </row>
    <row r="28" spans="1:23" x14ac:dyDescent="0.25">
      <c r="A28" s="10" t="s">
        <v>820</v>
      </c>
      <c r="B28" s="10" t="s">
        <v>821</v>
      </c>
      <c r="C28" s="13" t="s">
        <v>80</v>
      </c>
      <c r="D28" s="13" t="s">
        <v>80</v>
      </c>
      <c r="E28" s="13" t="s">
        <v>80</v>
      </c>
      <c r="F28" s="13" t="s">
        <v>80</v>
      </c>
      <c r="G28" s="13" t="s">
        <v>80</v>
      </c>
      <c r="H28" s="13" t="s">
        <v>80</v>
      </c>
      <c r="I28" s="13" t="s">
        <v>80</v>
      </c>
      <c r="J28" s="13" t="s">
        <v>80</v>
      </c>
      <c r="K28" s="13" t="s">
        <v>80</v>
      </c>
      <c r="L28" s="13">
        <v>34098</v>
      </c>
      <c r="M28" s="13">
        <v>38482</v>
      </c>
      <c r="N28" s="13">
        <v>44838</v>
      </c>
      <c r="O28" s="13">
        <v>52469</v>
      </c>
      <c r="P28" s="13">
        <v>113441</v>
      </c>
      <c r="Q28" s="13">
        <v>117680</v>
      </c>
      <c r="R28" s="13">
        <v>121189</v>
      </c>
      <c r="S28" s="13">
        <v>124893</v>
      </c>
      <c r="T28" s="13">
        <v>147880</v>
      </c>
      <c r="U28" s="13">
        <v>180084</v>
      </c>
      <c r="V28" s="13">
        <v>208741</v>
      </c>
      <c r="W28" s="13">
        <v>241777</v>
      </c>
    </row>
    <row r="29" spans="1:23" x14ac:dyDescent="0.25">
      <c r="A29" s="10" t="s">
        <v>822</v>
      </c>
      <c r="B29" s="10" t="s">
        <v>823</v>
      </c>
      <c r="C29" s="13">
        <v>37472.17</v>
      </c>
      <c r="D29" s="13">
        <v>40070.341</v>
      </c>
      <c r="E29" s="13" t="s">
        <v>80</v>
      </c>
      <c r="F29" s="13">
        <v>128501</v>
      </c>
      <c r="G29" s="13" t="s">
        <v>80</v>
      </c>
      <c r="H29" s="13" t="s">
        <v>80</v>
      </c>
      <c r="I29" s="13" t="s">
        <v>80</v>
      </c>
      <c r="J29" s="13" t="s">
        <v>80</v>
      </c>
      <c r="K29" s="13" t="s">
        <v>80</v>
      </c>
      <c r="L29" s="13" t="s">
        <v>80</v>
      </c>
      <c r="M29" s="13" t="s">
        <v>80</v>
      </c>
      <c r="N29" s="13" t="s">
        <v>80</v>
      </c>
      <c r="O29" s="13" t="s">
        <v>80</v>
      </c>
      <c r="P29" s="13" t="s">
        <v>80</v>
      </c>
      <c r="Q29" s="13" t="s">
        <v>80</v>
      </c>
      <c r="R29" s="13" t="s">
        <v>80</v>
      </c>
      <c r="S29" s="13" t="s">
        <v>80</v>
      </c>
      <c r="T29" s="13" t="s">
        <v>80</v>
      </c>
      <c r="U29" s="13" t="s">
        <v>80</v>
      </c>
      <c r="V29" s="13" t="s">
        <v>80</v>
      </c>
      <c r="W29" s="13" t="s">
        <v>80</v>
      </c>
    </row>
    <row r="30" spans="1:23" x14ac:dyDescent="0.25">
      <c r="A30" s="10" t="s">
        <v>824</v>
      </c>
      <c r="B30" s="10" t="s">
        <v>825</v>
      </c>
      <c r="C30" s="13">
        <v>117258.45600000001</v>
      </c>
      <c r="D30" s="13">
        <v>112428.28</v>
      </c>
      <c r="E30" s="13">
        <v>159315.71299999999</v>
      </c>
      <c r="F30" s="13">
        <v>72766</v>
      </c>
      <c r="G30" s="13" t="s">
        <v>80</v>
      </c>
      <c r="H30" s="13" t="s">
        <v>80</v>
      </c>
      <c r="I30" s="13" t="s">
        <v>80</v>
      </c>
      <c r="J30" s="13" t="s">
        <v>80</v>
      </c>
      <c r="K30" s="13" t="s">
        <v>80</v>
      </c>
      <c r="L30" s="13">
        <v>119125</v>
      </c>
      <c r="M30" s="13">
        <v>130248</v>
      </c>
      <c r="N30" s="13">
        <v>134889</v>
      </c>
      <c r="O30" s="13">
        <v>134977</v>
      </c>
      <c r="P30" s="13">
        <v>200900</v>
      </c>
      <c r="Q30" s="13">
        <v>177153</v>
      </c>
      <c r="R30" s="13">
        <v>164586</v>
      </c>
      <c r="S30" s="13">
        <v>160407</v>
      </c>
      <c r="T30" s="13">
        <v>177255</v>
      </c>
      <c r="U30" s="13">
        <v>177085</v>
      </c>
      <c r="V30" s="13">
        <v>189198</v>
      </c>
      <c r="W30" s="13">
        <v>189244</v>
      </c>
    </row>
    <row r="31" spans="1:23" x14ac:dyDescent="0.25">
      <c r="A31" s="10" t="s">
        <v>826</v>
      </c>
      <c r="B31" s="10" t="s">
        <v>827</v>
      </c>
      <c r="C31" s="13">
        <v>5608.7269999999999</v>
      </c>
      <c r="D31" s="13">
        <v>4316.1509999999998</v>
      </c>
      <c r="E31" s="13">
        <v>3786.0619999999999</v>
      </c>
      <c r="F31" s="13">
        <v>6690</v>
      </c>
      <c r="G31" s="13">
        <v>7535</v>
      </c>
      <c r="H31" s="13">
        <v>8245</v>
      </c>
      <c r="I31" s="13">
        <v>9944</v>
      </c>
      <c r="J31" s="13">
        <v>11734</v>
      </c>
      <c r="K31" s="13">
        <v>14289</v>
      </c>
      <c r="L31" s="13">
        <v>15287</v>
      </c>
      <c r="M31" s="13">
        <v>13813</v>
      </c>
      <c r="N31" s="13">
        <v>14384</v>
      </c>
      <c r="O31" s="13">
        <v>16122</v>
      </c>
      <c r="P31" s="13">
        <v>18844</v>
      </c>
      <c r="Q31" s="13">
        <v>17639</v>
      </c>
      <c r="R31" s="13">
        <v>20004</v>
      </c>
      <c r="S31" s="13">
        <v>16251</v>
      </c>
      <c r="T31" s="13">
        <v>17899</v>
      </c>
      <c r="U31" s="13">
        <v>19857</v>
      </c>
      <c r="V31" s="13">
        <v>20434</v>
      </c>
      <c r="W31" s="13">
        <v>24097</v>
      </c>
    </row>
    <row r="32" spans="1:23" x14ac:dyDescent="0.25">
      <c r="A32" s="10" t="s">
        <v>828</v>
      </c>
      <c r="B32" s="10" t="s">
        <v>829</v>
      </c>
      <c r="C32" s="13">
        <v>75.028999999999996</v>
      </c>
      <c r="D32" s="13">
        <v>50.965000000000003</v>
      </c>
      <c r="E32" s="13" t="s">
        <v>80</v>
      </c>
      <c r="F32" s="13">
        <v>149</v>
      </c>
      <c r="G32" s="13">
        <v>4</v>
      </c>
      <c r="H32" s="13">
        <v>583</v>
      </c>
      <c r="I32" s="13">
        <v>3830</v>
      </c>
      <c r="J32" s="13">
        <v>5694</v>
      </c>
      <c r="K32" s="13">
        <v>202</v>
      </c>
      <c r="L32" s="13">
        <v>871</v>
      </c>
      <c r="M32" s="13">
        <v>493</v>
      </c>
      <c r="N32" s="13">
        <v>0</v>
      </c>
      <c r="O32" s="13">
        <v>678</v>
      </c>
      <c r="P32" s="13">
        <v>1021</v>
      </c>
      <c r="Q32" s="13" t="s">
        <v>80</v>
      </c>
      <c r="R32" s="13">
        <v>4036</v>
      </c>
      <c r="S32" s="13">
        <v>4487</v>
      </c>
      <c r="T32" s="13">
        <v>22826</v>
      </c>
      <c r="U32" s="13">
        <v>41606</v>
      </c>
      <c r="V32" s="13">
        <v>4002</v>
      </c>
      <c r="W32" s="13">
        <v>2950</v>
      </c>
    </row>
    <row r="33" spans="1:23" x14ac:dyDescent="0.25">
      <c r="A33" s="10" t="s">
        <v>830</v>
      </c>
      <c r="B33" s="10" t="s">
        <v>831</v>
      </c>
      <c r="C33" s="13" t="s">
        <v>80</v>
      </c>
      <c r="D33" s="13" t="s">
        <v>80</v>
      </c>
      <c r="E33" s="13" t="s">
        <v>80</v>
      </c>
      <c r="F33" s="13" t="s">
        <v>80</v>
      </c>
      <c r="G33" s="13" t="s">
        <v>80</v>
      </c>
      <c r="H33" s="13" t="s">
        <v>80</v>
      </c>
      <c r="I33" s="13" t="s">
        <v>80</v>
      </c>
      <c r="J33" s="13" t="s">
        <v>80</v>
      </c>
      <c r="K33" s="13" t="s">
        <v>80</v>
      </c>
      <c r="L33" s="13" t="s">
        <v>80</v>
      </c>
      <c r="M33" s="13" t="s">
        <v>80</v>
      </c>
      <c r="N33" s="13" t="s">
        <v>80</v>
      </c>
      <c r="O33" s="13">
        <v>5944</v>
      </c>
      <c r="P33" s="13">
        <v>7735</v>
      </c>
      <c r="Q33" s="13">
        <v>7389</v>
      </c>
      <c r="R33" s="13">
        <v>11172</v>
      </c>
      <c r="S33" s="13">
        <v>10916</v>
      </c>
      <c r="T33" s="13">
        <v>18277</v>
      </c>
      <c r="U33" s="13">
        <v>25470</v>
      </c>
      <c r="V33" s="13">
        <v>39171</v>
      </c>
      <c r="W33" s="13">
        <v>48645</v>
      </c>
    </row>
    <row r="34" spans="1:23" x14ac:dyDescent="0.25">
      <c r="A34" s="10" t="s">
        <v>832</v>
      </c>
      <c r="B34" s="10" t="s">
        <v>833</v>
      </c>
      <c r="C34" s="13">
        <v>7693.0950000000003</v>
      </c>
      <c r="D34" s="13">
        <v>9367.69</v>
      </c>
      <c r="E34" s="13">
        <v>759.79700000000003</v>
      </c>
      <c r="F34" s="13">
        <v>221617</v>
      </c>
      <c r="G34" s="13">
        <v>190332</v>
      </c>
      <c r="H34" s="13">
        <v>139913</v>
      </c>
      <c r="I34" s="13">
        <v>162148</v>
      </c>
      <c r="J34" s="13">
        <v>106849</v>
      </c>
      <c r="K34" s="13">
        <v>96730</v>
      </c>
      <c r="L34" s="13">
        <v>77736</v>
      </c>
      <c r="M34" s="13">
        <v>83115</v>
      </c>
      <c r="N34" s="13">
        <v>81920</v>
      </c>
      <c r="O34" s="13">
        <v>95310</v>
      </c>
      <c r="P34" s="13">
        <v>128038</v>
      </c>
      <c r="Q34" s="13">
        <v>150606</v>
      </c>
      <c r="R34" s="13">
        <v>193652</v>
      </c>
      <c r="S34" s="13">
        <v>258562</v>
      </c>
      <c r="T34" s="13">
        <v>313244</v>
      </c>
      <c r="U34" s="13">
        <v>338578</v>
      </c>
      <c r="V34" s="13">
        <v>374746</v>
      </c>
      <c r="W34" s="13">
        <v>387090</v>
      </c>
    </row>
    <row r="35" spans="1:23" x14ac:dyDescent="0.25">
      <c r="A35" s="10" t="s">
        <v>834</v>
      </c>
      <c r="B35" s="10" t="s">
        <v>835</v>
      </c>
      <c r="C35" s="13">
        <v>10.032</v>
      </c>
      <c r="D35" s="13">
        <v>2.8860000000000001</v>
      </c>
      <c r="E35" s="13" t="s">
        <v>80</v>
      </c>
      <c r="F35" s="13">
        <v>8168</v>
      </c>
      <c r="G35" s="13" t="s">
        <v>80</v>
      </c>
      <c r="H35" s="13" t="s">
        <v>80</v>
      </c>
      <c r="I35" s="13" t="s">
        <v>80</v>
      </c>
      <c r="J35" s="13" t="s">
        <v>80</v>
      </c>
      <c r="K35" s="13" t="s">
        <v>80</v>
      </c>
      <c r="L35" s="13" t="s">
        <v>80</v>
      </c>
      <c r="M35" s="13" t="s">
        <v>80</v>
      </c>
      <c r="N35" s="13" t="s">
        <v>80</v>
      </c>
      <c r="O35" s="13" t="s">
        <v>80</v>
      </c>
      <c r="P35" s="13" t="s">
        <v>80</v>
      </c>
      <c r="Q35" s="13" t="s">
        <v>80</v>
      </c>
      <c r="R35" s="13" t="s">
        <v>80</v>
      </c>
      <c r="S35" s="13" t="s">
        <v>80</v>
      </c>
      <c r="T35" s="13" t="s">
        <v>80</v>
      </c>
      <c r="U35" s="13" t="s">
        <v>80</v>
      </c>
      <c r="V35" s="13" t="s">
        <v>80</v>
      </c>
      <c r="W35" s="13" t="s">
        <v>80</v>
      </c>
    </row>
    <row r="36" spans="1:23" x14ac:dyDescent="0.25">
      <c r="A36" s="10" t="s">
        <v>63</v>
      </c>
      <c r="B36" s="10" t="s">
        <v>836</v>
      </c>
      <c r="C36" s="13">
        <v>154730.62599999999</v>
      </c>
      <c r="D36" s="13">
        <v>152498.62100000001</v>
      </c>
      <c r="E36" s="13">
        <v>196531.38500000001</v>
      </c>
      <c r="F36" s="13">
        <v>245246</v>
      </c>
      <c r="G36" s="13">
        <v>245108</v>
      </c>
      <c r="H36" s="13">
        <v>270214</v>
      </c>
      <c r="I36" s="13">
        <v>357506</v>
      </c>
      <c r="J36" s="13">
        <v>409914</v>
      </c>
      <c r="K36" s="13">
        <v>438693</v>
      </c>
      <c r="L36" s="13" t="s">
        <v>80</v>
      </c>
      <c r="M36" s="13" t="s">
        <v>80</v>
      </c>
      <c r="N36" s="13" t="s">
        <v>80</v>
      </c>
      <c r="O36" s="13" t="s">
        <v>80</v>
      </c>
      <c r="P36" s="13">
        <v>790455</v>
      </c>
      <c r="Q36" s="13">
        <v>775448</v>
      </c>
      <c r="R36" s="13">
        <v>811069</v>
      </c>
      <c r="S36" s="13">
        <v>829339</v>
      </c>
      <c r="T36" s="13">
        <v>929855</v>
      </c>
      <c r="U36" s="13">
        <v>1042817</v>
      </c>
      <c r="V36" s="13">
        <v>1190781</v>
      </c>
      <c r="W36" s="13">
        <v>1294927</v>
      </c>
    </row>
    <row r="37" spans="1:23" x14ac:dyDescent="0.25">
      <c r="A37" s="10" t="s">
        <v>114</v>
      </c>
      <c r="B37" s="10" t="s">
        <v>837</v>
      </c>
      <c r="C37" s="13">
        <v>149121.899</v>
      </c>
      <c r="D37" s="13">
        <v>148182.47</v>
      </c>
      <c r="E37" s="13">
        <v>192745.323</v>
      </c>
      <c r="F37" s="13">
        <v>241605</v>
      </c>
      <c r="G37" s="13">
        <v>237573</v>
      </c>
      <c r="H37" s="13">
        <v>261969</v>
      </c>
      <c r="I37" s="13">
        <v>347562</v>
      </c>
      <c r="J37" s="13">
        <v>398180</v>
      </c>
      <c r="K37" s="13">
        <v>427925</v>
      </c>
      <c r="L37" s="13">
        <v>470775</v>
      </c>
      <c r="M37" s="13">
        <v>516278</v>
      </c>
      <c r="N37" s="13">
        <v>562733</v>
      </c>
      <c r="O37" s="13">
        <v>611958</v>
      </c>
      <c r="P37" s="13">
        <v>771611</v>
      </c>
      <c r="Q37" s="13">
        <v>757809</v>
      </c>
      <c r="R37" s="13">
        <v>791065</v>
      </c>
      <c r="S37" s="13">
        <v>813088</v>
      </c>
      <c r="T37" s="13">
        <v>917840</v>
      </c>
      <c r="U37" s="13">
        <v>1029943</v>
      </c>
      <c r="V37" s="13">
        <v>1178167</v>
      </c>
      <c r="W37" s="13">
        <v>1270830</v>
      </c>
    </row>
    <row r="38" spans="1:23" x14ac:dyDescent="0.25">
      <c r="A38" s="10" t="s">
        <v>65</v>
      </c>
      <c r="B38" s="10" t="s">
        <v>838</v>
      </c>
      <c r="C38" s="13">
        <v>199520.74400000001</v>
      </c>
      <c r="D38" s="13">
        <v>213186.59299999999</v>
      </c>
      <c r="E38" s="13">
        <v>287928.28399999999</v>
      </c>
      <c r="F38" s="13">
        <v>577025</v>
      </c>
      <c r="G38" s="13">
        <v>567138</v>
      </c>
      <c r="H38" s="13">
        <v>590558</v>
      </c>
      <c r="I38" s="13">
        <v>829277</v>
      </c>
      <c r="J38" s="13">
        <v>916566</v>
      </c>
      <c r="K38" s="13">
        <v>1006788</v>
      </c>
      <c r="L38" s="13">
        <v>1097982</v>
      </c>
      <c r="M38" s="13">
        <v>1198476</v>
      </c>
      <c r="N38" s="13">
        <v>1268119</v>
      </c>
      <c r="O38" s="13">
        <v>1354147</v>
      </c>
      <c r="P38" s="13">
        <v>1620470</v>
      </c>
      <c r="Q38" s="13">
        <v>1580010</v>
      </c>
      <c r="R38" s="13">
        <v>1787904</v>
      </c>
      <c r="S38" s="13">
        <v>1850879</v>
      </c>
      <c r="T38" s="13">
        <v>2070072</v>
      </c>
      <c r="U38" s="13">
        <v>2274859</v>
      </c>
      <c r="V38" s="13">
        <v>2471209</v>
      </c>
      <c r="W38" s="13">
        <v>2598663</v>
      </c>
    </row>
    <row r="39" spans="1:23" x14ac:dyDescent="0.25">
      <c r="A39" s="10" t="s">
        <v>839</v>
      </c>
      <c r="B39" s="10" t="s">
        <v>840</v>
      </c>
      <c r="C39" s="13">
        <v>2636.194</v>
      </c>
      <c r="D39" s="13">
        <v>2230.5250000000001</v>
      </c>
      <c r="E39" s="13">
        <v>11277.56</v>
      </c>
      <c r="F39" s="13">
        <v>9514</v>
      </c>
      <c r="G39" s="13">
        <v>13872</v>
      </c>
      <c r="H39" s="13">
        <v>12889</v>
      </c>
      <c r="I39" s="13">
        <v>24083</v>
      </c>
      <c r="J39" s="13">
        <v>26206</v>
      </c>
      <c r="K39" s="13">
        <v>25225</v>
      </c>
      <c r="L39" s="13">
        <v>29630</v>
      </c>
      <c r="M39" s="13">
        <v>33762</v>
      </c>
      <c r="N39" s="13">
        <v>52391</v>
      </c>
      <c r="O39" s="13">
        <v>54311</v>
      </c>
      <c r="P39" s="13">
        <v>44424</v>
      </c>
      <c r="Q39" s="13">
        <v>32803</v>
      </c>
      <c r="R39" s="13">
        <v>44098</v>
      </c>
      <c r="S39" s="13">
        <v>34701</v>
      </c>
      <c r="T39" s="13">
        <v>40285</v>
      </c>
      <c r="U39" s="13">
        <v>44932</v>
      </c>
      <c r="V39" s="13">
        <v>56229</v>
      </c>
      <c r="W39" s="13">
        <v>45049</v>
      </c>
    </row>
    <row r="40" spans="1:23" x14ac:dyDescent="0.25">
      <c r="A40" s="10" t="s">
        <v>841</v>
      </c>
      <c r="B40" s="10" t="s">
        <v>842</v>
      </c>
      <c r="C40" s="13" t="s">
        <v>80</v>
      </c>
      <c r="D40" s="13" t="s">
        <v>80</v>
      </c>
      <c r="E40" s="13" t="s">
        <v>80</v>
      </c>
      <c r="F40" s="13" t="s">
        <v>80</v>
      </c>
      <c r="G40" s="13" t="s">
        <v>80</v>
      </c>
      <c r="H40" s="13" t="s">
        <v>80</v>
      </c>
      <c r="I40" s="13" t="s">
        <v>80</v>
      </c>
      <c r="J40" s="13" t="s">
        <v>80</v>
      </c>
      <c r="K40" s="13" t="s">
        <v>80</v>
      </c>
      <c r="L40" s="13" t="s">
        <v>80</v>
      </c>
      <c r="M40" s="13" t="s">
        <v>80</v>
      </c>
      <c r="N40" s="13" t="s">
        <v>80</v>
      </c>
      <c r="O40" s="13" t="s">
        <v>80</v>
      </c>
      <c r="P40" s="13" t="s">
        <v>80</v>
      </c>
      <c r="Q40" s="13" t="s">
        <v>80</v>
      </c>
      <c r="R40" s="13">
        <v>2097</v>
      </c>
      <c r="S40" s="13">
        <v>1095</v>
      </c>
      <c r="T40" s="13" t="s">
        <v>80</v>
      </c>
      <c r="U40" s="13" t="s">
        <v>80</v>
      </c>
      <c r="V40" s="13" t="s">
        <v>80</v>
      </c>
      <c r="W40" s="13" t="s">
        <v>80</v>
      </c>
    </row>
    <row r="41" spans="1:23" x14ac:dyDescent="0.25">
      <c r="A41" s="10" t="s">
        <v>843</v>
      </c>
      <c r="B41" s="10" t="s">
        <v>844</v>
      </c>
      <c r="C41" s="13">
        <v>23525.329000000002</v>
      </c>
      <c r="D41" s="13">
        <v>30743.161</v>
      </c>
      <c r="E41" s="13">
        <v>41609.885000000002</v>
      </c>
      <c r="F41" s="13">
        <v>54402</v>
      </c>
      <c r="G41" s="13">
        <v>59268</v>
      </c>
      <c r="H41" s="13">
        <v>62497</v>
      </c>
      <c r="I41" s="13">
        <v>53968</v>
      </c>
      <c r="J41" s="13">
        <v>68480</v>
      </c>
      <c r="K41" s="13">
        <v>61978</v>
      </c>
      <c r="L41" s="13">
        <v>73838</v>
      </c>
      <c r="M41" s="13">
        <v>107848</v>
      </c>
      <c r="N41" s="13">
        <v>65886</v>
      </c>
      <c r="O41" s="13">
        <v>76269</v>
      </c>
      <c r="P41" s="13">
        <v>75637</v>
      </c>
      <c r="Q41" s="13">
        <v>62797</v>
      </c>
      <c r="R41" s="13">
        <v>109306</v>
      </c>
      <c r="S41" s="13">
        <v>98842</v>
      </c>
      <c r="T41" s="13">
        <v>108254</v>
      </c>
      <c r="U41" s="13">
        <v>100230</v>
      </c>
      <c r="V41" s="13">
        <v>98704</v>
      </c>
      <c r="W41" s="13">
        <v>100295</v>
      </c>
    </row>
    <row r="42" spans="1:23" x14ac:dyDescent="0.25">
      <c r="A42" s="10" t="s">
        <v>845</v>
      </c>
      <c r="B42" s="10" t="s">
        <v>846</v>
      </c>
      <c r="C42" s="13">
        <v>1855.479</v>
      </c>
      <c r="D42" s="13">
        <v>2066.3440000000001</v>
      </c>
      <c r="E42" s="13" t="s">
        <v>80</v>
      </c>
      <c r="F42" s="13" t="s">
        <v>80</v>
      </c>
      <c r="G42" s="13" t="s">
        <v>80</v>
      </c>
      <c r="H42" s="13" t="s">
        <v>80</v>
      </c>
      <c r="I42" s="13" t="s">
        <v>80</v>
      </c>
      <c r="J42" s="13" t="s">
        <v>80</v>
      </c>
      <c r="K42" s="13" t="s">
        <v>80</v>
      </c>
      <c r="L42" s="13" t="s">
        <v>80</v>
      </c>
      <c r="M42" s="13" t="s">
        <v>80</v>
      </c>
      <c r="N42" s="13" t="s">
        <v>80</v>
      </c>
      <c r="O42" s="13" t="s">
        <v>80</v>
      </c>
      <c r="P42" s="13" t="s">
        <v>80</v>
      </c>
      <c r="Q42" s="13" t="s">
        <v>80</v>
      </c>
      <c r="R42" s="13" t="s">
        <v>80</v>
      </c>
      <c r="S42" s="13" t="s">
        <v>80</v>
      </c>
      <c r="T42" s="13" t="s">
        <v>80</v>
      </c>
      <c r="U42" s="13" t="s">
        <v>80</v>
      </c>
      <c r="V42" s="13" t="s">
        <v>80</v>
      </c>
      <c r="W42" s="13" t="s">
        <v>80</v>
      </c>
    </row>
    <row r="43" spans="1:23" x14ac:dyDescent="0.25">
      <c r="A43" s="10" t="s">
        <v>847</v>
      </c>
      <c r="B43" s="10" t="s">
        <v>848</v>
      </c>
      <c r="C43" s="13">
        <v>1023.92</v>
      </c>
      <c r="D43" s="13">
        <v>1703.713</v>
      </c>
      <c r="E43" s="13" t="s">
        <v>80</v>
      </c>
      <c r="F43" s="13">
        <v>2559</v>
      </c>
      <c r="G43" s="13">
        <v>3036</v>
      </c>
      <c r="H43" s="13">
        <v>3130</v>
      </c>
      <c r="I43" s="13">
        <v>2280</v>
      </c>
      <c r="J43" s="13">
        <v>5170</v>
      </c>
      <c r="K43" s="13">
        <v>14205</v>
      </c>
      <c r="L43" s="13">
        <v>13916</v>
      </c>
      <c r="M43" s="13">
        <v>13805</v>
      </c>
      <c r="N43" s="13">
        <v>13764</v>
      </c>
      <c r="O43" s="13">
        <v>13771</v>
      </c>
      <c r="P43" s="13">
        <v>14038</v>
      </c>
      <c r="Q43" s="13">
        <v>14554</v>
      </c>
      <c r="R43" s="13">
        <v>14805</v>
      </c>
      <c r="S43" s="13">
        <v>15004</v>
      </c>
      <c r="T43" s="13">
        <v>14954</v>
      </c>
      <c r="U43" s="13">
        <v>15495</v>
      </c>
      <c r="V43" s="13">
        <v>15629</v>
      </c>
      <c r="W43" s="13">
        <v>15758</v>
      </c>
    </row>
    <row r="44" spans="1:23" x14ac:dyDescent="0.25">
      <c r="A44" s="10" t="s">
        <v>849</v>
      </c>
      <c r="B44" s="10" t="s">
        <v>850</v>
      </c>
      <c r="C44" s="13" t="s">
        <v>80</v>
      </c>
      <c r="D44" s="13" t="s">
        <v>80</v>
      </c>
      <c r="E44" s="13" t="s">
        <v>80</v>
      </c>
      <c r="F44" s="13" t="s">
        <v>80</v>
      </c>
      <c r="G44" s="13" t="s">
        <v>80</v>
      </c>
      <c r="H44" s="13" t="s">
        <v>80</v>
      </c>
      <c r="I44" s="13" t="s">
        <v>80</v>
      </c>
      <c r="J44" s="13" t="s">
        <v>80</v>
      </c>
      <c r="K44" s="13" t="s">
        <v>80</v>
      </c>
      <c r="L44" s="13" t="s">
        <v>80</v>
      </c>
      <c r="M44" s="13" t="s">
        <v>80</v>
      </c>
      <c r="N44" s="13" t="s">
        <v>80</v>
      </c>
      <c r="O44" s="13" t="s">
        <v>80</v>
      </c>
      <c r="P44" s="13" t="s">
        <v>80</v>
      </c>
      <c r="Q44" s="13" t="s">
        <v>80</v>
      </c>
      <c r="R44" s="13" t="s">
        <v>80</v>
      </c>
      <c r="S44" s="13" t="s">
        <v>80</v>
      </c>
      <c r="T44" s="13">
        <v>4</v>
      </c>
      <c r="U44" s="13">
        <v>123</v>
      </c>
      <c r="V44" s="13">
        <v>136</v>
      </c>
      <c r="W44" s="13">
        <v>77</v>
      </c>
    </row>
    <row r="45" spans="1:23" x14ac:dyDescent="0.25">
      <c r="A45" s="10" t="s">
        <v>851</v>
      </c>
      <c r="B45" s="10" t="s">
        <v>852</v>
      </c>
      <c r="C45" s="13" t="s">
        <v>80</v>
      </c>
      <c r="D45" s="13" t="s">
        <v>80</v>
      </c>
      <c r="E45" s="13" t="s">
        <v>80</v>
      </c>
      <c r="F45" s="13" t="s">
        <v>80</v>
      </c>
      <c r="G45" s="13" t="s">
        <v>80</v>
      </c>
      <c r="H45" s="13" t="s">
        <v>80</v>
      </c>
      <c r="I45" s="13" t="s">
        <v>80</v>
      </c>
      <c r="J45" s="13" t="s">
        <v>80</v>
      </c>
      <c r="K45" s="13" t="s">
        <v>80</v>
      </c>
      <c r="L45" s="13" t="s">
        <v>80</v>
      </c>
      <c r="M45" s="13" t="s">
        <v>80</v>
      </c>
      <c r="N45" s="13" t="s">
        <v>80</v>
      </c>
      <c r="O45" s="13" t="s">
        <v>80</v>
      </c>
      <c r="P45" s="13" t="s">
        <v>80</v>
      </c>
      <c r="Q45" s="13" t="s">
        <v>80</v>
      </c>
      <c r="R45" s="13" t="s">
        <v>80</v>
      </c>
      <c r="S45" s="13" t="s">
        <v>80</v>
      </c>
      <c r="T45" s="13">
        <v>1854</v>
      </c>
      <c r="U45" s="13">
        <v>4442</v>
      </c>
      <c r="V45" s="13">
        <v>1004</v>
      </c>
      <c r="W45" s="13">
        <v>3002</v>
      </c>
    </row>
    <row r="46" spans="1:23" x14ac:dyDescent="0.25">
      <c r="A46" s="10" t="s">
        <v>853</v>
      </c>
      <c r="B46" s="10" t="s">
        <v>854</v>
      </c>
      <c r="C46" s="13" t="s">
        <v>80</v>
      </c>
      <c r="D46" s="13" t="s">
        <v>80</v>
      </c>
      <c r="E46" s="13" t="s">
        <v>80</v>
      </c>
      <c r="F46" s="13" t="s">
        <v>80</v>
      </c>
      <c r="G46" s="13" t="s">
        <v>80</v>
      </c>
      <c r="H46" s="13" t="s">
        <v>80</v>
      </c>
      <c r="I46" s="13" t="s">
        <v>80</v>
      </c>
      <c r="J46" s="13" t="s">
        <v>80</v>
      </c>
      <c r="K46" s="13" t="s">
        <v>80</v>
      </c>
      <c r="L46" s="13" t="s">
        <v>80</v>
      </c>
      <c r="M46" s="13" t="s">
        <v>80</v>
      </c>
      <c r="N46" s="13" t="s">
        <v>80</v>
      </c>
      <c r="O46" s="13" t="s">
        <v>80</v>
      </c>
      <c r="P46" s="13" t="s">
        <v>80</v>
      </c>
      <c r="Q46" s="13" t="s">
        <v>80</v>
      </c>
      <c r="R46" s="13">
        <v>48233</v>
      </c>
      <c r="S46" s="13">
        <v>26941</v>
      </c>
      <c r="T46" s="13">
        <v>41179</v>
      </c>
      <c r="U46" s="13">
        <v>33875</v>
      </c>
      <c r="V46" s="13">
        <v>25124</v>
      </c>
      <c r="W46" s="13">
        <v>19270</v>
      </c>
    </row>
    <row r="47" spans="1:23" x14ac:dyDescent="0.25">
      <c r="A47" s="10" t="s">
        <v>855</v>
      </c>
      <c r="B47" s="10" t="s">
        <v>856</v>
      </c>
      <c r="C47" s="13" t="s">
        <v>80</v>
      </c>
      <c r="D47" s="13" t="s">
        <v>80</v>
      </c>
      <c r="E47" s="13" t="s">
        <v>80</v>
      </c>
      <c r="F47" s="13" t="s">
        <v>80</v>
      </c>
      <c r="G47" s="13" t="s">
        <v>80</v>
      </c>
      <c r="H47" s="13" t="s">
        <v>80</v>
      </c>
      <c r="I47" s="13">
        <v>6989</v>
      </c>
      <c r="J47" s="13">
        <v>6736</v>
      </c>
      <c r="K47" s="13">
        <v>7891</v>
      </c>
      <c r="L47" s="13">
        <v>12403</v>
      </c>
      <c r="M47" s="13">
        <v>12176</v>
      </c>
      <c r="N47" s="13">
        <v>13319</v>
      </c>
      <c r="O47" s="13">
        <v>14652</v>
      </c>
      <c r="P47" s="13">
        <v>15032</v>
      </c>
      <c r="Q47" s="13">
        <v>14540</v>
      </c>
      <c r="R47" s="13">
        <v>14378</v>
      </c>
      <c r="S47" s="13">
        <v>14956</v>
      </c>
      <c r="T47" s="13">
        <v>654</v>
      </c>
      <c r="U47" s="13">
        <v>1094</v>
      </c>
      <c r="V47" s="13">
        <v>876</v>
      </c>
      <c r="W47" s="13">
        <v>1015</v>
      </c>
    </row>
    <row r="48" spans="1:23" x14ac:dyDescent="0.25">
      <c r="A48" s="10" t="s">
        <v>857</v>
      </c>
      <c r="B48" s="10" t="s">
        <v>858</v>
      </c>
      <c r="C48" s="13" t="s">
        <v>80</v>
      </c>
      <c r="D48" s="13" t="s">
        <v>80</v>
      </c>
      <c r="E48" s="13" t="s">
        <v>80</v>
      </c>
      <c r="F48" s="13" t="s">
        <v>80</v>
      </c>
      <c r="G48" s="13">
        <v>450</v>
      </c>
      <c r="H48" s="13">
        <v>1127</v>
      </c>
      <c r="I48" s="13">
        <v>1108</v>
      </c>
      <c r="J48" s="13">
        <v>1378</v>
      </c>
      <c r="K48" s="13">
        <v>797</v>
      </c>
      <c r="L48" s="13">
        <v>632</v>
      </c>
      <c r="M48" s="13">
        <v>276</v>
      </c>
      <c r="N48" s="13">
        <v>2340</v>
      </c>
      <c r="O48" s="13">
        <v>2127</v>
      </c>
      <c r="P48" s="13">
        <v>1519</v>
      </c>
      <c r="Q48" s="13">
        <v>6065</v>
      </c>
      <c r="R48" s="13">
        <v>18209</v>
      </c>
      <c r="S48" s="13">
        <v>7999</v>
      </c>
      <c r="T48" s="13" t="s">
        <v>80</v>
      </c>
      <c r="U48" s="13" t="s">
        <v>80</v>
      </c>
      <c r="V48" s="13" t="s">
        <v>80</v>
      </c>
      <c r="W48" s="13" t="s">
        <v>80</v>
      </c>
    </row>
    <row r="49" spans="1:23" x14ac:dyDescent="0.25">
      <c r="A49" s="10" t="s">
        <v>859</v>
      </c>
      <c r="B49" s="10" t="s">
        <v>860</v>
      </c>
      <c r="C49" s="13" t="s">
        <v>80</v>
      </c>
      <c r="D49" s="13" t="s">
        <v>80</v>
      </c>
      <c r="E49" s="13" t="s">
        <v>80</v>
      </c>
      <c r="F49" s="13" t="s">
        <v>80</v>
      </c>
      <c r="G49" s="13">
        <v>5880</v>
      </c>
      <c r="H49" s="13">
        <v>8059</v>
      </c>
      <c r="I49" s="13">
        <v>16600</v>
      </c>
      <c r="J49" s="13">
        <v>18440</v>
      </c>
      <c r="K49" s="13">
        <v>15012</v>
      </c>
      <c r="L49" s="13">
        <v>16739</v>
      </c>
      <c r="M49" s="13">
        <v>19275</v>
      </c>
      <c r="N49" s="13">
        <v>41990</v>
      </c>
      <c r="O49" s="13">
        <v>25824</v>
      </c>
      <c r="P49" s="13">
        <v>28323</v>
      </c>
      <c r="Q49" s="13">
        <v>25596</v>
      </c>
      <c r="R49" s="13" t="s">
        <v>80</v>
      </c>
      <c r="S49" s="13" t="s">
        <v>80</v>
      </c>
      <c r="T49" s="13" t="s">
        <v>80</v>
      </c>
      <c r="U49" s="13">
        <v>0</v>
      </c>
      <c r="V49" s="13" t="s">
        <v>80</v>
      </c>
      <c r="W49" s="13">
        <v>18283</v>
      </c>
    </row>
    <row r="50" spans="1:23" x14ac:dyDescent="0.25">
      <c r="A50" s="10" t="s">
        <v>861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25">
      <c r="A51" s="10" t="s">
        <v>862</v>
      </c>
      <c r="B51" s="10" t="s">
        <v>863</v>
      </c>
      <c r="C51" s="13" t="s">
        <v>80</v>
      </c>
      <c r="D51" s="13" t="s">
        <v>80</v>
      </c>
      <c r="E51" s="13" t="s">
        <v>80</v>
      </c>
      <c r="F51" s="13" t="s">
        <v>80</v>
      </c>
      <c r="G51" s="13" t="s">
        <v>80</v>
      </c>
      <c r="H51" s="13" t="s">
        <v>80</v>
      </c>
      <c r="I51" s="13" t="s">
        <v>80</v>
      </c>
      <c r="J51" s="13" t="s">
        <v>80</v>
      </c>
      <c r="K51" s="13" t="s">
        <v>80</v>
      </c>
      <c r="L51" s="13" t="s">
        <v>80</v>
      </c>
      <c r="M51" s="13" t="s">
        <v>80</v>
      </c>
      <c r="N51" s="13" t="s">
        <v>80</v>
      </c>
      <c r="O51" s="13">
        <v>429</v>
      </c>
      <c r="P51" s="13">
        <v>578</v>
      </c>
      <c r="Q51" s="13">
        <v>617</v>
      </c>
      <c r="R51" s="13">
        <v>1410</v>
      </c>
      <c r="S51" s="13">
        <v>1367</v>
      </c>
      <c r="T51" s="13">
        <v>1464</v>
      </c>
      <c r="U51" s="13">
        <v>1534</v>
      </c>
      <c r="V51" s="13">
        <v>1225</v>
      </c>
      <c r="W51" s="13">
        <v>1253</v>
      </c>
    </row>
    <row r="52" spans="1:23" x14ac:dyDescent="0.25">
      <c r="A52" s="10" t="s">
        <v>864</v>
      </c>
      <c r="B52" s="10" t="s">
        <v>865</v>
      </c>
      <c r="C52" s="13">
        <v>3251.654</v>
      </c>
      <c r="D52" s="13">
        <v>4106.9080000000004</v>
      </c>
      <c r="E52" s="13">
        <v>13109.796</v>
      </c>
      <c r="F52" s="13">
        <v>14469</v>
      </c>
      <c r="G52" s="13">
        <v>2454</v>
      </c>
      <c r="H52" s="13">
        <v>2522</v>
      </c>
      <c r="I52" s="13">
        <v>2352</v>
      </c>
      <c r="J52" s="13">
        <v>3335</v>
      </c>
      <c r="K52" s="13">
        <v>2762</v>
      </c>
      <c r="L52" s="13">
        <v>1832</v>
      </c>
      <c r="M52" s="13">
        <v>1543</v>
      </c>
      <c r="N52" s="13">
        <v>11138</v>
      </c>
      <c r="O52" s="13">
        <v>11488</v>
      </c>
      <c r="P52" s="13">
        <v>485</v>
      </c>
      <c r="Q52" s="13">
        <v>508</v>
      </c>
      <c r="R52" s="13">
        <v>538</v>
      </c>
      <c r="S52" s="13">
        <v>1380</v>
      </c>
      <c r="T52" s="13" t="s">
        <v>80</v>
      </c>
      <c r="U52" s="13" t="s">
        <v>80</v>
      </c>
      <c r="V52" s="13" t="s">
        <v>80</v>
      </c>
      <c r="W52" s="13">
        <v>11169</v>
      </c>
    </row>
    <row r="53" spans="1:23" x14ac:dyDescent="0.25">
      <c r="A53" s="10" t="s">
        <v>866</v>
      </c>
      <c r="B53" s="10" t="s">
        <v>867</v>
      </c>
      <c r="C53" s="13" t="s">
        <v>80</v>
      </c>
      <c r="D53" s="13" t="s">
        <v>80</v>
      </c>
      <c r="E53" s="13" t="s">
        <v>80</v>
      </c>
      <c r="F53" s="13" t="s">
        <v>80</v>
      </c>
      <c r="G53" s="13" t="s">
        <v>80</v>
      </c>
      <c r="H53" s="13" t="s">
        <v>80</v>
      </c>
      <c r="I53" s="13">
        <v>39</v>
      </c>
      <c r="J53" s="13">
        <v>978</v>
      </c>
      <c r="K53" s="13">
        <v>200</v>
      </c>
      <c r="L53" s="13" t="s">
        <v>80</v>
      </c>
      <c r="M53" s="13" t="s">
        <v>80</v>
      </c>
      <c r="N53" s="13" t="s">
        <v>80</v>
      </c>
      <c r="O53" s="13" t="s">
        <v>80</v>
      </c>
      <c r="P53" s="13" t="s">
        <v>80</v>
      </c>
      <c r="Q53" s="13" t="s">
        <v>80</v>
      </c>
      <c r="R53" s="13">
        <v>1618</v>
      </c>
      <c r="S53" s="13">
        <v>3346</v>
      </c>
      <c r="T53" s="13" t="s">
        <v>80</v>
      </c>
      <c r="U53" s="13" t="s">
        <v>80</v>
      </c>
      <c r="V53" s="13" t="s">
        <v>80</v>
      </c>
      <c r="W53" s="13" t="s">
        <v>80</v>
      </c>
    </row>
    <row r="54" spans="1:23" x14ac:dyDescent="0.25">
      <c r="A54" s="10" t="s">
        <v>868</v>
      </c>
      <c r="B54" s="10" t="s">
        <v>869</v>
      </c>
      <c r="C54" s="13" t="s">
        <v>80</v>
      </c>
      <c r="D54" s="13" t="s">
        <v>80</v>
      </c>
      <c r="E54" s="13" t="s">
        <v>80</v>
      </c>
      <c r="F54" s="13" t="s">
        <v>80</v>
      </c>
      <c r="G54" s="13" t="s">
        <v>80</v>
      </c>
      <c r="H54" s="13" t="s">
        <v>80</v>
      </c>
      <c r="I54" s="13" t="s">
        <v>80</v>
      </c>
      <c r="J54" s="13" t="s">
        <v>80</v>
      </c>
      <c r="K54" s="13" t="s">
        <v>80</v>
      </c>
      <c r="L54" s="13" t="s">
        <v>80</v>
      </c>
      <c r="M54" s="13" t="s">
        <v>80</v>
      </c>
      <c r="N54" s="13" t="s">
        <v>80</v>
      </c>
      <c r="O54" s="13" t="s">
        <v>80</v>
      </c>
      <c r="P54" s="13" t="s">
        <v>80</v>
      </c>
      <c r="Q54" s="13" t="s">
        <v>80</v>
      </c>
      <c r="R54" s="13" t="s">
        <v>80</v>
      </c>
      <c r="S54" s="13" t="s">
        <v>80</v>
      </c>
      <c r="T54" s="13">
        <v>9550</v>
      </c>
      <c r="U54" s="13">
        <v>11399</v>
      </c>
      <c r="V54" s="13">
        <v>12646</v>
      </c>
      <c r="W54" s="13">
        <v>13885</v>
      </c>
    </row>
    <row r="55" spans="1:23" x14ac:dyDescent="0.25">
      <c r="A55" s="10" t="s">
        <v>870</v>
      </c>
      <c r="B55" s="10" t="s">
        <v>871</v>
      </c>
      <c r="C55" s="13">
        <v>815.40300000000002</v>
      </c>
      <c r="D55" s="13">
        <v>890.99</v>
      </c>
      <c r="E55" s="13">
        <v>1666.8720000000001</v>
      </c>
      <c r="F55" s="13">
        <v>1944</v>
      </c>
      <c r="G55" s="13">
        <v>3608</v>
      </c>
      <c r="H55" s="13">
        <v>4110</v>
      </c>
      <c r="I55" s="13">
        <v>6233</v>
      </c>
      <c r="J55" s="13">
        <v>6628</v>
      </c>
      <c r="K55" s="13">
        <v>2034</v>
      </c>
      <c r="L55" s="13">
        <v>1750</v>
      </c>
      <c r="M55" s="13">
        <v>1900</v>
      </c>
      <c r="N55" s="13">
        <v>1955</v>
      </c>
      <c r="O55" s="13">
        <v>1832</v>
      </c>
      <c r="P55" s="13">
        <v>2185</v>
      </c>
      <c r="Q55" s="13">
        <v>2281</v>
      </c>
      <c r="R55" s="13">
        <v>2862</v>
      </c>
      <c r="S55" s="13">
        <v>3006</v>
      </c>
      <c r="T55" s="13">
        <v>2989</v>
      </c>
      <c r="U55" s="13">
        <v>-148</v>
      </c>
      <c r="V55" s="13">
        <v>-981</v>
      </c>
      <c r="W55" s="13">
        <v>3123</v>
      </c>
    </row>
    <row r="56" spans="1:23" x14ac:dyDescent="0.25">
      <c r="A56" s="10" t="s">
        <v>872</v>
      </c>
      <c r="B56" s="10" t="s">
        <v>873</v>
      </c>
      <c r="C56" s="13">
        <v>5113.5320000000002</v>
      </c>
      <c r="D56" s="13">
        <v>5330.1189999999997</v>
      </c>
      <c r="E56" s="13">
        <v>12019.722</v>
      </c>
      <c r="F56" s="13">
        <v>11941</v>
      </c>
      <c r="G56" s="13">
        <v>11956</v>
      </c>
      <c r="H56" s="13">
        <v>11971</v>
      </c>
      <c r="I56" s="13">
        <v>13050</v>
      </c>
      <c r="J56" s="13">
        <v>13072</v>
      </c>
      <c r="K56" s="13">
        <v>14652</v>
      </c>
      <c r="L56" s="13">
        <v>14632</v>
      </c>
      <c r="M56" s="13">
        <v>14606</v>
      </c>
      <c r="N56" s="13">
        <v>14574</v>
      </c>
      <c r="O56" s="13">
        <v>14591</v>
      </c>
      <c r="P56" s="13">
        <v>14962</v>
      </c>
      <c r="Q56" s="13">
        <v>14992</v>
      </c>
      <c r="R56" s="13">
        <v>14919</v>
      </c>
      <c r="S56" s="13">
        <v>14957</v>
      </c>
      <c r="T56" s="13">
        <v>14955</v>
      </c>
      <c r="U56" s="13">
        <v>14988</v>
      </c>
      <c r="V56" s="13">
        <v>14711</v>
      </c>
      <c r="W56" s="13">
        <v>14674</v>
      </c>
    </row>
    <row r="57" spans="1:23" x14ac:dyDescent="0.25">
      <c r="A57" s="10" t="s">
        <v>874</v>
      </c>
      <c r="B57" s="10" t="s">
        <v>875</v>
      </c>
      <c r="C57" s="13">
        <v>1495.6130000000001</v>
      </c>
      <c r="D57" s="13">
        <v>1584.0050000000001</v>
      </c>
      <c r="E57" s="13">
        <v>1862.578</v>
      </c>
      <c r="F57" s="13">
        <v>1468</v>
      </c>
      <c r="G57" s="13">
        <v>1525</v>
      </c>
      <c r="H57" s="13">
        <v>1673</v>
      </c>
      <c r="I57" s="13">
        <v>18006</v>
      </c>
      <c r="J57" s="13">
        <v>18320</v>
      </c>
      <c r="K57" s="13">
        <v>35219</v>
      </c>
      <c r="L57" s="13">
        <v>36201</v>
      </c>
      <c r="M57" s="13">
        <v>36424</v>
      </c>
      <c r="N57" s="13">
        <v>36427</v>
      </c>
      <c r="O57" s="13">
        <v>35592</v>
      </c>
      <c r="P57" s="13">
        <v>47904</v>
      </c>
      <c r="Q57" s="13">
        <v>47979</v>
      </c>
      <c r="R57" s="13">
        <v>48269</v>
      </c>
      <c r="S57" s="13">
        <v>48292</v>
      </c>
      <c r="T57" s="13">
        <v>48440</v>
      </c>
      <c r="U57" s="13">
        <v>47648</v>
      </c>
      <c r="V57" s="13">
        <v>48161</v>
      </c>
      <c r="W57" s="13">
        <v>42141</v>
      </c>
    </row>
    <row r="58" spans="1:23" x14ac:dyDescent="0.25">
      <c r="A58" s="10" t="s">
        <v>876</v>
      </c>
      <c r="B58" s="10" t="s">
        <v>877</v>
      </c>
      <c r="C58" s="13">
        <v>9491.2389999999996</v>
      </c>
      <c r="D58" s="13">
        <v>11414.849</v>
      </c>
      <c r="E58" s="13">
        <v>21379.13</v>
      </c>
      <c r="F58" s="13">
        <v>16935</v>
      </c>
      <c r="G58" s="13">
        <v>20681</v>
      </c>
      <c r="H58" s="13">
        <v>25492</v>
      </c>
      <c r="I58" s="13">
        <v>30573</v>
      </c>
      <c r="J58" s="13">
        <v>37644</v>
      </c>
      <c r="K58" s="13">
        <v>39303</v>
      </c>
      <c r="L58" s="13">
        <v>50407</v>
      </c>
      <c r="M58" s="13">
        <v>62860</v>
      </c>
      <c r="N58" s="13">
        <v>68492</v>
      </c>
      <c r="O58" s="13">
        <v>71294</v>
      </c>
      <c r="P58" s="13">
        <v>76550</v>
      </c>
      <c r="Q58" s="13">
        <v>90084</v>
      </c>
      <c r="R58" s="13">
        <v>118773</v>
      </c>
      <c r="S58" s="13">
        <v>130076</v>
      </c>
      <c r="T58" s="13">
        <v>145218</v>
      </c>
      <c r="U58" s="13">
        <v>155928</v>
      </c>
      <c r="V58" s="13">
        <v>170319</v>
      </c>
      <c r="W58" s="13">
        <v>106548</v>
      </c>
    </row>
    <row r="59" spans="1:23" x14ac:dyDescent="0.25">
      <c r="A59" s="10" t="s">
        <v>878</v>
      </c>
      <c r="B59" s="10" t="s">
        <v>879</v>
      </c>
      <c r="C59" s="13">
        <v>-1707.739</v>
      </c>
      <c r="D59" s="13">
        <v>-1640.019</v>
      </c>
      <c r="E59" s="13">
        <v>-8937.17</v>
      </c>
      <c r="F59" s="13">
        <v>444</v>
      </c>
      <c r="G59" s="13">
        <v>-1163</v>
      </c>
      <c r="H59" s="13">
        <v>-1905</v>
      </c>
      <c r="I59" s="13">
        <v>-2349</v>
      </c>
      <c r="J59" s="13">
        <v>-895</v>
      </c>
      <c r="K59" s="13">
        <v>-753</v>
      </c>
      <c r="L59" s="13">
        <v>-128</v>
      </c>
      <c r="M59" s="13">
        <v>-2380</v>
      </c>
      <c r="N59" s="13">
        <v>-4681</v>
      </c>
      <c r="O59" s="13">
        <v>-5978</v>
      </c>
      <c r="P59" s="13">
        <v>-5505</v>
      </c>
      <c r="Q59" s="13">
        <v>-483</v>
      </c>
      <c r="R59" s="13">
        <v>2914</v>
      </c>
      <c r="S59" s="13">
        <v>-1067</v>
      </c>
      <c r="T59" s="13">
        <v>-4326</v>
      </c>
      <c r="U59" s="13">
        <v>-1230</v>
      </c>
      <c r="V59" s="13">
        <v>-4106</v>
      </c>
      <c r="W59" s="13">
        <v>-3751</v>
      </c>
    </row>
    <row r="60" spans="1:23" x14ac:dyDescent="0.25">
      <c r="A60" s="10" t="s">
        <v>880</v>
      </c>
      <c r="B60" s="10" t="s">
        <v>881</v>
      </c>
      <c r="C60" s="14" t="s">
        <v>80</v>
      </c>
      <c r="D60" s="14" t="s">
        <v>80</v>
      </c>
      <c r="E60" s="14" t="s">
        <v>80</v>
      </c>
      <c r="F60" s="14">
        <v>3.5</v>
      </c>
      <c r="G60" s="14" t="s">
        <v>80</v>
      </c>
      <c r="H60" s="14" t="s">
        <v>80</v>
      </c>
      <c r="I60" s="14" t="s">
        <v>80</v>
      </c>
      <c r="J60" s="14" t="s">
        <v>80</v>
      </c>
      <c r="K60" s="14" t="s">
        <v>80</v>
      </c>
      <c r="L60" s="14" t="s">
        <v>80</v>
      </c>
      <c r="M60" s="14" t="s">
        <v>80</v>
      </c>
      <c r="N60" s="14" t="s">
        <v>80</v>
      </c>
      <c r="O60" s="14" t="s">
        <v>80</v>
      </c>
      <c r="P60" s="14" t="s">
        <v>80</v>
      </c>
      <c r="Q60" s="14" t="s">
        <v>80</v>
      </c>
      <c r="R60" s="14" t="s">
        <v>80</v>
      </c>
      <c r="S60" s="14" t="s">
        <v>80</v>
      </c>
      <c r="T60" s="14" t="s">
        <v>80</v>
      </c>
      <c r="U60" s="14" t="s">
        <v>80</v>
      </c>
      <c r="V60" s="14" t="s">
        <v>80</v>
      </c>
      <c r="W60" s="14" t="s">
        <v>80</v>
      </c>
    </row>
    <row r="61" spans="1:23" x14ac:dyDescent="0.25">
      <c r="A61" s="10" t="s">
        <v>882</v>
      </c>
      <c r="B61" s="10" t="s">
        <v>883</v>
      </c>
      <c r="C61" s="13" t="s">
        <v>80</v>
      </c>
      <c r="D61" s="13" t="s">
        <v>80</v>
      </c>
      <c r="E61" s="13" t="s">
        <v>80</v>
      </c>
      <c r="F61" s="13">
        <v>1272</v>
      </c>
      <c r="G61" s="13">
        <v>617</v>
      </c>
      <c r="H61" s="13">
        <v>711</v>
      </c>
      <c r="I61" s="13">
        <v>710</v>
      </c>
      <c r="J61" s="13">
        <v>1786</v>
      </c>
      <c r="K61" s="13">
        <v>794</v>
      </c>
      <c r="L61" s="13">
        <v>5380</v>
      </c>
      <c r="M61" s="13">
        <v>1922</v>
      </c>
      <c r="N61" s="13">
        <v>3114</v>
      </c>
      <c r="O61" s="13">
        <v>3132</v>
      </c>
      <c r="P61" s="13">
        <v>3296</v>
      </c>
      <c r="Q61" s="13">
        <v>3588</v>
      </c>
      <c r="R61" s="13">
        <v>4365</v>
      </c>
      <c r="S61" s="13">
        <v>1614</v>
      </c>
      <c r="T61" s="13">
        <v>10733</v>
      </c>
      <c r="U61" s="13">
        <v>6933</v>
      </c>
      <c r="V61" s="13">
        <v>9130</v>
      </c>
      <c r="W61" s="13">
        <v>9172</v>
      </c>
    </row>
    <row r="62" spans="1:23" x14ac:dyDescent="0.25">
      <c r="A62" s="10" t="s">
        <v>884</v>
      </c>
      <c r="B62" s="10" t="s">
        <v>885</v>
      </c>
      <c r="C62" s="13">
        <v>11990.865</v>
      </c>
      <c r="D62" s="13">
        <v>14360.618</v>
      </c>
      <c r="E62" s="13">
        <v>34801.396999999997</v>
      </c>
      <c r="F62" s="13">
        <v>39746</v>
      </c>
      <c r="G62" s="13">
        <v>44974</v>
      </c>
      <c r="H62" s="13">
        <v>50227</v>
      </c>
      <c r="I62" s="13">
        <v>77082</v>
      </c>
      <c r="J62" s="13">
        <v>88509</v>
      </c>
      <c r="K62" s="13">
        <v>108691</v>
      </c>
      <c r="L62" s="13">
        <v>124672</v>
      </c>
      <c r="M62" s="13">
        <v>137352</v>
      </c>
      <c r="N62" s="13">
        <v>142701</v>
      </c>
      <c r="O62" s="13">
        <v>147584</v>
      </c>
      <c r="P62" s="13">
        <v>174464</v>
      </c>
      <c r="Q62" s="13">
        <v>195998</v>
      </c>
      <c r="R62" s="13">
        <v>225104</v>
      </c>
      <c r="S62" s="13">
        <v>237240</v>
      </c>
      <c r="T62" s="13">
        <v>239032</v>
      </c>
      <c r="U62" s="13">
        <v>249205</v>
      </c>
      <c r="V62" s="13">
        <v>248428</v>
      </c>
      <c r="W62" s="13">
        <v>252213</v>
      </c>
    </row>
    <row r="63" spans="1:23" x14ac:dyDescent="0.25">
      <c r="A63" s="10" t="s">
        <v>886</v>
      </c>
      <c r="B63" s="10" t="s">
        <v>887</v>
      </c>
      <c r="C63" s="13">
        <v>52664.069000000003</v>
      </c>
      <c r="D63" s="13">
        <v>66158.703999999998</v>
      </c>
      <c r="E63" s="13">
        <v>111080.2</v>
      </c>
      <c r="F63" s="13">
        <v>128350</v>
      </c>
      <c r="G63" s="13">
        <v>137581</v>
      </c>
      <c r="H63" s="13">
        <v>149817</v>
      </c>
      <c r="I63" s="13">
        <v>189613</v>
      </c>
      <c r="J63" s="13">
        <v>211171</v>
      </c>
      <c r="K63" s="13">
        <v>254219</v>
      </c>
      <c r="L63" s="13">
        <v>298852</v>
      </c>
      <c r="M63" s="13">
        <v>347576</v>
      </c>
      <c r="N63" s="13">
        <v>381203</v>
      </c>
      <c r="O63" s="13">
        <v>393308</v>
      </c>
      <c r="P63" s="13">
        <v>410375</v>
      </c>
      <c r="Q63" s="13">
        <v>416548</v>
      </c>
      <c r="R63" s="13">
        <v>520283</v>
      </c>
      <c r="S63" s="13">
        <v>528051</v>
      </c>
      <c r="T63" s="13">
        <v>597782</v>
      </c>
      <c r="U63" s="13">
        <v>678923</v>
      </c>
      <c r="V63" s="13">
        <v>722181</v>
      </c>
      <c r="W63" s="13">
        <v>813139</v>
      </c>
    </row>
    <row r="64" spans="1:23" x14ac:dyDescent="0.25">
      <c r="A64" s="10" t="s">
        <v>888</v>
      </c>
      <c r="B64" s="10" t="s">
        <v>889</v>
      </c>
      <c r="C64" s="13">
        <v>1294.548</v>
      </c>
      <c r="D64" s="13">
        <v>0</v>
      </c>
      <c r="E64" s="13" t="s">
        <v>80</v>
      </c>
      <c r="F64" s="13" t="s">
        <v>80</v>
      </c>
      <c r="G64" s="13" t="s">
        <v>80</v>
      </c>
      <c r="H64" s="13">
        <v>3778</v>
      </c>
      <c r="I64" s="13">
        <v>6953</v>
      </c>
      <c r="J64" s="13">
        <v>4567</v>
      </c>
      <c r="K64" s="13">
        <v>5405</v>
      </c>
      <c r="L64" s="13">
        <v>5406</v>
      </c>
      <c r="M64" s="13">
        <v>1340</v>
      </c>
      <c r="N64" s="13">
        <v>1437</v>
      </c>
      <c r="O64" s="13">
        <v>4660</v>
      </c>
      <c r="P64" s="13">
        <v>13989</v>
      </c>
      <c r="Q64" s="13">
        <v>28992</v>
      </c>
      <c r="R64" s="13">
        <v>34910</v>
      </c>
      <c r="S64" s="13">
        <v>30823</v>
      </c>
      <c r="T64" s="13">
        <v>20255</v>
      </c>
      <c r="U64" s="13">
        <v>37299</v>
      </c>
      <c r="V64" s="13">
        <v>45840</v>
      </c>
      <c r="W64" s="13">
        <v>39595</v>
      </c>
    </row>
    <row r="65" spans="1:23" x14ac:dyDescent="0.25">
      <c r="A65" s="10" t="s">
        <v>890</v>
      </c>
      <c r="B65" s="10" t="s">
        <v>891</v>
      </c>
      <c r="C65" s="13">
        <v>32.072000000000003</v>
      </c>
      <c r="D65" s="13">
        <v>214.76900000000001</v>
      </c>
      <c r="E65" s="13" t="s">
        <v>80</v>
      </c>
      <c r="F65" s="13">
        <v>192727</v>
      </c>
      <c r="G65" s="13">
        <v>185482</v>
      </c>
      <c r="H65" s="13">
        <v>178758</v>
      </c>
      <c r="I65" s="13">
        <v>243787</v>
      </c>
      <c r="J65" s="13">
        <v>244067</v>
      </c>
      <c r="K65" s="13">
        <v>304029</v>
      </c>
      <c r="L65" s="13">
        <v>306756</v>
      </c>
      <c r="M65" s="13">
        <v>315156</v>
      </c>
      <c r="N65" s="13">
        <v>308777</v>
      </c>
      <c r="O65" s="13">
        <v>301668</v>
      </c>
      <c r="P65" s="13">
        <v>369459</v>
      </c>
      <c r="Q65" s="13">
        <v>346065</v>
      </c>
      <c r="R65" s="13">
        <v>353107</v>
      </c>
      <c r="S65" s="13">
        <v>377100</v>
      </c>
      <c r="T65" s="13">
        <v>441801</v>
      </c>
      <c r="U65" s="13">
        <v>469157</v>
      </c>
      <c r="V65" s="13">
        <v>512146</v>
      </c>
      <c r="W65" s="13">
        <v>518918</v>
      </c>
    </row>
    <row r="66" spans="1:23" x14ac:dyDescent="0.25">
      <c r="A66" s="10" t="s">
        <v>892</v>
      </c>
      <c r="B66" s="10" t="s">
        <v>893</v>
      </c>
      <c r="C66" s="13" t="s">
        <v>80</v>
      </c>
      <c r="D66" s="13" t="s">
        <v>80</v>
      </c>
      <c r="E66" s="13" t="s">
        <v>80</v>
      </c>
      <c r="F66" s="13" t="s">
        <v>80</v>
      </c>
      <c r="G66" s="13" t="s">
        <v>80</v>
      </c>
      <c r="H66" s="13" t="s">
        <v>80</v>
      </c>
      <c r="I66" s="13" t="s">
        <v>80</v>
      </c>
      <c r="J66" s="13" t="s">
        <v>80</v>
      </c>
      <c r="K66" s="13" t="s">
        <v>80</v>
      </c>
      <c r="L66" s="13" t="s">
        <v>80</v>
      </c>
      <c r="M66" s="13" t="s">
        <v>80</v>
      </c>
      <c r="N66" s="13" t="s">
        <v>80</v>
      </c>
      <c r="O66" s="13" t="s">
        <v>80</v>
      </c>
      <c r="P66" s="13" t="s">
        <v>80</v>
      </c>
      <c r="Q66" s="13" t="s">
        <v>80</v>
      </c>
      <c r="R66" s="13">
        <v>5274</v>
      </c>
      <c r="S66" s="13">
        <v>3364</v>
      </c>
      <c r="T66" s="13">
        <v>5881</v>
      </c>
      <c r="U66" s="13">
        <v>5633</v>
      </c>
      <c r="V66" s="13">
        <v>0</v>
      </c>
      <c r="W66" s="13" t="s">
        <v>80</v>
      </c>
    </row>
    <row r="67" spans="1:23" x14ac:dyDescent="0.25">
      <c r="A67" s="10" t="s">
        <v>894</v>
      </c>
      <c r="B67" s="10" t="s">
        <v>895</v>
      </c>
      <c r="C67" s="13">
        <v>26919.791000000001</v>
      </c>
      <c r="D67" s="13">
        <v>18205.553</v>
      </c>
      <c r="E67" s="13">
        <v>22723.303</v>
      </c>
      <c r="F67" s="13">
        <v>26048</v>
      </c>
      <c r="G67" s="13">
        <v>13406</v>
      </c>
      <c r="H67" s="13">
        <v>17951</v>
      </c>
      <c r="I67" s="13">
        <v>29118</v>
      </c>
      <c r="J67" s="13">
        <v>27923</v>
      </c>
      <c r="K67" s="13">
        <v>22380</v>
      </c>
      <c r="L67" s="13">
        <v>21082</v>
      </c>
      <c r="M67" s="13">
        <v>16482</v>
      </c>
      <c r="N67" s="13">
        <v>21174</v>
      </c>
      <c r="O67" s="13">
        <v>18213</v>
      </c>
      <c r="P67" s="13">
        <v>58759</v>
      </c>
      <c r="Q67" s="13">
        <v>22786</v>
      </c>
      <c r="R67" s="13">
        <v>22499</v>
      </c>
      <c r="S67" s="13">
        <v>25898</v>
      </c>
      <c r="T67" s="13">
        <v>22407</v>
      </c>
      <c r="U67" s="13">
        <v>25731</v>
      </c>
      <c r="V67" s="13">
        <v>22196</v>
      </c>
      <c r="W67" s="13">
        <v>27099</v>
      </c>
    </row>
    <row r="68" spans="1:23" x14ac:dyDescent="0.25">
      <c r="A68" s="10" t="s">
        <v>896</v>
      </c>
      <c r="B68" s="10" t="s">
        <v>897</v>
      </c>
      <c r="C68" s="13">
        <v>817.32799999999997</v>
      </c>
      <c r="D68" s="13">
        <v>12.185</v>
      </c>
      <c r="E68" s="13" t="s">
        <v>80</v>
      </c>
      <c r="F68" s="13">
        <v>10746</v>
      </c>
      <c r="G68" s="13">
        <v>8375</v>
      </c>
      <c r="H68" s="13">
        <v>10737</v>
      </c>
      <c r="I68" s="13">
        <v>21223</v>
      </c>
      <c r="J68" s="13">
        <v>22238</v>
      </c>
      <c r="K68" s="13">
        <v>18327</v>
      </c>
      <c r="L68" s="13">
        <v>21291</v>
      </c>
      <c r="M68" s="13">
        <v>24944</v>
      </c>
      <c r="N68" s="13">
        <v>49775</v>
      </c>
      <c r="O68" s="13">
        <v>37009</v>
      </c>
      <c r="P68" s="13">
        <v>34568</v>
      </c>
      <c r="Q68" s="13">
        <v>24973</v>
      </c>
      <c r="R68" s="13">
        <v>49087</v>
      </c>
      <c r="S68" s="13">
        <v>29013</v>
      </c>
      <c r="T68" s="13" t="s">
        <v>80</v>
      </c>
      <c r="U68" s="13" t="s">
        <v>80</v>
      </c>
      <c r="V68" s="13" t="s">
        <v>80</v>
      </c>
      <c r="W68" s="13" t="s">
        <v>80</v>
      </c>
    </row>
    <row r="69" spans="1:23" x14ac:dyDescent="0.25">
      <c r="A69" s="10" t="s">
        <v>898</v>
      </c>
      <c r="B69" s="10" t="s">
        <v>899</v>
      </c>
      <c r="C69" s="13">
        <v>13227.569</v>
      </c>
      <c r="D69" s="13">
        <v>13842.102999999999</v>
      </c>
      <c r="E69" s="13">
        <v>11037.096</v>
      </c>
      <c r="F69" s="13">
        <v>31248</v>
      </c>
      <c r="G69" s="13">
        <v>7562</v>
      </c>
      <c r="H69" s="13">
        <v>8496</v>
      </c>
      <c r="I69" s="13">
        <v>6330</v>
      </c>
      <c r="J69" s="13">
        <v>7982</v>
      </c>
      <c r="K69" s="13">
        <v>7679</v>
      </c>
      <c r="L69" s="13">
        <v>9002</v>
      </c>
      <c r="M69" s="13">
        <v>14551</v>
      </c>
      <c r="N69" s="13">
        <v>17462</v>
      </c>
      <c r="O69" s="13">
        <v>15730</v>
      </c>
      <c r="P69" s="13">
        <v>33035</v>
      </c>
      <c r="Q69" s="13">
        <v>14275</v>
      </c>
      <c r="R69" s="13">
        <v>13522</v>
      </c>
      <c r="S69" s="13">
        <v>13589</v>
      </c>
      <c r="T69" s="13">
        <v>14798</v>
      </c>
      <c r="U69" s="13">
        <v>7411</v>
      </c>
      <c r="V69" s="13">
        <v>12865</v>
      </c>
      <c r="W69" s="13">
        <v>10230</v>
      </c>
    </row>
    <row r="70" spans="1:23" x14ac:dyDescent="0.25">
      <c r="A70" s="10" t="s">
        <v>61</v>
      </c>
      <c r="B70" s="10" t="s">
        <v>900</v>
      </c>
      <c r="C70" s="13">
        <v>143281.465</v>
      </c>
      <c r="D70" s="13">
        <v>162444.45699999999</v>
      </c>
      <c r="E70" s="13" t="s">
        <v>80</v>
      </c>
      <c r="F70" s="13">
        <v>260769</v>
      </c>
      <c r="G70" s="13">
        <v>274908</v>
      </c>
      <c r="H70" s="13">
        <v>292615</v>
      </c>
      <c r="I70" s="13">
        <v>370290</v>
      </c>
      <c r="J70" s="13">
        <v>424325</v>
      </c>
      <c r="K70" s="13">
        <v>443740</v>
      </c>
      <c r="L70" s="13">
        <v>497922</v>
      </c>
      <c r="M70" s="13">
        <v>561462</v>
      </c>
      <c r="N70" s="13">
        <v>574560</v>
      </c>
      <c r="O70" s="13">
        <v>640821</v>
      </c>
      <c r="P70" s="13">
        <v>756302</v>
      </c>
      <c r="Q70" s="13">
        <v>724490</v>
      </c>
      <c r="R70" s="13" t="s">
        <v>80</v>
      </c>
      <c r="S70" s="13" t="s">
        <v>80</v>
      </c>
      <c r="T70" s="13" t="s">
        <v>80</v>
      </c>
      <c r="U70" s="13" t="s">
        <v>80</v>
      </c>
      <c r="V70" s="13" t="s">
        <v>80</v>
      </c>
      <c r="W70" s="13">
        <v>1242008</v>
      </c>
    </row>
    <row r="71" spans="1:23" x14ac:dyDescent="0.25">
      <c r="A71" s="10" t="s">
        <v>120</v>
      </c>
      <c r="B71" s="10" t="s">
        <v>901</v>
      </c>
      <c r="C71" s="13">
        <v>187529.87899999999</v>
      </c>
      <c r="D71" s="13">
        <v>198825.97500000001</v>
      </c>
      <c r="E71" s="13" t="s">
        <v>80</v>
      </c>
      <c r="F71" s="13">
        <v>537279</v>
      </c>
      <c r="G71" s="13">
        <v>522164</v>
      </c>
      <c r="H71" s="13">
        <v>540331</v>
      </c>
      <c r="I71" s="13">
        <v>752195</v>
      </c>
      <c r="J71" s="13">
        <v>828057</v>
      </c>
      <c r="K71" s="13">
        <v>898097</v>
      </c>
      <c r="L71" s="13">
        <v>973310</v>
      </c>
      <c r="M71" s="13">
        <v>1061124</v>
      </c>
      <c r="N71" s="13">
        <v>1125418</v>
      </c>
      <c r="O71" s="13">
        <v>1206563</v>
      </c>
      <c r="P71" s="13">
        <v>1446006</v>
      </c>
      <c r="Q71" s="13">
        <v>1384012</v>
      </c>
      <c r="R71" s="13">
        <v>1562800</v>
      </c>
      <c r="S71" s="13">
        <v>1613639</v>
      </c>
      <c r="T71" s="13">
        <v>1831040</v>
      </c>
      <c r="U71" s="13">
        <v>2025654</v>
      </c>
      <c r="V71" s="13">
        <v>2222781</v>
      </c>
      <c r="W71" s="13">
        <v>2346450</v>
      </c>
    </row>
    <row r="72" spans="1:23" x14ac:dyDescent="0.25">
      <c r="A72" s="10" t="s">
        <v>902</v>
      </c>
      <c r="B72" s="10" t="s">
        <v>903</v>
      </c>
      <c r="C72" s="13">
        <v>199520.74400000001</v>
      </c>
      <c r="D72" s="13">
        <v>213186.59299999999</v>
      </c>
      <c r="E72" s="13" t="s">
        <v>80</v>
      </c>
      <c r="F72" s="13">
        <v>577025</v>
      </c>
      <c r="G72" s="13">
        <v>567138</v>
      </c>
      <c r="H72" s="13">
        <v>590558</v>
      </c>
      <c r="I72" s="13">
        <v>829277</v>
      </c>
      <c r="J72" s="13">
        <v>916567</v>
      </c>
      <c r="K72" s="13">
        <v>1006788</v>
      </c>
      <c r="L72" s="13">
        <v>1097982</v>
      </c>
      <c r="M72" s="13">
        <v>1198476</v>
      </c>
      <c r="N72" s="13">
        <v>1268119</v>
      </c>
      <c r="O72" s="13">
        <v>1354147</v>
      </c>
      <c r="P72" s="13">
        <v>1620470</v>
      </c>
      <c r="Q72" s="13">
        <v>1580010</v>
      </c>
      <c r="R72" s="13">
        <v>1787904</v>
      </c>
      <c r="S72" s="13">
        <v>1850879</v>
      </c>
      <c r="T72" s="13">
        <v>2070072</v>
      </c>
      <c r="U72" s="13">
        <v>2274859</v>
      </c>
      <c r="V72" s="13">
        <v>2471209</v>
      </c>
      <c r="W72" s="13">
        <v>2598663</v>
      </c>
    </row>
    <row r="73" spans="1:23" x14ac:dyDescent="0.25">
      <c r="A73" s="10" t="s">
        <v>904</v>
      </c>
      <c r="B73" s="10" t="s">
        <v>905</v>
      </c>
      <c r="C73" s="13" t="s">
        <v>80</v>
      </c>
      <c r="D73" s="13" t="s">
        <v>80</v>
      </c>
      <c r="E73" s="13" t="s">
        <v>80</v>
      </c>
      <c r="F73" s="13" t="s">
        <v>80</v>
      </c>
      <c r="G73" s="13" t="s">
        <v>80</v>
      </c>
      <c r="H73" s="13" t="s">
        <v>80</v>
      </c>
      <c r="I73" s="13">
        <v>42406</v>
      </c>
      <c r="J73" s="13">
        <v>51722</v>
      </c>
      <c r="K73" s="13">
        <v>62207</v>
      </c>
      <c r="L73" s="13">
        <v>73693</v>
      </c>
      <c r="M73" s="13">
        <v>80945</v>
      </c>
      <c r="N73" s="13">
        <v>90369</v>
      </c>
      <c r="O73" s="13">
        <v>107794</v>
      </c>
      <c r="P73" s="13">
        <v>140879</v>
      </c>
      <c r="Q73" s="13">
        <v>154487</v>
      </c>
      <c r="R73" s="13">
        <v>187846</v>
      </c>
      <c r="S73" s="13">
        <v>230425</v>
      </c>
      <c r="T73" s="13">
        <v>259161</v>
      </c>
      <c r="U73" s="13">
        <v>288892</v>
      </c>
      <c r="V73" s="13">
        <v>321727</v>
      </c>
      <c r="W73" s="13">
        <v>365502</v>
      </c>
    </row>
    <row r="74" spans="1:23" x14ac:dyDescent="0.25">
      <c r="A74" s="10" t="s">
        <v>906</v>
      </c>
      <c r="B74" s="10" t="s">
        <v>907</v>
      </c>
      <c r="C74" s="13" t="s">
        <v>80</v>
      </c>
      <c r="D74" s="13" t="s">
        <v>80</v>
      </c>
      <c r="E74" s="13" t="s">
        <v>80</v>
      </c>
      <c r="F74" s="13" t="s">
        <v>80</v>
      </c>
      <c r="G74" s="13">
        <v>2224</v>
      </c>
      <c r="H74" s="13">
        <v>867</v>
      </c>
      <c r="I74" s="13">
        <v>2705</v>
      </c>
      <c r="J74" s="13">
        <v>8413</v>
      </c>
      <c r="K74" s="13">
        <v>4282</v>
      </c>
      <c r="L74" s="13">
        <v>3224</v>
      </c>
      <c r="M74" s="13">
        <v>7541</v>
      </c>
      <c r="N74" s="13">
        <v>7348</v>
      </c>
      <c r="O74" s="13">
        <v>16047</v>
      </c>
      <c r="P74" s="13">
        <v>46795</v>
      </c>
      <c r="Q74" s="13">
        <v>42668</v>
      </c>
      <c r="R74" s="13">
        <v>47667</v>
      </c>
      <c r="S74" s="13">
        <v>47794</v>
      </c>
      <c r="T74" s="13">
        <v>31530</v>
      </c>
      <c r="U74" s="13">
        <v>35602</v>
      </c>
      <c r="V74" s="13">
        <v>44368</v>
      </c>
      <c r="W74" s="13">
        <v>55702</v>
      </c>
    </row>
    <row r="75" spans="1:23" x14ac:dyDescent="0.25">
      <c r="A75" s="10" t="s">
        <v>908</v>
      </c>
      <c r="B75" s="10" t="s">
        <v>909</v>
      </c>
      <c r="C75" s="13" t="s">
        <v>80</v>
      </c>
      <c r="D75" s="13" t="s">
        <v>80</v>
      </c>
      <c r="E75" s="13" t="s">
        <v>80</v>
      </c>
      <c r="F75" s="13" t="s">
        <v>80</v>
      </c>
      <c r="G75" s="13">
        <v>18168</v>
      </c>
      <c r="H75" s="13">
        <v>17803</v>
      </c>
      <c r="I75" s="13">
        <v>16543</v>
      </c>
      <c r="J75" s="13">
        <v>19455</v>
      </c>
      <c r="K75" s="13">
        <v>18001</v>
      </c>
      <c r="L75" s="13">
        <v>16468</v>
      </c>
      <c r="M75" s="13">
        <v>17385</v>
      </c>
      <c r="N75" s="13">
        <v>21917</v>
      </c>
      <c r="O75" s="13">
        <v>32445</v>
      </c>
      <c r="P75" s="13">
        <v>33560</v>
      </c>
      <c r="Q75" s="13">
        <v>48050</v>
      </c>
      <c r="R75" s="13">
        <v>57152</v>
      </c>
      <c r="S75" s="13">
        <v>80574</v>
      </c>
      <c r="T75" s="13">
        <v>65981</v>
      </c>
      <c r="U75" s="13">
        <v>55421</v>
      </c>
      <c r="V75" s="13">
        <v>86928</v>
      </c>
      <c r="W75" s="13">
        <v>74984</v>
      </c>
    </row>
    <row r="76" spans="1:23" x14ac:dyDescent="0.25">
      <c r="A76" s="10" t="s">
        <v>910</v>
      </c>
      <c r="B76" s="10" t="s">
        <v>911</v>
      </c>
      <c r="C76" s="13" t="s">
        <v>80</v>
      </c>
      <c r="D76" s="13" t="s">
        <v>80</v>
      </c>
      <c r="E76" s="13" t="s">
        <v>80</v>
      </c>
      <c r="F76" s="13" t="s">
        <v>80</v>
      </c>
      <c r="G76" s="13">
        <v>-641</v>
      </c>
      <c r="H76" s="13">
        <v>-1000</v>
      </c>
      <c r="I76" s="13">
        <v>-172</v>
      </c>
      <c r="J76" s="13">
        <v>-547</v>
      </c>
      <c r="K76" s="13">
        <v>-1083</v>
      </c>
      <c r="L76" s="13">
        <v>-75</v>
      </c>
      <c r="M76" s="13">
        <v>1069</v>
      </c>
      <c r="N76" s="13">
        <v>2084</v>
      </c>
      <c r="O76" s="13">
        <v>1684</v>
      </c>
      <c r="P76" s="13">
        <v>1751</v>
      </c>
      <c r="Q76" s="13">
        <v>77</v>
      </c>
      <c r="R76" s="13">
        <v>134</v>
      </c>
      <c r="S76" s="13">
        <v>168</v>
      </c>
      <c r="T76" s="13">
        <v>83</v>
      </c>
      <c r="U76" s="13">
        <v>-108</v>
      </c>
      <c r="V76" s="13">
        <v>465</v>
      </c>
      <c r="W76" s="13">
        <v>34</v>
      </c>
    </row>
    <row r="77" spans="1:23" x14ac:dyDescent="0.25">
      <c r="A77" s="10" t="s">
        <v>912</v>
      </c>
      <c r="B77" s="10" t="s">
        <v>913</v>
      </c>
      <c r="C77" s="13" t="s">
        <v>80</v>
      </c>
      <c r="D77" s="13" t="s">
        <v>80</v>
      </c>
      <c r="E77" s="13" t="s">
        <v>80</v>
      </c>
      <c r="F77" s="13" t="s">
        <v>80</v>
      </c>
      <c r="G77" s="13" t="s">
        <v>80</v>
      </c>
      <c r="H77" s="13" t="s">
        <v>80</v>
      </c>
      <c r="I77" s="13">
        <v>1246</v>
      </c>
      <c r="J77" s="13">
        <v>805</v>
      </c>
      <c r="K77" s="13">
        <v>759</v>
      </c>
      <c r="L77" s="13">
        <v>1619</v>
      </c>
      <c r="M77" s="13">
        <v>1735</v>
      </c>
      <c r="N77" s="13">
        <v>1747</v>
      </c>
      <c r="O77" s="13">
        <v>1255</v>
      </c>
      <c r="P77" s="13">
        <v>1325</v>
      </c>
      <c r="Q77" s="13">
        <v>1505</v>
      </c>
      <c r="R77" s="13">
        <v>2269</v>
      </c>
      <c r="S77" s="13">
        <v>2514</v>
      </c>
      <c r="T77" s="13">
        <v>1729</v>
      </c>
      <c r="U77" s="13">
        <v>2379</v>
      </c>
      <c r="V77" s="13">
        <v>3018</v>
      </c>
      <c r="W77" s="13">
        <v>3516</v>
      </c>
    </row>
    <row r="78" spans="1:23" x14ac:dyDescent="0.25">
      <c r="A78" s="10" t="s">
        <v>914</v>
      </c>
      <c r="B78" s="10" t="s">
        <v>915</v>
      </c>
      <c r="C78" s="13" t="s">
        <v>80</v>
      </c>
      <c r="D78" s="13" t="s">
        <v>80</v>
      </c>
      <c r="E78" s="13" t="s">
        <v>80</v>
      </c>
      <c r="F78" s="13" t="s">
        <v>80</v>
      </c>
      <c r="G78" s="13">
        <v>3154</v>
      </c>
      <c r="H78" s="13">
        <v>3181</v>
      </c>
      <c r="I78" s="13">
        <v>3224</v>
      </c>
      <c r="J78" s="13">
        <v>3399</v>
      </c>
      <c r="K78" s="13">
        <v>5811</v>
      </c>
      <c r="L78" s="13">
        <v>6657</v>
      </c>
      <c r="M78" s="13">
        <v>5765</v>
      </c>
      <c r="N78" s="13">
        <v>4825</v>
      </c>
      <c r="O78" s="13">
        <v>5491</v>
      </c>
      <c r="P78" s="13">
        <v>5207</v>
      </c>
      <c r="Q78" s="13">
        <v>6486</v>
      </c>
      <c r="R78" s="13">
        <v>9215</v>
      </c>
      <c r="S78" s="13">
        <v>8835</v>
      </c>
      <c r="T78" s="13">
        <v>33342</v>
      </c>
      <c r="U78" s="13">
        <v>33885</v>
      </c>
      <c r="V78" s="13">
        <v>22236</v>
      </c>
      <c r="W78" s="13">
        <v>30081</v>
      </c>
    </row>
    <row r="79" spans="1:23" x14ac:dyDescent="0.25">
      <c r="A79" s="10" t="s">
        <v>916</v>
      </c>
      <c r="B79" s="10" t="s">
        <v>917</v>
      </c>
      <c r="C79" s="13">
        <v>2015.8630000000001</v>
      </c>
      <c r="D79" s="13">
        <v>2218.4899999999998</v>
      </c>
      <c r="E79" s="13">
        <v>6810.2650000000003</v>
      </c>
      <c r="F79" s="13">
        <v>7014</v>
      </c>
      <c r="G79" s="13">
        <v>5854</v>
      </c>
      <c r="H79" s="13">
        <v>6705</v>
      </c>
      <c r="I79" s="13">
        <v>8517</v>
      </c>
      <c r="J79" s="13">
        <v>10888</v>
      </c>
      <c r="K79" s="13">
        <v>13508</v>
      </c>
      <c r="L79" s="13">
        <v>15228</v>
      </c>
      <c r="M79" s="13">
        <v>17108</v>
      </c>
      <c r="N79" s="13">
        <v>19308</v>
      </c>
      <c r="O79" s="13">
        <v>23908</v>
      </c>
      <c r="P79" s="13">
        <v>31958</v>
      </c>
      <c r="Q79" s="13">
        <v>36528</v>
      </c>
      <c r="R79" s="13">
        <v>30508</v>
      </c>
      <c r="S79" s="13">
        <v>35048</v>
      </c>
      <c r="T79" s="13" t="s">
        <v>80</v>
      </c>
      <c r="U79" s="13" t="s">
        <v>80</v>
      </c>
      <c r="V79" s="13" t="s">
        <v>80</v>
      </c>
      <c r="W79" s="13">
        <v>58788</v>
      </c>
    </row>
    <row r="80" spans="1:23" x14ac:dyDescent="0.25">
      <c r="A80" s="10" t="s">
        <v>918</v>
      </c>
      <c r="B80" s="10" t="s">
        <v>919</v>
      </c>
      <c r="C80" s="13" t="s">
        <v>80</v>
      </c>
      <c r="D80" s="13" t="s">
        <v>80</v>
      </c>
      <c r="E80" s="13" t="s">
        <v>80</v>
      </c>
      <c r="F80" s="13" t="s">
        <v>80</v>
      </c>
      <c r="G80" s="13" t="s">
        <v>80</v>
      </c>
      <c r="H80" s="13" t="s">
        <v>80</v>
      </c>
      <c r="I80" s="13" t="s">
        <v>80</v>
      </c>
      <c r="J80" s="13" t="s">
        <v>80</v>
      </c>
      <c r="K80" s="13" t="s">
        <v>80</v>
      </c>
      <c r="L80" s="13" t="s">
        <v>80</v>
      </c>
      <c r="M80" s="13">
        <v>0</v>
      </c>
      <c r="N80" s="13">
        <v>-283</v>
      </c>
      <c r="O80" s="13">
        <v>-830</v>
      </c>
      <c r="P80" s="13">
        <v>-548</v>
      </c>
      <c r="Q80" s="13">
        <v>-1946</v>
      </c>
      <c r="R80" s="13">
        <v>-2490</v>
      </c>
      <c r="S80" s="13">
        <v>-2075</v>
      </c>
      <c r="T80" s="13">
        <v>-1669</v>
      </c>
      <c r="U80" s="13">
        <v>-1758</v>
      </c>
      <c r="V80" s="13">
        <v>-2377</v>
      </c>
      <c r="W80" s="13" t="s">
        <v>80</v>
      </c>
    </row>
    <row r="81" spans="1:23" x14ac:dyDescent="0.25">
      <c r="A81" s="10" t="s">
        <v>920</v>
      </c>
      <c r="B81" s="10" t="s">
        <v>921</v>
      </c>
      <c r="C81" s="13">
        <v>-5233.0460000000003</v>
      </c>
      <c r="D81" s="13">
        <v>-5437.8159999999998</v>
      </c>
      <c r="E81" s="13" t="s">
        <v>80</v>
      </c>
      <c r="F81" s="13" t="s">
        <v>80</v>
      </c>
      <c r="G81" s="13" t="s">
        <v>80</v>
      </c>
      <c r="H81" s="13" t="s">
        <v>80</v>
      </c>
      <c r="I81" s="13">
        <v>0</v>
      </c>
      <c r="J81" s="13">
        <v>0</v>
      </c>
      <c r="K81" s="13">
        <v>0</v>
      </c>
      <c r="L81" s="13" t="s">
        <v>80</v>
      </c>
      <c r="M81" s="13" t="s">
        <v>80</v>
      </c>
      <c r="N81" s="13" t="s">
        <v>80</v>
      </c>
      <c r="O81" s="13" t="s">
        <v>80</v>
      </c>
      <c r="P81" s="13" t="s">
        <v>80</v>
      </c>
      <c r="Q81" s="13" t="s">
        <v>80</v>
      </c>
      <c r="R81" s="13" t="s">
        <v>80</v>
      </c>
      <c r="S81" s="13" t="s">
        <v>80</v>
      </c>
      <c r="T81" s="13" t="s">
        <v>80</v>
      </c>
      <c r="U81" s="13" t="s">
        <v>80</v>
      </c>
      <c r="V81" s="13" t="s">
        <v>80</v>
      </c>
      <c r="W81" s="13" t="s">
        <v>80</v>
      </c>
    </row>
    <row r="82" spans="1:23" x14ac:dyDescent="0.25">
      <c r="A82" s="10" t="s">
        <v>922</v>
      </c>
      <c r="B82" s="10" t="s">
        <v>923</v>
      </c>
      <c r="C82" s="13" t="s">
        <v>80</v>
      </c>
      <c r="D82" s="13" t="s">
        <v>80</v>
      </c>
      <c r="E82" s="13" t="s">
        <v>80</v>
      </c>
      <c r="F82" s="13" t="s">
        <v>80</v>
      </c>
      <c r="G82" s="13" t="s">
        <v>80</v>
      </c>
      <c r="H82" s="13" t="s">
        <v>80</v>
      </c>
      <c r="I82" s="13" t="s">
        <v>80</v>
      </c>
      <c r="J82" s="13" t="s">
        <v>80</v>
      </c>
      <c r="K82" s="13" t="s">
        <v>80</v>
      </c>
      <c r="L82" s="13" t="s">
        <v>80</v>
      </c>
      <c r="M82" s="13" t="s">
        <v>80</v>
      </c>
      <c r="N82" s="13" t="s">
        <v>80</v>
      </c>
      <c r="O82" s="13" t="s">
        <v>80</v>
      </c>
      <c r="P82" s="13" t="s">
        <v>80</v>
      </c>
      <c r="Q82" s="13" t="s">
        <v>80</v>
      </c>
      <c r="R82" s="13">
        <v>8</v>
      </c>
      <c r="S82" s="13">
        <v>0</v>
      </c>
      <c r="T82" s="13" t="s">
        <v>80</v>
      </c>
      <c r="U82" s="13">
        <v>0</v>
      </c>
      <c r="V82" s="13" t="s">
        <v>80</v>
      </c>
      <c r="W82" s="13">
        <v>0</v>
      </c>
    </row>
    <row r="83" spans="1:23" x14ac:dyDescent="0.25">
      <c r="A83" s="10" t="s">
        <v>924</v>
      </c>
      <c r="B83" s="10" t="s">
        <v>925</v>
      </c>
      <c r="C83" s="13" t="s">
        <v>80</v>
      </c>
      <c r="D83" s="13" t="s">
        <v>80</v>
      </c>
      <c r="E83" s="13" t="s">
        <v>80</v>
      </c>
      <c r="F83" s="13" t="s">
        <v>80</v>
      </c>
      <c r="G83" s="13">
        <v>8968</v>
      </c>
      <c r="H83" s="13">
        <v>9871</v>
      </c>
      <c r="I83" s="13">
        <v>15446</v>
      </c>
      <c r="J83" s="13">
        <v>15027</v>
      </c>
      <c r="K83" s="13">
        <v>12936</v>
      </c>
      <c r="L83" s="13">
        <v>15041</v>
      </c>
      <c r="M83" s="13">
        <v>17458</v>
      </c>
      <c r="N83" s="13">
        <v>18037</v>
      </c>
      <c r="O83" s="13">
        <v>20532</v>
      </c>
      <c r="P83" s="13" t="s">
        <v>80</v>
      </c>
      <c r="Q83" s="13" t="s">
        <v>80</v>
      </c>
      <c r="R83" s="13" t="s">
        <v>80</v>
      </c>
      <c r="S83" s="13" t="s">
        <v>80</v>
      </c>
      <c r="T83" s="13">
        <v>34847</v>
      </c>
      <c r="U83" s="13">
        <v>37037</v>
      </c>
      <c r="V83" s="13">
        <v>32527</v>
      </c>
      <c r="W83" s="13" t="s">
        <v>80</v>
      </c>
    </row>
    <row r="84" spans="1:23" x14ac:dyDescent="0.25">
      <c r="A84" s="10" t="s">
        <v>926</v>
      </c>
      <c r="B84" s="10" t="s">
        <v>927</v>
      </c>
      <c r="C84" s="13">
        <v>89322.847999999998</v>
      </c>
      <c r="D84" s="13">
        <v>96285.752999999997</v>
      </c>
      <c r="E84" s="13" t="s">
        <v>80</v>
      </c>
      <c r="F84" s="13">
        <v>132419</v>
      </c>
      <c r="G84" s="13">
        <v>137327</v>
      </c>
      <c r="H84" s="13">
        <v>139020</v>
      </c>
      <c r="I84" s="13">
        <v>173724</v>
      </c>
      <c r="J84" s="13">
        <v>208588</v>
      </c>
      <c r="K84" s="13">
        <v>184117</v>
      </c>
      <c r="L84" s="13">
        <v>193664</v>
      </c>
      <c r="M84" s="13">
        <v>212546</v>
      </c>
      <c r="N84" s="13">
        <v>191920</v>
      </c>
      <c r="O84" s="13">
        <v>242853</v>
      </c>
      <c r="P84" s="13">
        <v>331938</v>
      </c>
      <c r="Q84" s="13">
        <v>278950</v>
      </c>
      <c r="R84" s="13">
        <v>266519</v>
      </c>
      <c r="S84" s="13">
        <v>240151</v>
      </c>
      <c r="T84" s="13">
        <v>279155</v>
      </c>
      <c r="U84" s="13">
        <v>340196</v>
      </c>
      <c r="V84" s="13">
        <v>365479</v>
      </c>
      <c r="W84" s="13">
        <v>389273</v>
      </c>
    </row>
    <row r="85" spans="1:23" x14ac:dyDescent="0.25">
      <c r="A85" s="10" t="s">
        <v>928</v>
      </c>
      <c r="B85" s="10" t="s">
        <v>929</v>
      </c>
      <c r="C85" s="13" t="s">
        <v>80</v>
      </c>
      <c r="D85" s="13" t="s">
        <v>80</v>
      </c>
      <c r="E85" s="13" t="s">
        <v>80</v>
      </c>
      <c r="F85" s="13" t="s">
        <v>80</v>
      </c>
      <c r="G85" s="13" t="s">
        <v>80</v>
      </c>
      <c r="H85" s="13" t="s">
        <v>80</v>
      </c>
      <c r="I85" s="13" t="s">
        <v>80</v>
      </c>
      <c r="J85" s="13" t="s">
        <v>80</v>
      </c>
      <c r="K85" s="13" t="s">
        <v>80</v>
      </c>
      <c r="L85" s="13" t="s">
        <v>80</v>
      </c>
      <c r="M85" s="13" t="s">
        <v>80</v>
      </c>
      <c r="N85" s="13" t="s">
        <v>80</v>
      </c>
      <c r="O85" s="13">
        <v>95569</v>
      </c>
      <c r="P85" s="13">
        <v>109413</v>
      </c>
      <c r="Q85" s="13">
        <v>130746</v>
      </c>
      <c r="R85" s="13">
        <v>159054</v>
      </c>
      <c r="S85" s="13">
        <v>170985</v>
      </c>
      <c r="T85" s="13">
        <v>236043</v>
      </c>
      <c r="U85" s="13">
        <v>249353</v>
      </c>
      <c r="V85" s="13">
        <v>249409</v>
      </c>
      <c r="W85" s="13">
        <v>192276</v>
      </c>
    </row>
    <row r="86" spans="1:23" x14ac:dyDescent="0.25">
      <c r="A86" s="10" t="s">
        <v>930</v>
      </c>
      <c r="B86" s="10" t="s">
        <v>931</v>
      </c>
      <c r="C86" s="13" t="s">
        <v>80</v>
      </c>
      <c r="D86" s="13" t="s">
        <v>80</v>
      </c>
      <c r="E86" s="13" t="s">
        <v>80</v>
      </c>
      <c r="F86" s="13" t="s">
        <v>80</v>
      </c>
      <c r="G86" s="13" t="s">
        <v>80</v>
      </c>
      <c r="H86" s="13" t="s">
        <v>80</v>
      </c>
      <c r="I86" s="13" t="s">
        <v>80</v>
      </c>
      <c r="J86" s="13" t="s">
        <v>80</v>
      </c>
      <c r="K86" s="13" t="s">
        <v>80</v>
      </c>
      <c r="L86" s="13" t="s">
        <v>80</v>
      </c>
      <c r="M86" s="13" t="s">
        <v>80</v>
      </c>
      <c r="N86" s="13" t="s">
        <v>80</v>
      </c>
      <c r="O86" s="13" t="s">
        <v>80</v>
      </c>
      <c r="P86" s="13" t="s">
        <v>80</v>
      </c>
      <c r="Q86" s="13" t="s">
        <v>80</v>
      </c>
      <c r="R86" s="13" t="s">
        <v>80</v>
      </c>
      <c r="S86" s="13" t="s">
        <v>80</v>
      </c>
      <c r="T86" s="13">
        <v>29120</v>
      </c>
      <c r="U86" s="13">
        <v>21534</v>
      </c>
      <c r="V86" s="13">
        <v>22130</v>
      </c>
      <c r="W86" s="13">
        <v>8283</v>
      </c>
    </row>
    <row r="87" spans="1:23" x14ac:dyDescent="0.25">
      <c r="A87" s="10" t="s">
        <v>932</v>
      </c>
      <c r="B87" s="10" t="s">
        <v>933</v>
      </c>
      <c r="C87" s="13" t="s">
        <v>80</v>
      </c>
      <c r="D87" s="13" t="s">
        <v>80</v>
      </c>
      <c r="E87" s="13" t="s">
        <v>80</v>
      </c>
      <c r="F87" s="13" t="s">
        <v>80</v>
      </c>
      <c r="G87" s="13" t="s">
        <v>80</v>
      </c>
      <c r="H87" s="13" t="s">
        <v>80</v>
      </c>
      <c r="I87" s="13" t="s">
        <v>80</v>
      </c>
      <c r="J87" s="13" t="s">
        <v>80</v>
      </c>
      <c r="K87" s="13" t="s">
        <v>80</v>
      </c>
      <c r="L87" s="13" t="s">
        <v>80</v>
      </c>
      <c r="M87" s="13" t="s">
        <v>80</v>
      </c>
      <c r="N87" s="13" t="s">
        <v>80</v>
      </c>
      <c r="O87" s="13" t="s">
        <v>80</v>
      </c>
      <c r="P87" s="13" t="s">
        <v>80</v>
      </c>
      <c r="Q87" s="13" t="s">
        <v>80</v>
      </c>
      <c r="R87" s="13" t="s">
        <v>80</v>
      </c>
      <c r="S87" s="13" t="s">
        <v>80</v>
      </c>
      <c r="T87" s="13">
        <v>3956</v>
      </c>
      <c r="U87" s="13">
        <v>2259</v>
      </c>
      <c r="V87" s="13">
        <v>3798</v>
      </c>
      <c r="W87" s="13">
        <v>13</v>
      </c>
    </row>
    <row r="88" spans="1:23" x14ac:dyDescent="0.25">
      <c r="A88" s="10" t="s">
        <v>934</v>
      </c>
      <c r="B88" s="10" t="s">
        <v>935</v>
      </c>
      <c r="C88" s="13" t="s">
        <v>80</v>
      </c>
      <c r="D88" s="13" t="s">
        <v>80</v>
      </c>
      <c r="E88" s="13" t="s">
        <v>80</v>
      </c>
      <c r="F88" s="13" t="s">
        <v>80</v>
      </c>
      <c r="G88" s="13" t="s">
        <v>80</v>
      </c>
      <c r="H88" s="13" t="s">
        <v>80</v>
      </c>
      <c r="I88" s="13" t="s">
        <v>80</v>
      </c>
      <c r="J88" s="13" t="s">
        <v>80</v>
      </c>
      <c r="K88" s="13" t="s">
        <v>80</v>
      </c>
      <c r="L88" s="13" t="s">
        <v>80</v>
      </c>
      <c r="M88" s="13" t="s">
        <v>80</v>
      </c>
      <c r="N88" s="13" t="s">
        <v>80</v>
      </c>
      <c r="O88" s="13" t="s">
        <v>80</v>
      </c>
      <c r="P88" s="13" t="s">
        <v>80</v>
      </c>
      <c r="Q88" s="13" t="s">
        <v>80</v>
      </c>
      <c r="R88" s="13" t="s">
        <v>80</v>
      </c>
      <c r="S88" s="13" t="s">
        <v>80</v>
      </c>
      <c r="T88" s="13" t="s">
        <v>80</v>
      </c>
      <c r="U88" s="13" t="s">
        <v>80</v>
      </c>
      <c r="V88" s="13" t="s">
        <v>80</v>
      </c>
      <c r="W88" s="13">
        <v>575</v>
      </c>
    </row>
    <row r="89" spans="1:23" x14ac:dyDescent="0.25">
      <c r="A89" s="10" t="s">
        <v>487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x14ac:dyDescent="0.25">
      <c r="A90" s="10" t="s">
        <v>936</v>
      </c>
      <c r="B90" s="10" t="s">
        <v>937</v>
      </c>
      <c r="C90" s="13" t="s">
        <v>80</v>
      </c>
      <c r="D90" s="13" t="s">
        <v>80</v>
      </c>
      <c r="E90" s="13" t="s">
        <v>80</v>
      </c>
      <c r="F90" s="13" t="s">
        <v>80</v>
      </c>
      <c r="G90" s="13" t="s">
        <v>80</v>
      </c>
      <c r="H90" s="13" t="s">
        <v>80</v>
      </c>
      <c r="I90" s="13" t="s">
        <v>80</v>
      </c>
      <c r="J90" s="13" t="s">
        <v>80</v>
      </c>
      <c r="K90" s="13" t="s">
        <v>80</v>
      </c>
      <c r="L90" s="13" t="s">
        <v>80</v>
      </c>
      <c r="M90" s="13" t="s">
        <v>80</v>
      </c>
      <c r="N90" s="13" t="s">
        <v>80</v>
      </c>
      <c r="O90" s="13" t="s">
        <v>80</v>
      </c>
      <c r="P90" s="13" t="s">
        <v>80</v>
      </c>
      <c r="Q90" s="13">
        <v>197908</v>
      </c>
      <c r="R90" s="13">
        <v>237358</v>
      </c>
      <c r="S90" s="13">
        <v>228792</v>
      </c>
      <c r="T90" s="13">
        <v>210035</v>
      </c>
      <c r="U90" s="13">
        <v>220056</v>
      </c>
      <c r="V90" s="13" t="s">
        <v>80</v>
      </c>
      <c r="W90" s="13">
        <v>383744</v>
      </c>
    </row>
    <row r="91" spans="1:23" x14ac:dyDescent="0.25">
      <c r="A91" s="10" t="s">
        <v>938</v>
      </c>
      <c r="B91" s="10" t="s">
        <v>939</v>
      </c>
      <c r="C91" s="13" t="s">
        <v>80</v>
      </c>
      <c r="D91" s="13" t="s">
        <v>80</v>
      </c>
      <c r="E91" s="13" t="s">
        <v>80</v>
      </c>
      <c r="F91" s="13" t="s">
        <v>80</v>
      </c>
      <c r="G91" s="13" t="s">
        <v>80</v>
      </c>
      <c r="H91" s="13" t="s">
        <v>80</v>
      </c>
      <c r="I91" s="13" t="s">
        <v>80</v>
      </c>
      <c r="J91" s="13" t="s">
        <v>80</v>
      </c>
      <c r="K91" s="13" t="s">
        <v>80</v>
      </c>
      <c r="L91" s="13" t="s">
        <v>80</v>
      </c>
      <c r="M91" s="13" t="s">
        <v>80</v>
      </c>
      <c r="N91" s="13" t="s">
        <v>80</v>
      </c>
      <c r="O91" s="13" t="s">
        <v>80</v>
      </c>
      <c r="P91" s="13" t="s">
        <v>80</v>
      </c>
      <c r="Q91" s="13">
        <v>2373</v>
      </c>
      <c r="R91" s="13">
        <v>5279</v>
      </c>
      <c r="S91" s="13">
        <v>2486</v>
      </c>
      <c r="T91" s="13">
        <v>-3853</v>
      </c>
      <c r="U91" s="13">
        <v>-1790</v>
      </c>
      <c r="V91" s="13">
        <v>374746</v>
      </c>
      <c r="W91" s="13">
        <v>-3344</v>
      </c>
    </row>
    <row r="92" spans="1:23" x14ac:dyDescent="0.25">
      <c r="A92" s="10" t="s">
        <v>790</v>
      </c>
      <c r="B92" s="10" t="s">
        <v>940</v>
      </c>
      <c r="C92" s="13" t="s">
        <v>80</v>
      </c>
      <c r="D92" s="13" t="s">
        <v>80</v>
      </c>
      <c r="E92" s="13" t="s">
        <v>80</v>
      </c>
      <c r="F92" s="13" t="s">
        <v>80</v>
      </c>
      <c r="G92" s="13">
        <v>3035</v>
      </c>
      <c r="H92" s="13">
        <v>2964</v>
      </c>
      <c r="I92" s="13">
        <v>8218</v>
      </c>
      <c r="J92" s="13">
        <v>4182</v>
      </c>
      <c r="K92" s="13">
        <v>3651</v>
      </c>
      <c r="L92" s="13">
        <v>3080</v>
      </c>
      <c r="M92" s="13">
        <v>2741</v>
      </c>
      <c r="N92" s="13">
        <v>2152</v>
      </c>
      <c r="O92" s="13">
        <v>29786</v>
      </c>
      <c r="P92" s="13" t="s">
        <v>80</v>
      </c>
      <c r="Q92" s="13" t="s">
        <v>80</v>
      </c>
      <c r="R92" s="13" t="s">
        <v>80</v>
      </c>
      <c r="S92" s="13" t="s">
        <v>80</v>
      </c>
      <c r="T92" s="13" t="s">
        <v>80</v>
      </c>
      <c r="U92" s="13" t="s">
        <v>80</v>
      </c>
      <c r="V92" s="13" t="s">
        <v>80</v>
      </c>
      <c r="W92" s="13" t="s">
        <v>80</v>
      </c>
    </row>
    <row r="93" spans="1:23" x14ac:dyDescent="0.25">
      <c r="A93" s="10" t="s">
        <v>941</v>
      </c>
      <c r="B93" s="10" t="s">
        <v>942</v>
      </c>
      <c r="C93" s="13" t="s">
        <v>80</v>
      </c>
      <c r="D93" s="13" t="s">
        <v>80</v>
      </c>
      <c r="E93" s="13" t="s">
        <v>80</v>
      </c>
      <c r="F93" s="13" t="s">
        <v>80</v>
      </c>
      <c r="G93" s="13">
        <v>13229</v>
      </c>
      <c r="H93" s="13">
        <v>14195</v>
      </c>
      <c r="I93" s="13">
        <v>18713</v>
      </c>
      <c r="J93" s="13">
        <v>19930</v>
      </c>
      <c r="K93" s="13">
        <v>20727</v>
      </c>
      <c r="L93" s="13">
        <v>23079</v>
      </c>
      <c r="M93" s="13">
        <v>25659</v>
      </c>
      <c r="N93" s="13">
        <v>27686</v>
      </c>
      <c r="O93" s="13">
        <v>31450</v>
      </c>
      <c r="P93" s="13">
        <v>32713</v>
      </c>
      <c r="Q93" s="13">
        <v>34471</v>
      </c>
      <c r="R93" s="13">
        <v>56375</v>
      </c>
      <c r="S93" s="13">
        <v>39648</v>
      </c>
      <c r="T93" s="13">
        <v>49117</v>
      </c>
      <c r="U93" s="13">
        <v>52832</v>
      </c>
      <c r="V93" s="13">
        <v>56250</v>
      </c>
      <c r="W93" s="13">
        <v>63129</v>
      </c>
    </row>
    <row r="94" spans="1:23" x14ac:dyDescent="0.25">
      <c r="A94" s="10" t="s">
        <v>943</v>
      </c>
      <c r="B94" s="10" t="s">
        <v>944</v>
      </c>
      <c r="C94" s="13" t="s">
        <v>80</v>
      </c>
      <c r="D94" s="13" t="s">
        <v>80</v>
      </c>
      <c r="E94" s="13" t="s">
        <v>80</v>
      </c>
      <c r="F94" s="13" t="s">
        <v>80</v>
      </c>
      <c r="G94" s="13">
        <v>4607</v>
      </c>
      <c r="H94" s="13">
        <v>4879</v>
      </c>
      <c r="I94" s="13">
        <v>6928</v>
      </c>
      <c r="J94" s="13">
        <v>7944</v>
      </c>
      <c r="K94" s="13">
        <v>8694</v>
      </c>
      <c r="L94" s="13">
        <v>10234</v>
      </c>
      <c r="M94" s="13">
        <v>11122</v>
      </c>
      <c r="N94" s="13">
        <v>11857</v>
      </c>
      <c r="O94" s="13">
        <v>13280</v>
      </c>
      <c r="P94" s="13">
        <v>15029</v>
      </c>
      <c r="Q94" s="13">
        <v>15708</v>
      </c>
      <c r="R94" s="13">
        <v>23748</v>
      </c>
      <c r="S94" s="13">
        <v>18197</v>
      </c>
      <c r="T94" s="13">
        <v>20332</v>
      </c>
      <c r="U94" s="13">
        <v>22281</v>
      </c>
      <c r="V94" s="13">
        <v>24337</v>
      </c>
      <c r="W94" s="13">
        <v>27845</v>
      </c>
    </row>
    <row r="95" spans="1:23" x14ac:dyDescent="0.25">
      <c r="A95" s="10" t="s">
        <v>796</v>
      </c>
      <c r="B95" s="10" t="s">
        <v>945</v>
      </c>
      <c r="C95" s="13" t="s">
        <v>80</v>
      </c>
      <c r="D95" s="13" t="s">
        <v>80</v>
      </c>
      <c r="E95" s="13" t="s">
        <v>80</v>
      </c>
      <c r="F95" s="13" t="s">
        <v>80</v>
      </c>
      <c r="G95" s="13">
        <v>8622</v>
      </c>
      <c r="H95" s="13">
        <v>9316</v>
      </c>
      <c r="I95" s="13">
        <v>11785</v>
      </c>
      <c r="J95" s="13">
        <v>11986</v>
      </c>
      <c r="K95" s="13">
        <v>12033</v>
      </c>
      <c r="L95" s="13">
        <v>12845</v>
      </c>
      <c r="M95" s="13">
        <v>14537</v>
      </c>
      <c r="N95" s="13">
        <v>15829</v>
      </c>
      <c r="O95" s="13">
        <v>18170</v>
      </c>
      <c r="P95" s="13">
        <v>17684</v>
      </c>
      <c r="Q95" s="13">
        <v>18763</v>
      </c>
      <c r="R95" s="13">
        <v>32627</v>
      </c>
      <c r="S95" s="13">
        <v>21451</v>
      </c>
      <c r="T95" s="13">
        <v>28785</v>
      </c>
      <c r="U95" s="13">
        <v>30551</v>
      </c>
      <c r="V95" s="13">
        <v>31913</v>
      </c>
      <c r="W95" s="13">
        <v>35284</v>
      </c>
    </row>
    <row r="96" spans="1:23" x14ac:dyDescent="0.25">
      <c r="A96" s="10" t="s">
        <v>946</v>
      </c>
      <c r="B96" s="10" t="s">
        <v>947</v>
      </c>
      <c r="C96" s="13" t="s">
        <v>80</v>
      </c>
      <c r="D96" s="13" t="s">
        <v>80</v>
      </c>
      <c r="E96" s="13" t="s">
        <v>80</v>
      </c>
      <c r="F96" s="13" t="s">
        <v>80</v>
      </c>
      <c r="G96" s="13">
        <v>1411</v>
      </c>
      <c r="H96" s="13">
        <v>1340</v>
      </c>
      <c r="I96" s="13" t="s">
        <v>80</v>
      </c>
      <c r="J96" s="13" t="s">
        <v>80</v>
      </c>
      <c r="K96" s="13" t="s">
        <v>80</v>
      </c>
      <c r="L96" s="13">
        <v>2311</v>
      </c>
      <c r="M96" s="13">
        <v>2785</v>
      </c>
      <c r="N96" s="13">
        <v>3994</v>
      </c>
      <c r="O96" s="13">
        <v>2949</v>
      </c>
      <c r="P96" s="13">
        <v>4318</v>
      </c>
      <c r="Q96" s="13">
        <v>626</v>
      </c>
      <c r="R96" s="13" t="s">
        <v>80</v>
      </c>
      <c r="S96" s="13" t="s">
        <v>80</v>
      </c>
      <c r="T96" s="13" t="s">
        <v>80</v>
      </c>
      <c r="U96" s="13" t="s">
        <v>80</v>
      </c>
      <c r="V96" s="13" t="s">
        <v>80</v>
      </c>
      <c r="W96" s="13" t="s">
        <v>80</v>
      </c>
    </row>
    <row r="97" spans="1:23" x14ac:dyDescent="0.25">
      <c r="A97" s="10" t="s">
        <v>802</v>
      </c>
      <c r="B97" s="10" t="s">
        <v>948</v>
      </c>
      <c r="C97" s="13" t="s">
        <v>80</v>
      </c>
      <c r="D97" s="13" t="s">
        <v>80</v>
      </c>
      <c r="E97" s="13" t="s">
        <v>80</v>
      </c>
      <c r="F97" s="13" t="s">
        <v>80</v>
      </c>
      <c r="G97" s="13" t="s">
        <v>80</v>
      </c>
      <c r="H97" s="13" t="s">
        <v>80</v>
      </c>
      <c r="I97" s="13" t="s">
        <v>80</v>
      </c>
      <c r="J97" s="13">
        <v>5368</v>
      </c>
      <c r="K97" s="13">
        <v>6985</v>
      </c>
      <c r="L97" s="13">
        <v>8926</v>
      </c>
      <c r="M97" s="13">
        <v>12498</v>
      </c>
      <c r="N97" s="13">
        <v>13636</v>
      </c>
      <c r="O97" s="13" t="s">
        <v>80</v>
      </c>
      <c r="P97" s="13">
        <v>19940</v>
      </c>
      <c r="Q97" s="13" t="s">
        <v>80</v>
      </c>
      <c r="R97" s="13" t="s">
        <v>80</v>
      </c>
      <c r="S97" s="13" t="s">
        <v>80</v>
      </c>
      <c r="T97" s="13" t="s">
        <v>80</v>
      </c>
      <c r="U97" s="13" t="s">
        <v>80</v>
      </c>
      <c r="V97" s="13">
        <v>14898</v>
      </c>
      <c r="W97" s="13">
        <v>11590</v>
      </c>
    </row>
    <row r="98" spans="1:23" x14ac:dyDescent="0.25">
      <c r="A98" s="10" t="s">
        <v>804</v>
      </c>
      <c r="B98" s="10" t="s">
        <v>949</v>
      </c>
      <c r="C98" s="13" t="s">
        <v>80</v>
      </c>
      <c r="D98" s="13" t="s">
        <v>80</v>
      </c>
      <c r="E98" s="13" t="s">
        <v>80</v>
      </c>
      <c r="F98" s="13">
        <v>5377</v>
      </c>
      <c r="G98" s="13">
        <v>3121</v>
      </c>
      <c r="H98" s="13">
        <v>2950</v>
      </c>
      <c r="I98" s="13">
        <v>15689</v>
      </c>
      <c r="J98" s="13">
        <v>15356</v>
      </c>
      <c r="K98" s="13">
        <v>15381</v>
      </c>
      <c r="L98" s="13">
        <v>15771</v>
      </c>
      <c r="M98" s="13">
        <v>16362</v>
      </c>
      <c r="N98" s="13">
        <v>12679</v>
      </c>
      <c r="O98" s="13">
        <v>12644</v>
      </c>
      <c r="P98" s="13">
        <v>24453</v>
      </c>
      <c r="Q98" s="13">
        <v>26700</v>
      </c>
      <c r="R98" s="13">
        <v>26720</v>
      </c>
      <c r="S98" s="13">
        <v>26732</v>
      </c>
      <c r="T98" s="13">
        <v>26741</v>
      </c>
      <c r="U98" s="13">
        <v>26825</v>
      </c>
      <c r="V98" s="13">
        <v>28067</v>
      </c>
      <c r="W98" s="13">
        <v>27478</v>
      </c>
    </row>
    <row r="99" spans="1:23" x14ac:dyDescent="0.25">
      <c r="A99" s="10" t="s">
        <v>868</v>
      </c>
      <c r="B99" s="10" t="s">
        <v>950</v>
      </c>
      <c r="C99" s="13" t="s">
        <v>80</v>
      </c>
      <c r="D99" s="13" t="s">
        <v>80</v>
      </c>
      <c r="E99" s="13" t="s">
        <v>80</v>
      </c>
      <c r="F99" s="13" t="s">
        <v>80</v>
      </c>
      <c r="G99" s="13">
        <v>2773</v>
      </c>
      <c r="H99" s="13">
        <v>3333</v>
      </c>
      <c r="I99" s="13">
        <v>3692</v>
      </c>
      <c r="J99" s="13">
        <v>717</v>
      </c>
      <c r="K99" s="13">
        <v>239</v>
      </c>
      <c r="L99" s="13">
        <v>519</v>
      </c>
      <c r="M99" s="13">
        <v>461</v>
      </c>
      <c r="N99" s="13">
        <v>500</v>
      </c>
      <c r="O99" s="13">
        <v>612</v>
      </c>
      <c r="P99" s="13">
        <v>725</v>
      </c>
      <c r="Q99" s="13">
        <v>4606</v>
      </c>
      <c r="R99" s="13">
        <v>3202</v>
      </c>
      <c r="S99" s="13">
        <v>3363</v>
      </c>
      <c r="T99" s="13" t="s">
        <v>80</v>
      </c>
      <c r="U99" s="13" t="s">
        <v>80</v>
      </c>
      <c r="V99" s="13" t="s">
        <v>80</v>
      </c>
      <c r="W99" s="13" t="s">
        <v>80</v>
      </c>
    </row>
    <row r="100" spans="1:23" x14ac:dyDescent="0.25">
      <c r="A100" s="10" t="s">
        <v>951</v>
      </c>
      <c r="B100" s="10" t="s">
        <v>952</v>
      </c>
      <c r="C100" s="13" t="s">
        <v>80</v>
      </c>
      <c r="D100" s="13" t="s">
        <v>80</v>
      </c>
      <c r="E100" s="13" t="s">
        <v>80</v>
      </c>
      <c r="F100" s="13" t="s">
        <v>80</v>
      </c>
      <c r="G100" s="13" t="s">
        <v>80</v>
      </c>
      <c r="H100" s="13" t="s">
        <v>80</v>
      </c>
      <c r="I100" s="13" t="s">
        <v>80</v>
      </c>
      <c r="J100" s="13" t="s">
        <v>80</v>
      </c>
      <c r="K100" s="13" t="s">
        <v>80</v>
      </c>
      <c r="L100" s="13" t="s">
        <v>80</v>
      </c>
      <c r="M100" s="13" t="s">
        <v>80</v>
      </c>
      <c r="N100" s="13" t="s">
        <v>80</v>
      </c>
      <c r="O100" s="13" t="s">
        <v>80</v>
      </c>
      <c r="P100" s="13" t="s">
        <v>80</v>
      </c>
      <c r="Q100" s="13" t="s">
        <v>80</v>
      </c>
      <c r="R100" s="13" t="s">
        <v>80</v>
      </c>
      <c r="S100" s="13" t="s">
        <v>80</v>
      </c>
      <c r="T100" s="13" t="s">
        <v>80</v>
      </c>
      <c r="U100" s="13" t="s">
        <v>80</v>
      </c>
      <c r="V100" s="13">
        <v>-981</v>
      </c>
      <c r="W100" s="13">
        <v>3123</v>
      </c>
    </row>
    <row r="101" spans="1:23" x14ac:dyDescent="0.25">
      <c r="A101" s="10" t="s">
        <v>872</v>
      </c>
      <c r="B101" s="10" t="s">
        <v>953</v>
      </c>
      <c r="C101" s="13" t="s">
        <v>80</v>
      </c>
      <c r="D101" s="13" t="s">
        <v>80</v>
      </c>
      <c r="E101" s="13" t="s">
        <v>80</v>
      </c>
      <c r="F101" s="13" t="s">
        <v>80</v>
      </c>
      <c r="G101" s="13" t="s">
        <v>80</v>
      </c>
      <c r="H101" s="13" t="s">
        <v>80</v>
      </c>
      <c r="I101" s="13" t="s">
        <v>80</v>
      </c>
      <c r="J101" s="13" t="s">
        <v>80</v>
      </c>
      <c r="K101" s="13" t="s">
        <v>80</v>
      </c>
      <c r="L101" s="13" t="s">
        <v>80</v>
      </c>
      <c r="M101" s="13" t="s">
        <v>80</v>
      </c>
      <c r="N101" s="13" t="s">
        <v>80</v>
      </c>
      <c r="O101" s="13" t="s">
        <v>80</v>
      </c>
      <c r="P101" s="13" t="s">
        <v>80</v>
      </c>
      <c r="Q101" s="13" t="s">
        <v>80</v>
      </c>
      <c r="R101" s="13" t="s">
        <v>80</v>
      </c>
      <c r="S101" s="13" t="s">
        <v>80</v>
      </c>
      <c r="T101" s="13" t="s">
        <v>80</v>
      </c>
      <c r="U101" s="13" t="s">
        <v>80</v>
      </c>
      <c r="V101" s="13">
        <v>14711</v>
      </c>
      <c r="W101" s="13">
        <v>14674</v>
      </c>
    </row>
    <row r="102" spans="1:23" x14ac:dyDescent="0.25">
      <c r="A102" s="10" t="s">
        <v>874</v>
      </c>
      <c r="B102" s="10" t="s">
        <v>954</v>
      </c>
      <c r="C102" s="13" t="s">
        <v>80</v>
      </c>
      <c r="D102" s="13" t="s">
        <v>80</v>
      </c>
      <c r="E102" s="13" t="s">
        <v>80</v>
      </c>
      <c r="F102" s="13" t="s">
        <v>80</v>
      </c>
      <c r="G102" s="13" t="s">
        <v>80</v>
      </c>
      <c r="H102" s="13" t="s">
        <v>80</v>
      </c>
      <c r="I102" s="13" t="s">
        <v>80</v>
      </c>
      <c r="J102" s="13" t="s">
        <v>80</v>
      </c>
      <c r="K102" s="13" t="s">
        <v>80</v>
      </c>
      <c r="L102" s="13" t="s">
        <v>80</v>
      </c>
      <c r="M102" s="13" t="s">
        <v>80</v>
      </c>
      <c r="N102" s="13" t="s">
        <v>80</v>
      </c>
      <c r="O102" s="13" t="s">
        <v>80</v>
      </c>
      <c r="P102" s="13" t="s">
        <v>80</v>
      </c>
      <c r="Q102" s="13" t="s">
        <v>80</v>
      </c>
      <c r="R102" s="13" t="s">
        <v>80</v>
      </c>
      <c r="S102" s="13" t="s">
        <v>80</v>
      </c>
      <c r="T102" s="13" t="s">
        <v>80</v>
      </c>
      <c r="U102" s="13" t="s">
        <v>80</v>
      </c>
      <c r="V102" s="13">
        <v>48161</v>
      </c>
      <c r="W102" s="13">
        <v>42140</v>
      </c>
    </row>
    <row r="103" spans="1:23" x14ac:dyDescent="0.25">
      <c r="A103" s="10" t="s">
        <v>876</v>
      </c>
      <c r="B103" s="10" t="s">
        <v>955</v>
      </c>
      <c r="C103" s="13" t="s">
        <v>80</v>
      </c>
      <c r="D103" s="13" t="s">
        <v>80</v>
      </c>
      <c r="E103" s="13" t="s">
        <v>80</v>
      </c>
      <c r="F103" s="13" t="s">
        <v>80</v>
      </c>
      <c r="G103" s="13" t="s">
        <v>80</v>
      </c>
      <c r="H103" s="13" t="s">
        <v>80</v>
      </c>
      <c r="I103" s="13" t="s">
        <v>80</v>
      </c>
      <c r="J103" s="13" t="s">
        <v>80</v>
      </c>
      <c r="K103" s="13" t="s">
        <v>80</v>
      </c>
      <c r="L103" s="13" t="s">
        <v>80</v>
      </c>
      <c r="M103" s="13" t="s">
        <v>80</v>
      </c>
      <c r="N103" s="13" t="s">
        <v>80</v>
      </c>
      <c r="O103" s="13" t="s">
        <v>80</v>
      </c>
      <c r="P103" s="13" t="s">
        <v>80</v>
      </c>
      <c r="Q103" s="13" t="s">
        <v>80</v>
      </c>
      <c r="R103" s="13" t="s">
        <v>80</v>
      </c>
      <c r="S103" s="13" t="s">
        <v>80</v>
      </c>
      <c r="T103" s="13" t="s">
        <v>80</v>
      </c>
      <c r="U103" s="13" t="s">
        <v>80</v>
      </c>
      <c r="V103" s="13">
        <v>170319</v>
      </c>
      <c r="W103" s="13">
        <v>106548</v>
      </c>
    </row>
    <row r="104" spans="1:23" x14ac:dyDescent="0.25">
      <c r="A104" s="10" t="s">
        <v>878</v>
      </c>
      <c r="B104" s="10" t="s">
        <v>956</v>
      </c>
      <c r="C104" s="13" t="s">
        <v>80</v>
      </c>
      <c r="D104" s="13" t="s">
        <v>80</v>
      </c>
      <c r="E104" s="13" t="s">
        <v>80</v>
      </c>
      <c r="F104" s="13" t="s">
        <v>80</v>
      </c>
      <c r="G104" s="13" t="s">
        <v>80</v>
      </c>
      <c r="H104" s="13" t="s">
        <v>80</v>
      </c>
      <c r="I104" s="13" t="s">
        <v>80</v>
      </c>
      <c r="J104" s="13" t="s">
        <v>80</v>
      </c>
      <c r="K104" s="13" t="s">
        <v>80</v>
      </c>
      <c r="L104" s="13" t="s">
        <v>80</v>
      </c>
      <c r="M104" s="13" t="s">
        <v>80</v>
      </c>
      <c r="N104" s="13" t="s">
        <v>80</v>
      </c>
      <c r="O104" s="13" t="s">
        <v>80</v>
      </c>
      <c r="P104" s="13" t="s">
        <v>80</v>
      </c>
      <c r="Q104" s="13" t="s">
        <v>80</v>
      </c>
      <c r="R104" s="13" t="s">
        <v>80</v>
      </c>
      <c r="S104" s="13" t="s">
        <v>80</v>
      </c>
      <c r="T104" s="13" t="s">
        <v>80</v>
      </c>
      <c r="U104" s="13" t="s">
        <v>80</v>
      </c>
      <c r="V104" s="13">
        <v>-4106</v>
      </c>
      <c r="W104" s="13">
        <v>-3750</v>
      </c>
    </row>
    <row r="105" spans="1:23" x14ac:dyDescent="0.25">
      <c r="A105" s="10" t="s">
        <v>756</v>
      </c>
      <c r="B105" s="10" t="s">
        <v>957</v>
      </c>
      <c r="C105" s="13">
        <v>499.92610000000002</v>
      </c>
      <c r="D105" s="13">
        <v>504.55189999999999</v>
      </c>
      <c r="E105" s="13">
        <v>2018.3</v>
      </c>
      <c r="F105" s="13">
        <v>2013.9974999999999</v>
      </c>
      <c r="G105" s="13">
        <v>2017.8475000000001</v>
      </c>
      <c r="H105" s="13">
        <v>2018.3475000000001</v>
      </c>
      <c r="I105" s="13">
        <v>2312.8375999999998</v>
      </c>
      <c r="J105" s="13">
        <v>2326.4</v>
      </c>
      <c r="K105" s="13">
        <v>2773.7296000000001</v>
      </c>
      <c r="L105" s="13">
        <v>2769.3438999999998</v>
      </c>
      <c r="M105" s="13">
        <v>2758.4643000000001</v>
      </c>
      <c r="N105" s="13">
        <v>2749.2201</v>
      </c>
      <c r="O105" s="13">
        <v>2753.9765000000002</v>
      </c>
      <c r="P105" s="13">
        <v>2858.9868999999999</v>
      </c>
      <c r="Q105" s="13">
        <v>2867.5232999999998</v>
      </c>
      <c r="R105" s="13">
        <v>2846.8443000000002</v>
      </c>
      <c r="S105" s="13">
        <v>2857.4385000000002</v>
      </c>
      <c r="T105" s="13">
        <v>2857.1005</v>
      </c>
      <c r="U105" s="13">
        <v>2866.4162000000001</v>
      </c>
      <c r="V105" s="13">
        <v>2787.3714</v>
      </c>
      <c r="W105" s="13">
        <v>2813.1565999999998</v>
      </c>
    </row>
    <row r="106" spans="1:23" x14ac:dyDescent="0.25">
      <c r="A106" s="10" t="s">
        <v>880</v>
      </c>
      <c r="B106" s="10" t="s">
        <v>958</v>
      </c>
      <c r="C106" s="14" t="s">
        <v>80</v>
      </c>
      <c r="D106" s="14" t="s">
        <v>80</v>
      </c>
      <c r="E106" s="14" t="s">
        <v>80</v>
      </c>
      <c r="F106" s="14" t="s">
        <v>80</v>
      </c>
      <c r="G106" s="14">
        <v>3.5</v>
      </c>
      <c r="H106" s="14">
        <v>3.5</v>
      </c>
      <c r="I106" s="14">
        <v>3.5</v>
      </c>
      <c r="J106" s="14">
        <v>3.5</v>
      </c>
      <c r="K106" s="14">
        <v>3.5</v>
      </c>
      <c r="L106" s="14">
        <v>3.5</v>
      </c>
      <c r="M106" s="14">
        <v>3.5</v>
      </c>
      <c r="N106" s="14">
        <v>3.5</v>
      </c>
      <c r="O106" s="14">
        <v>3.5</v>
      </c>
      <c r="P106" s="14">
        <v>3.5</v>
      </c>
      <c r="Q106" s="14">
        <v>3.5</v>
      </c>
      <c r="R106" s="14">
        <v>3.5</v>
      </c>
      <c r="S106" s="14">
        <v>3.5</v>
      </c>
      <c r="T106" s="14">
        <v>3.5</v>
      </c>
      <c r="U106" s="14">
        <v>3.5</v>
      </c>
      <c r="V106" s="14">
        <v>3.5</v>
      </c>
      <c r="W106" s="14">
        <v>3.5</v>
      </c>
    </row>
    <row r="107" spans="1:23" x14ac:dyDescent="0.25">
      <c r="A107" s="10" t="s">
        <v>959</v>
      </c>
      <c r="B107" s="10" t="s">
        <v>960</v>
      </c>
      <c r="C107" s="13" t="s">
        <v>80</v>
      </c>
      <c r="D107" s="13" t="s">
        <v>80</v>
      </c>
      <c r="E107" s="13" t="s">
        <v>80</v>
      </c>
      <c r="F107" s="13" t="s">
        <v>80</v>
      </c>
      <c r="G107" s="13" t="s">
        <v>80</v>
      </c>
      <c r="H107" s="13" t="s">
        <v>80</v>
      </c>
      <c r="I107" s="13" t="s">
        <v>80</v>
      </c>
      <c r="J107" s="13" t="s">
        <v>80</v>
      </c>
      <c r="K107" s="13" t="s">
        <v>80</v>
      </c>
      <c r="L107" s="13" t="s">
        <v>80</v>
      </c>
      <c r="M107" s="13" t="s">
        <v>80</v>
      </c>
      <c r="N107" s="13" t="s">
        <v>80</v>
      </c>
      <c r="O107" s="13" t="s">
        <v>80</v>
      </c>
      <c r="P107" s="13" t="s">
        <v>80</v>
      </c>
      <c r="Q107" s="13" t="s">
        <v>80</v>
      </c>
      <c r="R107" s="13" t="s">
        <v>80</v>
      </c>
      <c r="S107" s="13" t="s">
        <v>80</v>
      </c>
      <c r="T107" s="13">
        <v>0</v>
      </c>
      <c r="U107" s="13">
        <v>0</v>
      </c>
      <c r="V107" s="13" t="s">
        <v>80</v>
      </c>
      <c r="W107" s="13" t="s">
        <v>80</v>
      </c>
    </row>
    <row r="108" spans="1:23" x14ac:dyDescent="0.25">
      <c r="A108" s="10" t="s">
        <v>961</v>
      </c>
      <c r="B108" s="10" t="s">
        <v>962</v>
      </c>
      <c r="C108" s="13" t="s">
        <v>80</v>
      </c>
      <c r="D108" s="13" t="s">
        <v>80</v>
      </c>
      <c r="E108" s="13" t="s">
        <v>80</v>
      </c>
      <c r="F108" s="13" t="s">
        <v>80</v>
      </c>
      <c r="G108" s="13" t="s">
        <v>80</v>
      </c>
      <c r="H108" s="13" t="s">
        <v>80</v>
      </c>
      <c r="I108" s="13" t="s">
        <v>80</v>
      </c>
      <c r="J108" s="13" t="s">
        <v>80</v>
      </c>
      <c r="K108" s="13" t="s">
        <v>80</v>
      </c>
      <c r="L108" s="13" t="s">
        <v>80</v>
      </c>
      <c r="M108" s="13" t="s">
        <v>80</v>
      </c>
      <c r="N108" s="13" t="s">
        <v>80</v>
      </c>
      <c r="O108" s="13">
        <v>2773.7</v>
      </c>
      <c r="P108" s="13" t="s">
        <v>80</v>
      </c>
      <c r="Q108" s="13" t="s">
        <v>80</v>
      </c>
      <c r="R108" s="13" t="s">
        <v>80</v>
      </c>
      <c r="S108" s="13" t="s">
        <v>80</v>
      </c>
      <c r="T108" s="13" t="s">
        <v>80</v>
      </c>
      <c r="U108" s="13" t="s">
        <v>80</v>
      </c>
      <c r="V108" s="13" t="s">
        <v>80</v>
      </c>
      <c r="W108" s="13" t="s">
        <v>80</v>
      </c>
    </row>
    <row r="109" spans="1:23" x14ac:dyDescent="0.25">
      <c r="A109" s="10" t="s">
        <v>806</v>
      </c>
      <c r="B109" s="10" t="s">
        <v>963</v>
      </c>
      <c r="C109" s="13" t="s">
        <v>80</v>
      </c>
      <c r="D109" s="13" t="s">
        <v>80</v>
      </c>
      <c r="E109" s="13" t="s">
        <v>80</v>
      </c>
      <c r="F109" s="13" t="s">
        <v>80</v>
      </c>
      <c r="G109" s="13" t="s">
        <v>80</v>
      </c>
      <c r="H109" s="13" t="s">
        <v>80</v>
      </c>
      <c r="I109" s="13" t="s">
        <v>80</v>
      </c>
      <c r="J109" s="13" t="s">
        <v>80</v>
      </c>
      <c r="K109" s="13" t="s">
        <v>80</v>
      </c>
      <c r="L109" s="13">
        <v>89758</v>
      </c>
      <c r="M109" s="13">
        <v>99825</v>
      </c>
      <c r="N109" s="13">
        <v>114718</v>
      </c>
      <c r="O109" s="13">
        <v>135334</v>
      </c>
      <c r="P109" s="13">
        <v>155748</v>
      </c>
      <c r="Q109" s="13">
        <v>170086</v>
      </c>
      <c r="R109" s="13">
        <v>189394</v>
      </c>
      <c r="S109" s="13">
        <v>202536</v>
      </c>
      <c r="T109" s="13">
        <v>228797</v>
      </c>
      <c r="U109" s="13">
        <v>255316</v>
      </c>
      <c r="V109" s="13">
        <v>274790</v>
      </c>
      <c r="W109" s="13">
        <v>295419</v>
      </c>
    </row>
    <row r="110" spans="1:23" x14ac:dyDescent="0.25">
      <c r="A110" s="10" t="s">
        <v>964</v>
      </c>
      <c r="B110" s="10" t="s">
        <v>965</v>
      </c>
      <c r="C110" s="13" t="s">
        <v>80</v>
      </c>
      <c r="D110" s="13" t="s">
        <v>80</v>
      </c>
      <c r="E110" s="13" t="s">
        <v>80</v>
      </c>
      <c r="F110" s="13">
        <v>159</v>
      </c>
      <c r="G110" s="13">
        <v>197</v>
      </c>
      <c r="H110" s="13">
        <v>207</v>
      </c>
      <c r="I110" s="13">
        <v>202</v>
      </c>
      <c r="J110" s="13">
        <v>179</v>
      </c>
      <c r="K110" s="13">
        <v>115</v>
      </c>
      <c r="L110" s="13">
        <v>111</v>
      </c>
      <c r="M110" s="13">
        <v>110</v>
      </c>
      <c r="N110" s="13">
        <v>130</v>
      </c>
      <c r="O110" s="13">
        <v>87</v>
      </c>
      <c r="P110" s="13" t="s">
        <v>80</v>
      </c>
      <c r="Q110" s="13" t="s">
        <v>80</v>
      </c>
      <c r="R110" s="13" t="s">
        <v>80</v>
      </c>
      <c r="S110" s="13" t="s">
        <v>80</v>
      </c>
      <c r="T110" s="13" t="s">
        <v>80</v>
      </c>
      <c r="U110" s="13" t="s">
        <v>80</v>
      </c>
      <c r="V110" s="13" t="s">
        <v>80</v>
      </c>
      <c r="W110" s="13" t="s">
        <v>80</v>
      </c>
    </row>
    <row r="111" spans="1:23" x14ac:dyDescent="0.25">
      <c r="A111" s="10" t="s">
        <v>966</v>
      </c>
      <c r="B111" s="10" t="s">
        <v>967</v>
      </c>
      <c r="C111" s="13" t="s">
        <v>80</v>
      </c>
      <c r="D111" s="13" t="s">
        <v>80</v>
      </c>
      <c r="E111" s="13" t="s">
        <v>80</v>
      </c>
      <c r="F111" s="13" t="s">
        <v>80</v>
      </c>
      <c r="G111" s="13" t="s">
        <v>80</v>
      </c>
      <c r="H111" s="13" t="s">
        <v>80</v>
      </c>
      <c r="I111" s="13" t="s">
        <v>80</v>
      </c>
      <c r="J111" s="13" t="s">
        <v>80</v>
      </c>
      <c r="K111" s="13" t="s">
        <v>80</v>
      </c>
      <c r="L111" s="13" t="s">
        <v>80</v>
      </c>
      <c r="M111" s="13" t="s">
        <v>80</v>
      </c>
      <c r="N111" s="13" t="s">
        <v>80</v>
      </c>
      <c r="O111" s="13" t="s">
        <v>80</v>
      </c>
      <c r="P111" s="13">
        <v>1096</v>
      </c>
      <c r="Q111" s="13">
        <v>1353</v>
      </c>
      <c r="R111" s="13">
        <v>1435</v>
      </c>
      <c r="S111" s="13">
        <v>1899</v>
      </c>
      <c r="T111" s="13" t="s">
        <v>80</v>
      </c>
      <c r="U111" s="13" t="s">
        <v>80</v>
      </c>
      <c r="V111" s="13" t="s">
        <v>80</v>
      </c>
      <c r="W111" s="13" t="s">
        <v>80</v>
      </c>
    </row>
    <row r="112" spans="1:23" x14ac:dyDescent="0.25">
      <c r="A112" s="10" t="s">
        <v>968</v>
      </c>
      <c r="B112" s="10" t="s">
        <v>969</v>
      </c>
      <c r="C112" s="13" t="s">
        <v>80</v>
      </c>
      <c r="D112" s="13" t="s">
        <v>80</v>
      </c>
      <c r="E112" s="13" t="s">
        <v>80</v>
      </c>
      <c r="F112" s="13" t="s">
        <v>80</v>
      </c>
      <c r="G112" s="13" t="s">
        <v>80</v>
      </c>
      <c r="H112" s="13" t="s">
        <v>80</v>
      </c>
      <c r="I112" s="13" t="s">
        <v>80</v>
      </c>
      <c r="J112" s="13" t="s">
        <v>80</v>
      </c>
      <c r="K112" s="13" t="s">
        <v>80</v>
      </c>
      <c r="L112" s="13" t="s">
        <v>80</v>
      </c>
      <c r="M112" s="13" t="s">
        <v>80</v>
      </c>
      <c r="N112" s="13" t="s">
        <v>80</v>
      </c>
      <c r="O112" s="13" t="s">
        <v>80</v>
      </c>
      <c r="P112" s="13">
        <v>1139</v>
      </c>
      <c r="Q112" s="13">
        <v>1400</v>
      </c>
      <c r="R112" s="13">
        <v>1485</v>
      </c>
      <c r="S112" s="13">
        <v>1966</v>
      </c>
      <c r="T112" s="13" t="s">
        <v>80</v>
      </c>
      <c r="U112" s="13" t="s">
        <v>80</v>
      </c>
      <c r="V112" s="13" t="s">
        <v>80</v>
      </c>
      <c r="W112" s="13" t="s">
        <v>80</v>
      </c>
    </row>
    <row r="113" spans="1:23" x14ac:dyDescent="0.25">
      <c r="A113" s="10" t="s">
        <v>970</v>
      </c>
      <c r="B113" s="10" t="s">
        <v>971</v>
      </c>
      <c r="C113" s="13" t="s">
        <v>80</v>
      </c>
      <c r="D113" s="13" t="s">
        <v>80</v>
      </c>
      <c r="E113" s="13" t="s">
        <v>80</v>
      </c>
      <c r="F113" s="13" t="s">
        <v>80</v>
      </c>
      <c r="G113" s="13" t="s">
        <v>80</v>
      </c>
      <c r="H113" s="13" t="s">
        <v>80</v>
      </c>
      <c r="I113" s="13" t="s">
        <v>80</v>
      </c>
      <c r="J113" s="13" t="s">
        <v>80</v>
      </c>
      <c r="K113" s="13" t="s">
        <v>80</v>
      </c>
      <c r="L113" s="13" t="s">
        <v>80</v>
      </c>
      <c r="M113" s="13" t="s">
        <v>80</v>
      </c>
      <c r="N113" s="13" t="s">
        <v>80</v>
      </c>
      <c r="O113" s="13" t="s">
        <v>80</v>
      </c>
      <c r="P113" s="13">
        <v>1185</v>
      </c>
      <c r="Q113" s="13">
        <v>1449</v>
      </c>
      <c r="R113" s="13">
        <v>1537</v>
      </c>
      <c r="S113" s="13">
        <v>2034</v>
      </c>
      <c r="T113" s="13" t="s">
        <v>80</v>
      </c>
      <c r="U113" s="13" t="s">
        <v>80</v>
      </c>
      <c r="V113" s="13" t="s">
        <v>80</v>
      </c>
      <c r="W113" s="13" t="s">
        <v>80</v>
      </c>
    </row>
    <row r="114" spans="1:23" x14ac:dyDescent="0.25">
      <c r="A114" s="10" t="s">
        <v>972</v>
      </c>
      <c r="B114" s="10" t="s">
        <v>973</v>
      </c>
      <c r="C114" s="13" t="s">
        <v>80</v>
      </c>
      <c r="D114" s="13" t="s">
        <v>80</v>
      </c>
      <c r="E114" s="13" t="s">
        <v>80</v>
      </c>
      <c r="F114" s="13" t="s">
        <v>80</v>
      </c>
      <c r="G114" s="13" t="s">
        <v>80</v>
      </c>
      <c r="H114" s="13" t="s">
        <v>80</v>
      </c>
      <c r="I114" s="13" t="s">
        <v>80</v>
      </c>
      <c r="J114" s="13" t="s">
        <v>80</v>
      </c>
      <c r="K114" s="13" t="s">
        <v>80</v>
      </c>
      <c r="L114" s="13" t="s">
        <v>80</v>
      </c>
      <c r="M114" s="13" t="s">
        <v>80</v>
      </c>
      <c r="N114" s="13" t="s">
        <v>80</v>
      </c>
      <c r="O114" s="13" t="s">
        <v>80</v>
      </c>
      <c r="P114" s="13">
        <v>1232</v>
      </c>
      <c r="Q114" s="13">
        <v>1500</v>
      </c>
      <c r="R114" s="13">
        <v>1591</v>
      </c>
      <c r="S114" s="13" t="s">
        <v>80</v>
      </c>
      <c r="T114" s="13" t="s">
        <v>80</v>
      </c>
      <c r="U114" s="13" t="s">
        <v>80</v>
      </c>
      <c r="V114" s="13" t="s">
        <v>80</v>
      </c>
      <c r="W114" s="13" t="s">
        <v>80</v>
      </c>
    </row>
    <row r="115" spans="1:23" x14ac:dyDescent="0.25">
      <c r="A115" s="10" t="s">
        <v>974</v>
      </c>
      <c r="B115" s="10" t="s">
        <v>975</v>
      </c>
      <c r="C115" s="13" t="s">
        <v>80</v>
      </c>
      <c r="D115" s="13" t="s">
        <v>80</v>
      </c>
      <c r="E115" s="13" t="s">
        <v>80</v>
      </c>
      <c r="F115" s="13" t="s">
        <v>80</v>
      </c>
      <c r="G115" s="13" t="s">
        <v>80</v>
      </c>
      <c r="H115" s="13" t="s">
        <v>80</v>
      </c>
      <c r="I115" s="13" t="s">
        <v>80</v>
      </c>
      <c r="J115" s="13" t="s">
        <v>80</v>
      </c>
      <c r="K115" s="13" t="s">
        <v>80</v>
      </c>
      <c r="L115" s="13" t="s">
        <v>80</v>
      </c>
      <c r="M115" s="13" t="s">
        <v>80</v>
      </c>
      <c r="N115" s="13" t="s">
        <v>80</v>
      </c>
      <c r="O115" s="13" t="s">
        <v>80</v>
      </c>
      <c r="P115" s="13">
        <v>1282</v>
      </c>
      <c r="Q115" s="13" t="s">
        <v>80</v>
      </c>
      <c r="R115" s="13" t="s">
        <v>80</v>
      </c>
      <c r="S115" s="13" t="s">
        <v>80</v>
      </c>
      <c r="T115" s="13" t="s">
        <v>80</v>
      </c>
      <c r="U115" s="13" t="s">
        <v>80</v>
      </c>
      <c r="V115" s="13" t="s">
        <v>80</v>
      </c>
      <c r="W115" s="13" t="s">
        <v>80</v>
      </c>
    </row>
    <row r="116" spans="1:23" x14ac:dyDescent="0.25">
      <c r="A116" s="10" t="s">
        <v>976</v>
      </c>
      <c r="B116" s="10" t="s">
        <v>977</v>
      </c>
      <c r="C116" s="13" t="s">
        <v>80</v>
      </c>
      <c r="D116" s="13" t="s">
        <v>80</v>
      </c>
      <c r="E116" s="13" t="s">
        <v>80</v>
      </c>
      <c r="F116" s="13" t="s">
        <v>80</v>
      </c>
      <c r="G116" s="13" t="s">
        <v>80</v>
      </c>
      <c r="H116" s="13" t="s">
        <v>80</v>
      </c>
      <c r="I116" s="13" t="s">
        <v>80</v>
      </c>
      <c r="J116" s="13" t="s">
        <v>80</v>
      </c>
      <c r="K116" s="13" t="s">
        <v>80</v>
      </c>
      <c r="L116" s="13" t="s">
        <v>80</v>
      </c>
      <c r="M116" s="13" t="s">
        <v>80</v>
      </c>
      <c r="N116" s="13" t="s">
        <v>80</v>
      </c>
      <c r="O116" s="13" t="s">
        <v>80</v>
      </c>
      <c r="P116" s="13">
        <v>16004</v>
      </c>
      <c r="Q116" s="13">
        <v>20408</v>
      </c>
      <c r="R116" s="13">
        <v>19322</v>
      </c>
      <c r="S116" s="13">
        <v>27673</v>
      </c>
      <c r="T116" s="13" t="s">
        <v>80</v>
      </c>
      <c r="U116" s="13" t="s">
        <v>80</v>
      </c>
      <c r="V116" s="13" t="s">
        <v>80</v>
      </c>
      <c r="W116" s="13" t="s">
        <v>80</v>
      </c>
    </row>
    <row r="117" spans="1:23" x14ac:dyDescent="0.25">
      <c r="A117" s="10" t="s">
        <v>884</v>
      </c>
      <c r="B117" s="10" t="s">
        <v>978</v>
      </c>
      <c r="C117" s="13" t="s">
        <v>80</v>
      </c>
      <c r="D117" s="13" t="s">
        <v>80</v>
      </c>
      <c r="E117" s="13" t="s">
        <v>80</v>
      </c>
      <c r="F117" s="13" t="s">
        <v>80</v>
      </c>
      <c r="G117" s="13" t="s">
        <v>80</v>
      </c>
      <c r="H117" s="13" t="s">
        <v>80</v>
      </c>
      <c r="I117" s="13" t="s">
        <v>80</v>
      </c>
      <c r="J117" s="13" t="s">
        <v>80</v>
      </c>
      <c r="K117" s="13" t="s">
        <v>80</v>
      </c>
      <c r="L117" s="13" t="s">
        <v>80</v>
      </c>
      <c r="M117" s="13" t="s">
        <v>80</v>
      </c>
      <c r="N117" s="13" t="s">
        <v>80</v>
      </c>
      <c r="O117" s="13" t="s">
        <v>80</v>
      </c>
      <c r="P117" s="13" t="s">
        <v>80</v>
      </c>
      <c r="Q117" s="13" t="s">
        <v>80</v>
      </c>
      <c r="R117" s="13" t="s">
        <v>80</v>
      </c>
      <c r="S117" s="13" t="s">
        <v>80</v>
      </c>
      <c r="T117" s="13" t="s">
        <v>80</v>
      </c>
      <c r="U117" s="13" t="s">
        <v>80</v>
      </c>
      <c r="V117" s="13">
        <v>248428</v>
      </c>
      <c r="W117" s="13">
        <v>252213</v>
      </c>
    </row>
    <row r="118" spans="1:23" x14ac:dyDescent="0.25">
      <c r="A118" s="10" t="s">
        <v>979</v>
      </c>
      <c r="B118" s="10" t="s">
        <v>980</v>
      </c>
      <c r="C118" s="13" t="s">
        <v>80</v>
      </c>
      <c r="D118" s="13" t="s">
        <v>80</v>
      </c>
      <c r="E118" s="13" t="s">
        <v>80</v>
      </c>
      <c r="F118" s="13" t="s">
        <v>80</v>
      </c>
      <c r="G118" s="13">
        <v>49658</v>
      </c>
      <c r="H118" s="13">
        <v>52621</v>
      </c>
      <c r="I118" s="13" t="s">
        <v>80</v>
      </c>
      <c r="J118" s="13">
        <v>57814</v>
      </c>
      <c r="K118" s="13" t="s">
        <v>80</v>
      </c>
      <c r="L118" s="13">
        <v>77996</v>
      </c>
      <c r="M118" s="13">
        <v>80509</v>
      </c>
      <c r="N118" s="13">
        <v>97992</v>
      </c>
      <c r="O118" s="13">
        <v>108609</v>
      </c>
      <c r="P118" s="13">
        <v>128307</v>
      </c>
      <c r="Q118" s="13">
        <v>148438</v>
      </c>
      <c r="R118" s="13">
        <v>188595</v>
      </c>
      <c r="S118" s="13">
        <v>212295</v>
      </c>
      <c r="T118" s="13">
        <v>194923</v>
      </c>
      <c r="U118" s="13">
        <v>195819</v>
      </c>
      <c r="V118" s="13">
        <v>223322</v>
      </c>
      <c r="W118" s="13">
        <v>209991</v>
      </c>
    </row>
    <row r="119" spans="1:23" x14ac:dyDescent="0.25">
      <c r="A119" s="10" t="s">
        <v>808</v>
      </c>
      <c r="B119" s="10" t="s">
        <v>981</v>
      </c>
      <c r="C119" s="13" t="s">
        <v>80</v>
      </c>
      <c r="D119" s="13" t="s">
        <v>80</v>
      </c>
      <c r="E119" s="13" t="s">
        <v>80</v>
      </c>
      <c r="F119" s="13" t="s">
        <v>80</v>
      </c>
      <c r="G119" s="13">
        <v>24459</v>
      </c>
      <c r="H119" s="13">
        <v>66181</v>
      </c>
      <c r="I119" s="13">
        <v>115026</v>
      </c>
      <c r="J119" s="13">
        <v>123233</v>
      </c>
      <c r="K119" s="13">
        <v>232926</v>
      </c>
      <c r="L119" s="13">
        <v>248976</v>
      </c>
      <c r="M119" s="13">
        <v>244945</v>
      </c>
      <c r="N119" s="13">
        <v>181777</v>
      </c>
      <c r="O119" s="13" t="s">
        <v>80</v>
      </c>
      <c r="P119" s="13" t="s">
        <v>80</v>
      </c>
      <c r="Q119" s="13" t="s">
        <v>80</v>
      </c>
      <c r="R119" s="13" t="s">
        <v>80</v>
      </c>
      <c r="S119" s="13" t="s">
        <v>80</v>
      </c>
      <c r="T119" s="13" t="s">
        <v>80</v>
      </c>
      <c r="U119" s="13" t="s">
        <v>80</v>
      </c>
      <c r="V119" s="13" t="s">
        <v>80</v>
      </c>
      <c r="W119" s="13" t="s">
        <v>80</v>
      </c>
    </row>
    <row r="120" spans="1:23" x14ac:dyDescent="0.25">
      <c r="A120" s="10" t="s">
        <v>810</v>
      </c>
      <c r="B120" s="10" t="s">
        <v>982</v>
      </c>
      <c r="C120" s="13" t="s">
        <v>80</v>
      </c>
      <c r="D120" s="13" t="s">
        <v>80</v>
      </c>
      <c r="E120" s="13" t="s">
        <v>80</v>
      </c>
      <c r="F120" s="13" t="s">
        <v>80</v>
      </c>
      <c r="G120" s="13">
        <v>11701</v>
      </c>
      <c r="H120" s="13">
        <v>12288</v>
      </c>
      <c r="I120" s="13">
        <v>53666</v>
      </c>
      <c r="J120" s="13">
        <v>115291</v>
      </c>
      <c r="K120" s="13">
        <v>85031</v>
      </c>
      <c r="L120" s="13">
        <v>104937</v>
      </c>
      <c r="M120" s="13">
        <v>113465</v>
      </c>
      <c r="N120" s="13">
        <v>195087</v>
      </c>
      <c r="O120" s="13" t="s">
        <v>80</v>
      </c>
      <c r="P120" s="13" t="s">
        <v>80</v>
      </c>
      <c r="Q120" s="13" t="s">
        <v>80</v>
      </c>
      <c r="R120" s="13" t="s">
        <v>80</v>
      </c>
      <c r="S120" s="13" t="s">
        <v>80</v>
      </c>
      <c r="T120" s="13" t="s">
        <v>80</v>
      </c>
      <c r="U120" s="13" t="s">
        <v>80</v>
      </c>
      <c r="V120" s="13" t="s">
        <v>80</v>
      </c>
      <c r="W120" s="13" t="s">
        <v>80</v>
      </c>
    </row>
    <row r="121" spans="1:23" x14ac:dyDescent="0.25">
      <c r="A121" s="10" t="s">
        <v>812</v>
      </c>
      <c r="B121" s="10" t="s">
        <v>983</v>
      </c>
      <c r="C121" s="13" t="s">
        <v>80</v>
      </c>
      <c r="D121" s="13" t="s">
        <v>80</v>
      </c>
      <c r="E121" s="13" t="s">
        <v>80</v>
      </c>
      <c r="F121" s="13" t="s">
        <v>80</v>
      </c>
      <c r="G121" s="13">
        <v>111660</v>
      </c>
      <c r="H121" s="13">
        <v>120432</v>
      </c>
      <c r="I121" s="13">
        <v>162933</v>
      </c>
      <c r="J121" s="13">
        <v>179780</v>
      </c>
      <c r="K121" s="13">
        <v>176711</v>
      </c>
      <c r="L121" s="13">
        <v>194504</v>
      </c>
      <c r="M121" s="13">
        <v>212380</v>
      </c>
      <c r="N121" s="13">
        <v>228868</v>
      </c>
      <c r="O121" s="13">
        <v>233777</v>
      </c>
      <c r="P121" s="13">
        <v>302845</v>
      </c>
      <c r="Q121" s="13">
        <v>293499</v>
      </c>
      <c r="R121" s="13">
        <v>327713</v>
      </c>
      <c r="S121" s="13">
        <v>333265</v>
      </c>
      <c r="T121" s="13">
        <v>358601</v>
      </c>
      <c r="U121" s="13">
        <v>406094</v>
      </c>
      <c r="V121" s="13">
        <v>484349</v>
      </c>
      <c r="W121" s="13">
        <v>512509</v>
      </c>
    </row>
    <row r="122" spans="1:23" x14ac:dyDescent="0.25">
      <c r="A122" s="10" t="s">
        <v>984</v>
      </c>
      <c r="B122" s="10" t="s">
        <v>985</v>
      </c>
      <c r="C122" s="13" t="s">
        <v>80</v>
      </c>
      <c r="D122" s="13" t="s">
        <v>80</v>
      </c>
      <c r="E122" s="13" t="s">
        <v>80</v>
      </c>
      <c r="F122" s="13" t="s">
        <v>80</v>
      </c>
      <c r="G122" s="13">
        <v>5577</v>
      </c>
      <c r="H122" s="13">
        <v>6051</v>
      </c>
      <c r="I122" s="13">
        <v>6090</v>
      </c>
      <c r="J122" s="13">
        <v>6281</v>
      </c>
      <c r="K122" s="13">
        <v>7913</v>
      </c>
      <c r="L122" s="13" t="s">
        <v>80</v>
      </c>
      <c r="M122" s="13" t="s">
        <v>80</v>
      </c>
      <c r="N122" s="13" t="s">
        <v>80</v>
      </c>
      <c r="O122" s="13" t="s">
        <v>80</v>
      </c>
      <c r="P122" s="13" t="s">
        <v>80</v>
      </c>
      <c r="Q122" s="13" t="s">
        <v>80</v>
      </c>
      <c r="R122" s="13" t="s">
        <v>80</v>
      </c>
      <c r="S122" s="13" t="s">
        <v>80</v>
      </c>
      <c r="T122" s="13" t="s">
        <v>80</v>
      </c>
      <c r="U122" s="13" t="s">
        <v>80</v>
      </c>
      <c r="V122" s="13" t="s">
        <v>80</v>
      </c>
      <c r="W122" s="13" t="s">
        <v>80</v>
      </c>
    </row>
    <row r="123" spans="1:23" x14ac:dyDescent="0.25">
      <c r="A123" s="10" t="s">
        <v>814</v>
      </c>
      <c r="B123" s="10" t="s">
        <v>986</v>
      </c>
      <c r="C123" s="13" t="s">
        <v>80</v>
      </c>
      <c r="D123" s="13" t="s">
        <v>80</v>
      </c>
      <c r="E123" s="13" t="s">
        <v>80</v>
      </c>
      <c r="F123" s="13" t="s">
        <v>80</v>
      </c>
      <c r="G123" s="13">
        <v>13911</v>
      </c>
      <c r="H123" s="13">
        <v>16669</v>
      </c>
      <c r="I123" s="13">
        <v>22781</v>
      </c>
      <c r="J123" s="13">
        <v>28412</v>
      </c>
      <c r="K123" s="13">
        <v>37560</v>
      </c>
      <c r="L123" s="13" t="s">
        <v>80</v>
      </c>
      <c r="M123" s="13" t="s">
        <v>80</v>
      </c>
      <c r="N123" s="13" t="s">
        <v>80</v>
      </c>
      <c r="O123" s="13" t="s">
        <v>80</v>
      </c>
      <c r="P123" s="13" t="s">
        <v>80</v>
      </c>
      <c r="Q123" s="13" t="s">
        <v>80</v>
      </c>
      <c r="R123" s="13" t="s">
        <v>80</v>
      </c>
      <c r="S123" s="13" t="s">
        <v>80</v>
      </c>
      <c r="T123" s="13" t="s">
        <v>80</v>
      </c>
      <c r="U123" s="13" t="s">
        <v>80</v>
      </c>
      <c r="V123" s="13" t="s">
        <v>80</v>
      </c>
      <c r="W123" s="13" t="s">
        <v>80</v>
      </c>
    </row>
    <row r="124" spans="1:23" x14ac:dyDescent="0.25">
      <c r="A124" s="10" t="s">
        <v>987</v>
      </c>
      <c r="B124" s="10" t="s">
        <v>988</v>
      </c>
      <c r="C124" s="13" t="s">
        <v>80</v>
      </c>
      <c r="D124" s="13" t="s">
        <v>80</v>
      </c>
      <c r="E124" s="13" t="s">
        <v>80</v>
      </c>
      <c r="F124" s="13" t="s">
        <v>80</v>
      </c>
      <c r="G124" s="13">
        <v>11801</v>
      </c>
      <c r="H124" s="13">
        <v>11159</v>
      </c>
      <c r="I124" s="13">
        <v>11465</v>
      </c>
      <c r="J124" s="13">
        <v>17624</v>
      </c>
      <c r="K124" s="13">
        <v>20323</v>
      </c>
      <c r="L124" s="13">
        <v>23209</v>
      </c>
      <c r="M124" s="13">
        <v>24855</v>
      </c>
      <c r="N124" s="13">
        <v>28445</v>
      </c>
      <c r="O124" s="13">
        <v>33906</v>
      </c>
      <c r="P124" s="13">
        <v>36657</v>
      </c>
      <c r="Q124" s="13">
        <v>39700</v>
      </c>
      <c r="R124" s="13">
        <v>39771</v>
      </c>
      <c r="S124" s="13">
        <v>40451</v>
      </c>
      <c r="T124" s="13">
        <v>46236</v>
      </c>
      <c r="U124" s="13">
        <v>60107</v>
      </c>
      <c r="V124" s="13">
        <v>0</v>
      </c>
      <c r="W124" s="13">
        <v>0</v>
      </c>
    </row>
    <row r="125" spans="1:23" x14ac:dyDescent="0.25">
      <c r="A125" s="10" t="s">
        <v>989</v>
      </c>
      <c r="B125" s="10" t="s">
        <v>990</v>
      </c>
      <c r="C125" s="13" t="s">
        <v>80</v>
      </c>
      <c r="D125" s="13" t="s">
        <v>80</v>
      </c>
      <c r="E125" s="13" t="s">
        <v>80</v>
      </c>
      <c r="F125" s="13" t="s">
        <v>80</v>
      </c>
      <c r="G125" s="13">
        <v>49881</v>
      </c>
      <c r="H125" s="13">
        <v>56168</v>
      </c>
      <c r="I125" s="13">
        <v>64567</v>
      </c>
      <c r="J125" s="13">
        <v>72608</v>
      </c>
      <c r="K125" s="13">
        <v>82032</v>
      </c>
      <c r="L125" s="13" t="s">
        <v>80</v>
      </c>
      <c r="M125" s="13" t="s">
        <v>80</v>
      </c>
      <c r="N125" s="13" t="s">
        <v>80</v>
      </c>
      <c r="O125" s="13" t="s">
        <v>80</v>
      </c>
      <c r="P125" s="13" t="s">
        <v>80</v>
      </c>
      <c r="Q125" s="13" t="s">
        <v>80</v>
      </c>
      <c r="R125" s="13" t="s">
        <v>80</v>
      </c>
      <c r="S125" s="13" t="s">
        <v>80</v>
      </c>
      <c r="T125" s="13" t="s">
        <v>80</v>
      </c>
      <c r="U125" s="13" t="s">
        <v>80</v>
      </c>
      <c r="V125" s="13" t="s">
        <v>80</v>
      </c>
      <c r="W125" s="13" t="s">
        <v>80</v>
      </c>
    </row>
    <row r="126" spans="1:23" x14ac:dyDescent="0.25">
      <c r="A126" s="10" t="s">
        <v>820</v>
      </c>
      <c r="B126" s="10" t="s">
        <v>991</v>
      </c>
      <c r="C126" s="13" t="s">
        <v>80</v>
      </c>
      <c r="D126" s="13" t="s">
        <v>80</v>
      </c>
      <c r="E126" s="13" t="s">
        <v>80</v>
      </c>
      <c r="F126" s="13" t="s">
        <v>80</v>
      </c>
      <c r="G126" s="13" t="s">
        <v>80</v>
      </c>
      <c r="H126" s="13" t="s">
        <v>80</v>
      </c>
      <c r="I126" s="13" t="s">
        <v>80</v>
      </c>
      <c r="J126" s="13" t="s">
        <v>80</v>
      </c>
      <c r="K126" s="13" t="s">
        <v>80</v>
      </c>
      <c r="L126" s="13">
        <v>34098</v>
      </c>
      <c r="M126" s="13">
        <v>38482</v>
      </c>
      <c r="N126" s="13">
        <v>44838</v>
      </c>
      <c r="O126" s="13">
        <v>52469</v>
      </c>
      <c r="P126" s="13">
        <v>52653</v>
      </c>
      <c r="Q126" s="13">
        <v>51311</v>
      </c>
      <c r="R126" s="13">
        <v>53092</v>
      </c>
      <c r="S126" s="13">
        <v>53744</v>
      </c>
      <c r="T126" s="13">
        <v>103873</v>
      </c>
      <c r="U126" s="13">
        <v>121690</v>
      </c>
      <c r="V126" s="13">
        <v>208741</v>
      </c>
      <c r="W126" s="13">
        <v>241777</v>
      </c>
    </row>
    <row r="127" spans="1:23" x14ac:dyDescent="0.25">
      <c r="A127" s="10" t="s">
        <v>138</v>
      </c>
      <c r="B127" s="10" t="s">
        <v>992</v>
      </c>
      <c r="C127" s="13" t="s">
        <v>80</v>
      </c>
      <c r="D127" s="13" t="s">
        <v>80</v>
      </c>
      <c r="E127" s="13" t="s">
        <v>80</v>
      </c>
      <c r="F127" s="13" t="s">
        <v>80</v>
      </c>
      <c r="G127" s="13" t="s">
        <v>80</v>
      </c>
      <c r="H127" s="13" t="s">
        <v>80</v>
      </c>
      <c r="I127" s="13" t="s">
        <v>80</v>
      </c>
      <c r="J127" s="13" t="s">
        <v>80</v>
      </c>
      <c r="K127" s="13" t="s">
        <v>80</v>
      </c>
      <c r="L127" s="13" t="s">
        <v>80</v>
      </c>
      <c r="M127" s="13">
        <v>2105565</v>
      </c>
      <c r="N127" s="13">
        <v>2184877</v>
      </c>
      <c r="O127" s="13">
        <v>2423321</v>
      </c>
      <c r="P127" s="13">
        <v>2607083</v>
      </c>
      <c r="Q127" s="13">
        <v>2771604</v>
      </c>
      <c r="R127" s="13">
        <v>2975753</v>
      </c>
      <c r="S127" s="13">
        <v>3144794</v>
      </c>
      <c r="T127" s="13">
        <v>3214060</v>
      </c>
      <c r="U127" s="13">
        <v>3957801</v>
      </c>
      <c r="V127" s="13">
        <v>4495930</v>
      </c>
      <c r="W127" s="13">
        <v>5196669</v>
      </c>
    </row>
    <row r="128" spans="1:23" x14ac:dyDescent="0.25">
      <c r="A128" s="10" t="s">
        <v>993</v>
      </c>
      <c r="B128" s="10" t="s">
        <v>994</v>
      </c>
      <c r="C128" s="14">
        <v>1069</v>
      </c>
      <c r="D128" s="14">
        <v>1029</v>
      </c>
      <c r="E128" s="14" t="s">
        <v>80</v>
      </c>
      <c r="F128" s="14">
        <v>1118</v>
      </c>
      <c r="G128" s="14" t="s">
        <v>80</v>
      </c>
      <c r="H128" s="14" t="s">
        <v>80</v>
      </c>
      <c r="I128" s="14" t="s">
        <v>80</v>
      </c>
      <c r="J128" s="14">
        <v>1316</v>
      </c>
      <c r="K128" s="14" t="s">
        <v>80</v>
      </c>
      <c r="L128" s="14">
        <v>1269</v>
      </c>
      <c r="M128" s="14">
        <v>1191</v>
      </c>
      <c r="N128" s="14">
        <v>1175</v>
      </c>
      <c r="O128" s="14">
        <v>1148</v>
      </c>
      <c r="P128" s="14">
        <v>1150</v>
      </c>
      <c r="Q128" s="14">
        <v>1182</v>
      </c>
      <c r="R128" s="14">
        <v>1193</v>
      </c>
      <c r="S128" s="14">
        <v>1151</v>
      </c>
      <c r="T128" s="14">
        <v>1154</v>
      </c>
      <c r="U128" s="14" t="s">
        <v>80</v>
      </c>
      <c r="V128" s="14" t="s">
        <v>80</v>
      </c>
      <c r="W128" s="14" t="s">
        <v>80</v>
      </c>
    </row>
    <row r="129" spans="1:23" x14ac:dyDescent="0.25">
      <c r="A129" s="10" t="s">
        <v>824</v>
      </c>
      <c r="B129" s="10" t="s">
        <v>995</v>
      </c>
      <c r="C129" s="13" t="s">
        <v>80</v>
      </c>
      <c r="D129" s="13" t="s">
        <v>80</v>
      </c>
      <c r="E129" s="13" t="s">
        <v>80</v>
      </c>
      <c r="F129" s="13" t="s">
        <v>80</v>
      </c>
      <c r="G129" s="13">
        <v>46124</v>
      </c>
      <c r="H129" s="13">
        <v>53071</v>
      </c>
      <c r="I129" s="13">
        <v>82722</v>
      </c>
      <c r="J129" s="13">
        <v>96728</v>
      </c>
      <c r="K129" s="13">
        <v>100499</v>
      </c>
      <c r="L129" s="13">
        <v>119125</v>
      </c>
      <c r="M129" s="13">
        <v>130248</v>
      </c>
      <c r="N129" s="13">
        <v>134889</v>
      </c>
      <c r="O129" s="13">
        <v>134979</v>
      </c>
      <c r="P129" s="13">
        <v>197423</v>
      </c>
      <c r="Q129" s="13">
        <v>173988</v>
      </c>
      <c r="R129" s="13">
        <v>161600</v>
      </c>
      <c r="S129" s="13">
        <v>160407</v>
      </c>
      <c r="T129" s="13">
        <v>177255</v>
      </c>
      <c r="U129" s="13">
        <v>177520</v>
      </c>
      <c r="V129" s="13">
        <v>187406</v>
      </c>
      <c r="W129" s="13">
        <v>189244</v>
      </c>
    </row>
    <row r="130" spans="1:23" x14ac:dyDescent="0.25">
      <c r="A130" s="10" t="s">
        <v>826</v>
      </c>
      <c r="B130" s="10" t="s">
        <v>996</v>
      </c>
      <c r="C130" s="13" t="s">
        <v>80</v>
      </c>
      <c r="D130" s="13" t="s">
        <v>80</v>
      </c>
      <c r="E130" s="13" t="s">
        <v>80</v>
      </c>
      <c r="F130" s="13" t="s">
        <v>80</v>
      </c>
      <c r="G130" s="13" t="s">
        <v>80</v>
      </c>
      <c r="H130" s="13" t="s">
        <v>80</v>
      </c>
      <c r="I130" s="13" t="s">
        <v>80</v>
      </c>
      <c r="J130" s="13">
        <v>11734</v>
      </c>
      <c r="K130" s="13">
        <v>14289</v>
      </c>
      <c r="L130" s="13">
        <v>15287</v>
      </c>
      <c r="M130" s="13">
        <v>13813</v>
      </c>
      <c r="N130" s="13">
        <v>14384</v>
      </c>
      <c r="O130" s="13">
        <v>16122</v>
      </c>
      <c r="P130" s="13">
        <v>18844</v>
      </c>
      <c r="Q130" s="13">
        <v>17639</v>
      </c>
      <c r="R130" s="13">
        <v>20004</v>
      </c>
      <c r="S130" s="13">
        <v>16251</v>
      </c>
      <c r="T130" s="13">
        <v>17899</v>
      </c>
      <c r="U130" s="13">
        <v>19857</v>
      </c>
      <c r="V130" s="13">
        <v>20434</v>
      </c>
      <c r="W130" s="13">
        <v>24097</v>
      </c>
    </row>
    <row r="131" spans="1:23" x14ac:dyDescent="0.25">
      <c r="A131" s="10" t="s">
        <v>997</v>
      </c>
      <c r="B131" s="10" t="s">
        <v>998</v>
      </c>
      <c r="C131" s="13" t="s">
        <v>80</v>
      </c>
      <c r="D131" s="13" t="s">
        <v>80</v>
      </c>
      <c r="E131" s="13" t="s">
        <v>80</v>
      </c>
      <c r="F131" s="13" t="s">
        <v>80</v>
      </c>
      <c r="G131" s="13">
        <v>4</v>
      </c>
      <c r="H131" s="13">
        <v>583</v>
      </c>
      <c r="I131" s="13">
        <v>3830</v>
      </c>
      <c r="J131" s="13">
        <v>5695</v>
      </c>
      <c r="K131" s="13">
        <v>202</v>
      </c>
      <c r="L131" s="13">
        <v>871</v>
      </c>
      <c r="M131" s="13">
        <v>493</v>
      </c>
      <c r="N131" s="13">
        <v>0</v>
      </c>
      <c r="O131" s="13" t="s">
        <v>80</v>
      </c>
      <c r="P131" s="13" t="s">
        <v>80</v>
      </c>
      <c r="Q131" s="13" t="s">
        <v>80</v>
      </c>
      <c r="R131" s="13" t="s">
        <v>80</v>
      </c>
      <c r="S131" s="13" t="s">
        <v>80</v>
      </c>
      <c r="T131" s="13" t="s">
        <v>80</v>
      </c>
      <c r="U131" s="13" t="s">
        <v>80</v>
      </c>
      <c r="V131" s="13" t="s">
        <v>80</v>
      </c>
      <c r="W131" s="13" t="s">
        <v>80</v>
      </c>
    </row>
    <row r="132" spans="1:23" x14ac:dyDescent="0.25">
      <c r="A132" s="10" t="s">
        <v>830</v>
      </c>
      <c r="B132" s="10" t="s">
        <v>999</v>
      </c>
      <c r="C132" s="13" t="s">
        <v>80</v>
      </c>
      <c r="D132" s="13" t="s">
        <v>80</v>
      </c>
      <c r="E132" s="13" t="s">
        <v>80</v>
      </c>
      <c r="F132" s="13" t="s">
        <v>80</v>
      </c>
      <c r="G132" s="13" t="s">
        <v>80</v>
      </c>
      <c r="H132" s="13" t="s">
        <v>80</v>
      </c>
      <c r="I132" s="13" t="s">
        <v>80</v>
      </c>
      <c r="J132" s="13" t="s">
        <v>80</v>
      </c>
      <c r="K132" s="13" t="s">
        <v>80</v>
      </c>
      <c r="L132" s="13" t="s">
        <v>80</v>
      </c>
      <c r="M132" s="13" t="s">
        <v>80</v>
      </c>
      <c r="N132" s="13" t="s">
        <v>80</v>
      </c>
      <c r="O132" s="13">
        <v>5944</v>
      </c>
      <c r="P132" s="13">
        <v>7735</v>
      </c>
      <c r="Q132" s="13" t="s">
        <v>80</v>
      </c>
      <c r="R132" s="13" t="s">
        <v>80</v>
      </c>
      <c r="S132" s="13" t="s">
        <v>80</v>
      </c>
      <c r="T132" s="13" t="s">
        <v>80</v>
      </c>
      <c r="U132" s="13" t="s">
        <v>80</v>
      </c>
      <c r="V132" s="13" t="s">
        <v>80</v>
      </c>
      <c r="W132" s="13">
        <v>48645</v>
      </c>
    </row>
    <row r="133" spans="1:23" x14ac:dyDescent="0.25">
      <c r="A133" s="10" t="s">
        <v>832</v>
      </c>
      <c r="B133" s="10" t="s">
        <v>1000</v>
      </c>
      <c r="C133" s="13" t="s">
        <v>80</v>
      </c>
      <c r="D133" s="13" t="s">
        <v>80</v>
      </c>
      <c r="E133" s="13" t="s">
        <v>80</v>
      </c>
      <c r="F133" s="13" t="s">
        <v>80</v>
      </c>
      <c r="G133" s="13">
        <v>190332</v>
      </c>
      <c r="H133" s="13">
        <v>139913</v>
      </c>
      <c r="I133" s="13">
        <v>162148</v>
      </c>
      <c r="J133" s="13">
        <v>106850</v>
      </c>
      <c r="K133" s="13">
        <v>96730</v>
      </c>
      <c r="L133" s="13">
        <v>77736</v>
      </c>
      <c r="M133" s="13">
        <v>83115</v>
      </c>
      <c r="N133" s="13">
        <v>81920</v>
      </c>
      <c r="O133" s="13" t="s">
        <v>80</v>
      </c>
      <c r="P133" s="13" t="s">
        <v>80</v>
      </c>
      <c r="Q133" s="13" t="s">
        <v>80</v>
      </c>
      <c r="R133" s="13" t="s">
        <v>80</v>
      </c>
      <c r="S133" s="13" t="s">
        <v>80</v>
      </c>
      <c r="T133" s="13" t="s">
        <v>80</v>
      </c>
      <c r="U133" s="13" t="s">
        <v>80</v>
      </c>
      <c r="V133" s="13" t="s">
        <v>80</v>
      </c>
      <c r="W133" s="13" t="s">
        <v>80</v>
      </c>
    </row>
    <row r="134" spans="1:23" x14ac:dyDescent="0.25">
      <c r="A134" s="10" t="s">
        <v>886</v>
      </c>
      <c r="B134" s="10" t="s">
        <v>1001</v>
      </c>
      <c r="C134" s="13" t="s">
        <v>80</v>
      </c>
      <c r="D134" s="13" t="s">
        <v>80</v>
      </c>
      <c r="E134" s="13" t="s">
        <v>80</v>
      </c>
      <c r="F134" s="13" t="s">
        <v>80</v>
      </c>
      <c r="G134" s="13">
        <v>99201</v>
      </c>
      <c r="H134" s="13">
        <v>113125</v>
      </c>
      <c r="I134" s="13">
        <v>141620</v>
      </c>
      <c r="J134" s="13">
        <v>164454</v>
      </c>
      <c r="K134" s="13">
        <v>193721</v>
      </c>
      <c r="L134" s="13">
        <v>225715</v>
      </c>
      <c r="M134" s="13">
        <v>347573</v>
      </c>
      <c r="N134" s="13">
        <v>381203</v>
      </c>
      <c r="O134" s="13" t="s">
        <v>80</v>
      </c>
      <c r="P134" s="13" t="s">
        <v>80</v>
      </c>
      <c r="Q134" s="13" t="s">
        <v>80</v>
      </c>
      <c r="R134" s="13" t="s">
        <v>80</v>
      </c>
      <c r="S134" s="13" t="s">
        <v>80</v>
      </c>
      <c r="T134" s="13" t="s">
        <v>80</v>
      </c>
      <c r="U134" s="13" t="s">
        <v>80</v>
      </c>
      <c r="V134" s="13" t="s">
        <v>80</v>
      </c>
      <c r="W134" s="13" t="s">
        <v>80</v>
      </c>
    </row>
    <row r="135" spans="1:23" x14ac:dyDescent="0.25">
      <c r="A135" s="10" t="s">
        <v>1002</v>
      </c>
      <c r="B135" s="10" t="s">
        <v>1003</v>
      </c>
      <c r="C135" s="13" t="s">
        <v>80</v>
      </c>
      <c r="D135" s="13" t="s">
        <v>80</v>
      </c>
      <c r="E135" s="13" t="s">
        <v>80</v>
      </c>
      <c r="F135" s="13" t="s">
        <v>80</v>
      </c>
      <c r="G135" s="13">
        <v>268</v>
      </c>
      <c r="H135" s="13">
        <v>262</v>
      </c>
      <c r="I135" s="13">
        <v>346</v>
      </c>
      <c r="J135" s="13">
        <v>411</v>
      </c>
      <c r="K135" s="13">
        <v>3</v>
      </c>
      <c r="L135" s="13">
        <v>3</v>
      </c>
      <c r="M135" s="13">
        <v>3</v>
      </c>
      <c r="N135" s="13">
        <v>0</v>
      </c>
      <c r="O135" s="13" t="s">
        <v>80</v>
      </c>
      <c r="P135" s="13" t="s">
        <v>80</v>
      </c>
      <c r="Q135" s="13" t="s">
        <v>80</v>
      </c>
      <c r="R135" s="13" t="s">
        <v>80</v>
      </c>
      <c r="S135" s="13" t="s">
        <v>80</v>
      </c>
      <c r="T135" s="13" t="s">
        <v>80</v>
      </c>
      <c r="U135" s="13" t="s">
        <v>80</v>
      </c>
      <c r="V135" s="13" t="s">
        <v>80</v>
      </c>
      <c r="W135" s="13" t="s">
        <v>80</v>
      </c>
    </row>
    <row r="136" spans="1:23" x14ac:dyDescent="0.25">
      <c r="A136" s="10" t="s">
        <v>1004</v>
      </c>
      <c r="B136" s="10" t="s">
        <v>1005</v>
      </c>
      <c r="C136" s="13" t="s">
        <v>80</v>
      </c>
      <c r="D136" s="13" t="s">
        <v>80</v>
      </c>
      <c r="E136" s="13" t="s">
        <v>80</v>
      </c>
      <c r="F136" s="13" t="s">
        <v>80</v>
      </c>
      <c r="G136" s="13">
        <v>137327</v>
      </c>
      <c r="H136" s="13">
        <v>139020</v>
      </c>
      <c r="I136" s="13">
        <v>173724</v>
      </c>
      <c r="J136" s="13">
        <v>208588</v>
      </c>
      <c r="K136" s="13">
        <v>184117</v>
      </c>
      <c r="L136" s="13">
        <v>193664</v>
      </c>
      <c r="M136" s="13">
        <v>212546</v>
      </c>
      <c r="N136" s="13">
        <v>191920</v>
      </c>
      <c r="O136" s="13" t="s">
        <v>80</v>
      </c>
      <c r="P136" s="13" t="s">
        <v>80</v>
      </c>
      <c r="Q136" s="13" t="s">
        <v>80</v>
      </c>
      <c r="R136" s="13" t="s">
        <v>80</v>
      </c>
      <c r="S136" s="13" t="s">
        <v>80</v>
      </c>
      <c r="T136" s="13" t="s">
        <v>80</v>
      </c>
      <c r="U136" s="13" t="s">
        <v>80</v>
      </c>
      <c r="V136" s="13" t="s">
        <v>80</v>
      </c>
      <c r="W136" s="13" t="s">
        <v>80</v>
      </c>
    </row>
    <row r="137" spans="1:23" x14ac:dyDescent="0.25">
      <c r="A137" s="10" t="s">
        <v>888</v>
      </c>
      <c r="B137" s="10" t="s">
        <v>1006</v>
      </c>
      <c r="C137" s="13" t="s">
        <v>80</v>
      </c>
      <c r="D137" s="13" t="s">
        <v>80</v>
      </c>
      <c r="E137" s="13" t="s">
        <v>80</v>
      </c>
      <c r="F137" s="13" t="s">
        <v>80</v>
      </c>
      <c r="G137" s="13">
        <v>38112</v>
      </c>
      <c r="H137" s="13">
        <v>40208</v>
      </c>
      <c r="I137" s="13">
        <v>54600</v>
      </c>
      <c r="J137" s="13">
        <v>50872</v>
      </c>
      <c r="K137" s="13">
        <v>65900</v>
      </c>
      <c r="L137" s="13">
        <v>78540</v>
      </c>
      <c r="M137" s="13">
        <v>1340</v>
      </c>
      <c r="N137" s="13">
        <v>1437</v>
      </c>
      <c r="O137" s="13" t="s">
        <v>80</v>
      </c>
      <c r="P137" s="13" t="s">
        <v>80</v>
      </c>
      <c r="Q137" s="13" t="s">
        <v>80</v>
      </c>
      <c r="R137" s="13" t="s">
        <v>80</v>
      </c>
      <c r="S137" s="13" t="s">
        <v>80</v>
      </c>
      <c r="T137" s="13" t="s">
        <v>80</v>
      </c>
      <c r="U137" s="13" t="s">
        <v>80</v>
      </c>
      <c r="V137" s="13" t="s">
        <v>80</v>
      </c>
      <c r="W137" s="13" t="s">
        <v>80</v>
      </c>
    </row>
    <row r="138" spans="1:23" x14ac:dyDescent="0.25">
      <c r="A138" s="10" t="s">
        <v>1007</v>
      </c>
      <c r="B138" s="10" t="s">
        <v>1008</v>
      </c>
      <c r="C138" s="13" t="s">
        <v>80</v>
      </c>
      <c r="D138" s="13" t="s">
        <v>80</v>
      </c>
      <c r="E138" s="13" t="s">
        <v>80</v>
      </c>
      <c r="F138" s="13" t="s">
        <v>80</v>
      </c>
      <c r="G138" s="13">
        <v>185482</v>
      </c>
      <c r="H138" s="13">
        <v>178758</v>
      </c>
      <c r="I138" s="13">
        <v>243787</v>
      </c>
      <c r="J138" s="13">
        <v>244067</v>
      </c>
      <c r="K138" s="13">
        <v>304029</v>
      </c>
      <c r="L138" s="13">
        <v>306756</v>
      </c>
      <c r="M138" s="13">
        <v>315156</v>
      </c>
      <c r="N138" s="13">
        <v>308777</v>
      </c>
      <c r="O138" s="13">
        <v>301668</v>
      </c>
      <c r="P138" s="13">
        <v>369459</v>
      </c>
      <c r="Q138" s="13">
        <v>346065</v>
      </c>
      <c r="R138" s="13">
        <v>317192</v>
      </c>
      <c r="S138" s="13">
        <v>342710</v>
      </c>
      <c r="T138" s="13">
        <v>441801</v>
      </c>
      <c r="U138" s="13">
        <v>469157</v>
      </c>
      <c r="V138" s="13">
        <v>512146</v>
      </c>
      <c r="W138" s="13" t="s">
        <v>80</v>
      </c>
    </row>
    <row r="139" spans="1:23" x14ac:dyDescent="0.25">
      <c r="A139" s="10" t="s">
        <v>894</v>
      </c>
      <c r="B139" s="10" t="s">
        <v>1009</v>
      </c>
      <c r="C139" s="13" t="s">
        <v>80</v>
      </c>
      <c r="D139" s="13" t="s">
        <v>80</v>
      </c>
      <c r="E139" s="13" t="s">
        <v>80</v>
      </c>
      <c r="F139" s="13" t="s">
        <v>80</v>
      </c>
      <c r="G139" s="13">
        <v>3171</v>
      </c>
      <c r="H139" s="13">
        <v>4259</v>
      </c>
      <c r="I139" s="13">
        <v>4381</v>
      </c>
      <c r="J139" s="13">
        <v>3615</v>
      </c>
      <c r="K139" s="13">
        <v>6746</v>
      </c>
      <c r="L139" s="13">
        <v>8689</v>
      </c>
      <c r="M139" s="13">
        <v>6431</v>
      </c>
      <c r="N139" s="13">
        <v>11232</v>
      </c>
      <c r="O139" s="13">
        <v>8047</v>
      </c>
      <c r="P139" s="13">
        <v>7598</v>
      </c>
      <c r="Q139" s="13">
        <v>5626</v>
      </c>
      <c r="R139" s="13">
        <v>4743</v>
      </c>
      <c r="S139" s="13">
        <v>11801</v>
      </c>
      <c r="T139" s="13">
        <v>4478</v>
      </c>
      <c r="U139" s="13">
        <v>3185</v>
      </c>
      <c r="V139" s="13">
        <v>18723</v>
      </c>
      <c r="W139" s="13" t="s">
        <v>80</v>
      </c>
    </row>
    <row r="140" spans="1:23" x14ac:dyDescent="0.25">
      <c r="A140" s="10" t="s">
        <v>898</v>
      </c>
      <c r="B140" s="10" t="s">
        <v>1010</v>
      </c>
      <c r="C140" s="13" t="s">
        <v>80</v>
      </c>
      <c r="D140" s="13" t="s">
        <v>80</v>
      </c>
      <c r="E140" s="13" t="s">
        <v>80</v>
      </c>
      <c r="F140" s="13" t="s">
        <v>80</v>
      </c>
      <c r="G140" s="13">
        <v>3356</v>
      </c>
      <c r="H140" s="13">
        <v>3000</v>
      </c>
      <c r="I140" s="13">
        <v>2846</v>
      </c>
      <c r="J140" s="13">
        <v>4105</v>
      </c>
      <c r="K140" s="13">
        <v>3113</v>
      </c>
      <c r="L140" s="13">
        <v>2056</v>
      </c>
      <c r="M140" s="13">
        <v>3330</v>
      </c>
      <c r="N140" s="13">
        <v>3860</v>
      </c>
      <c r="O140" s="13">
        <v>3993</v>
      </c>
      <c r="P140" s="13">
        <v>4526</v>
      </c>
      <c r="Q140" s="13">
        <v>4806</v>
      </c>
      <c r="R140" s="13">
        <v>6360</v>
      </c>
      <c r="S140" s="13">
        <v>6410</v>
      </c>
      <c r="T140" s="13">
        <v>5202</v>
      </c>
      <c r="U140" s="13">
        <v>4584</v>
      </c>
      <c r="V140" s="13">
        <v>9029</v>
      </c>
      <c r="W140" s="13" t="s">
        <v>80</v>
      </c>
    </row>
    <row r="141" spans="1:23" x14ac:dyDescent="0.25">
      <c r="A141" s="10" t="s">
        <v>839</v>
      </c>
      <c r="B141" s="10" t="s">
        <v>1011</v>
      </c>
      <c r="C141" s="13" t="s">
        <v>80</v>
      </c>
      <c r="D141" s="13" t="s">
        <v>80</v>
      </c>
      <c r="E141" s="13" t="s">
        <v>80</v>
      </c>
      <c r="F141" s="13" t="s">
        <v>80</v>
      </c>
      <c r="G141" s="13">
        <v>13872</v>
      </c>
      <c r="H141" s="13">
        <v>12889</v>
      </c>
      <c r="I141" s="13" t="s">
        <v>80</v>
      </c>
      <c r="J141" s="13" t="s">
        <v>80</v>
      </c>
      <c r="K141" s="13" t="s">
        <v>80</v>
      </c>
      <c r="L141" s="13" t="s">
        <v>80</v>
      </c>
      <c r="M141" s="13" t="s">
        <v>80</v>
      </c>
      <c r="N141" s="13" t="s">
        <v>80</v>
      </c>
      <c r="O141" s="13" t="s">
        <v>80</v>
      </c>
      <c r="P141" s="13" t="s">
        <v>80</v>
      </c>
      <c r="Q141" s="13" t="s">
        <v>80</v>
      </c>
      <c r="R141" s="13" t="s">
        <v>80</v>
      </c>
      <c r="S141" s="13" t="s">
        <v>80</v>
      </c>
      <c r="T141" s="13" t="s">
        <v>80</v>
      </c>
      <c r="U141" s="13" t="s">
        <v>80</v>
      </c>
      <c r="V141" s="13" t="s">
        <v>80</v>
      </c>
      <c r="W141" s="13" t="s">
        <v>80</v>
      </c>
    </row>
    <row r="142" spans="1:23" x14ac:dyDescent="0.25">
      <c r="A142" s="10" t="s">
        <v>1012</v>
      </c>
      <c r="B142" s="10" t="s">
        <v>1013</v>
      </c>
      <c r="C142" s="13" t="s">
        <v>80</v>
      </c>
      <c r="D142" s="13" t="s">
        <v>80</v>
      </c>
      <c r="E142" s="13" t="s">
        <v>80</v>
      </c>
      <c r="F142" s="13" t="s">
        <v>80</v>
      </c>
      <c r="G142" s="13">
        <v>45949</v>
      </c>
      <c r="H142" s="13">
        <v>46113</v>
      </c>
      <c r="I142" s="13">
        <v>38481</v>
      </c>
      <c r="J142" s="13">
        <v>44911</v>
      </c>
      <c r="K142" s="13">
        <v>45955</v>
      </c>
      <c r="L142" s="13">
        <v>53422</v>
      </c>
      <c r="M142" s="13">
        <v>153</v>
      </c>
      <c r="N142" s="13">
        <v>102</v>
      </c>
      <c r="O142" s="13">
        <v>52826</v>
      </c>
      <c r="P142" s="13">
        <v>52020</v>
      </c>
      <c r="Q142" s="13">
        <v>38884</v>
      </c>
      <c r="R142" s="13">
        <v>82525</v>
      </c>
      <c r="S142" s="13">
        <v>73887</v>
      </c>
      <c r="T142" s="13">
        <v>82284</v>
      </c>
      <c r="U142" s="13">
        <v>70632</v>
      </c>
      <c r="V142" s="13">
        <v>67289</v>
      </c>
      <c r="W142" s="13" t="s">
        <v>80</v>
      </c>
    </row>
    <row r="143" spans="1:23" x14ac:dyDescent="0.25">
      <c r="A143" s="10" t="s">
        <v>1014</v>
      </c>
      <c r="B143" s="10" t="s">
        <v>1015</v>
      </c>
      <c r="C143" s="13" t="s">
        <v>80</v>
      </c>
      <c r="D143" s="13" t="s">
        <v>80</v>
      </c>
      <c r="E143" s="13" t="s">
        <v>80</v>
      </c>
      <c r="F143" s="13" t="s">
        <v>80</v>
      </c>
      <c r="G143" s="13" t="s">
        <v>80</v>
      </c>
      <c r="H143" s="13" t="s">
        <v>80</v>
      </c>
      <c r="I143" s="13" t="s">
        <v>80</v>
      </c>
      <c r="J143" s="13" t="s">
        <v>80</v>
      </c>
      <c r="K143" s="13" t="s">
        <v>80</v>
      </c>
      <c r="L143" s="13" t="s">
        <v>80</v>
      </c>
      <c r="M143" s="13" t="s">
        <v>80</v>
      </c>
      <c r="N143" s="13" t="s">
        <v>80</v>
      </c>
      <c r="O143" s="13">
        <v>107794</v>
      </c>
      <c r="P143" s="13">
        <v>140879</v>
      </c>
      <c r="Q143" s="13">
        <v>154487</v>
      </c>
      <c r="R143" s="13">
        <v>187846</v>
      </c>
      <c r="S143" s="13">
        <v>230425</v>
      </c>
      <c r="T143" s="13">
        <v>259161</v>
      </c>
      <c r="U143" s="13">
        <v>288892</v>
      </c>
      <c r="V143" s="13">
        <v>321727</v>
      </c>
      <c r="W143" s="13">
        <v>365502</v>
      </c>
    </row>
    <row r="144" spans="1:23" x14ac:dyDescent="0.25">
      <c r="A144" s="10" t="s">
        <v>776</v>
      </c>
      <c r="B144" s="10" t="s">
        <v>1016</v>
      </c>
      <c r="C144" s="14" t="s">
        <v>80</v>
      </c>
      <c r="D144" s="14" t="s">
        <v>80</v>
      </c>
      <c r="E144" s="14" t="s">
        <v>80</v>
      </c>
      <c r="F144" s="14">
        <v>9.4</v>
      </c>
      <c r="G144" s="14" t="s">
        <v>80</v>
      </c>
      <c r="H144" s="14" t="s">
        <v>80</v>
      </c>
      <c r="I144" s="14" t="s">
        <v>80</v>
      </c>
      <c r="J144" s="14">
        <v>11.74</v>
      </c>
      <c r="K144" s="14" t="s">
        <v>80</v>
      </c>
      <c r="L144" s="14">
        <v>13.7</v>
      </c>
      <c r="M144" s="14">
        <v>13.2</v>
      </c>
      <c r="N144" s="14">
        <v>12.68</v>
      </c>
      <c r="O144" s="14">
        <v>15.12</v>
      </c>
      <c r="P144" s="14">
        <v>15.23</v>
      </c>
      <c r="Q144" s="14">
        <v>17.45</v>
      </c>
      <c r="R144" s="14">
        <v>19.239999999999998</v>
      </c>
      <c r="S144" s="14">
        <v>23.78</v>
      </c>
      <c r="T144" s="14">
        <v>22.47</v>
      </c>
      <c r="U144" s="14">
        <v>20.45</v>
      </c>
      <c r="V144" s="14">
        <v>21.56</v>
      </c>
      <c r="W144" s="14">
        <v>19.66</v>
      </c>
    </row>
    <row r="145" spans="1:23" x14ac:dyDescent="0.25">
      <c r="A145" s="10" t="s">
        <v>1017</v>
      </c>
      <c r="B145" s="10" t="s">
        <v>1018</v>
      </c>
      <c r="C145" s="14" t="s">
        <v>80</v>
      </c>
      <c r="D145" s="14" t="s">
        <v>80</v>
      </c>
      <c r="E145" s="14" t="s">
        <v>80</v>
      </c>
      <c r="F145" s="14">
        <v>14.3</v>
      </c>
      <c r="G145" s="14">
        <v>24.42</v>
      </c>
      <c r="H145" s="14">
        <v>23.68</v>
      </c>
      <c r="I145" s="14" t="s">
        <v>80</v>
      </c>
      <c r="J145" s="14">
        <v>14.65</v>
      </c>
      <c r="K145" s="14" t="s">
        <v>80</v>
      </c>
      <c r="L145" s="14">
        <v>13.7</v>
      </c>
      <c r="M145" s="14">
        <v>13.2</v>
      </c>
      <c r="N145" s="14">
        <v>12.68</v>
      </c>
      <c r="O145" s="14">
        <v>17.23</v>
      </c>
      <c r="P145" s="14">
        <v>17.170000000000002</v>
      </c>
      <c r="Q145" s="14">
        <v>18.55</v>
      </c>
      <c r="R145" s="14">
        <v>20.2</v>
      </c>
      <c r="S145" s="14">
        <v>24.69</v>
      </c>
      <c r="T145" s="14">
        <v>22.86</v>
      </c>
      <c r="U145" s="14">
        <v>20.69</v>
      </c>
      <c r="V145" s="14">
        <v>21.78</v>
      </c>
      <c r="W145" s="14">
        <v>20.059999999999999</v>
      </c>
    </row>
    <row r="146" spans="1:23" x14ac:dyDescent="0.25">
      <c r="A146" s="10" t="s">
        <v>1019</v>
      </c>
      <c r="B146" s="10" t="s">
        <v>1020</v>
      </c>
      <c r="C146" s="14" t="s">
        <v>80</v>
      </c>
      <c r="D146" s="14" t="s">
        <v>80</v>
      </c>
      <c r="E146" s="14" t="s">
        <v>80</v>
      </c>
      <c r="F146" s="14" t="s">
        <v>80</v>
      </c>
      <c r="G146" s="14" t="s">
        <v>80</v>
      </c>
      <c r="H146" s="14" t="s">
        <v>80</v>
      </c>
      <c r="I146" s="14" t="s">
        <v>80</v>
      </c>
      <c r="J146" s="14" t="s">
        <v>80</v>
      </c>
      <c r="K146" s="14" t="s">
        <v>80</v>
      </c>
      <c r="L146" s="14">
        <v>13.9</v>
      </c>
      <c r="M146" s="14">
        <v>7.48</v>
      </c>
      <c r="N146" s="14">
        <v>7.77</v>
      </c>
      <c r="O146" s="14">
        <v>8.41</v>
      </c>
      <c r="P146" s="14">
        <v>8.41</v>
      </c>
      <c r="Q146" s="14">
        <v>10.84</v>
      </c>
      <c r="R146" s="14">
        <v>12.15</v>
      </c>
      <c r="S146" s="14">
        <v>13.44</v>
      </c>
      <c r="T146" s="14">
        <v>12.71</v>
      </c>
      <c r="U146" s="14">
        <v>11.51</v>
      </c>
      <c r="V146" s="14">
        <v>11.86</v>
      </c>
      <c r="W146" s="14">
        <v>10.63</v>
      </c>
    </row>
    <row r="147" spans="1:23" x14ac:dyDescent="0.25">
      <c r="A147" s="10" t="s">
        <v>1021</v>
      </c>
      <c r="B147" s="10" t="s">
        <v>1022</v>
      </c>
      <c r="C147" s="13" t="s">
        <v>80</v>
      </c>
      <c r="D147" s="13" t="s">
        <v>80</v>
      </c>
      <c r="E147" s="13" t="s">
        <v>80</v>
      </c>
      <c r="F147" s="13" t="s">
        <v>80</v>
      </c>
      <c r="G147" s="13">
        <v>35381</v>
      </c>
      <c r="H147" s="13">
        <v>39369</v>
      </c>
      <c r="I147" s="13" t="s">
        <v>80</v>
      </c>
      <c r="J147" s="13">
        <v>46318</v>
      </c>
      <c r="K147" s="13" t="s">
        <v>80</v>
      </c>
      <c r="L147" s="13">
        <v>69995</v>
      </c>
      <c r="M147" s="13">
        <v>72817</v>
      </c>
      <c r="N147" s="13">
        <v>81348</v>
      </c>
      <c r="O147" s="13">
        <v>95323</v>
      </c>
      <c r="P147" s="13">
        <v>113835</v>
      </c>
      <c r="Q147" s="13">
        <v>139655</v>
      </c>
      <c r="R147" s="13">
        <v>179701</v>
      </c>
      <c r="S147" s="13">
        <v>204495</v>
      </c>
      <c r="T147" s="13">
        <v>191574</v>
      </c>
      <c r="U147" s="13">
        <v>193590</v>
      </c>
      <c r="V147" s="13">
        <v>221129</v>
      </c>
      <c r="W147" s="13">
        <v>205777</v>
      </c>
    </row>
    <row r="148" spans="1:23" x14ac:dyDescent="0.25">
      <c r="A148" s="10" t="s">
        <v>1023</v>
      </c>
      <c r="B148" s="10" t="s">
        <v>1024</v>
      </c>
      <c r="C148" s="13">
        <v>75615.716</v>
      </c>
      <c r="D148" s="13">
        <v>107719.28200000001</v>
      </c>
      <c r="E148" s="13" t="s">
        <v>80</v>
      </c>
      <c r="F148" s="13" t="s">
        <v>80</v>
      </c>
      <c r="G148" s="13">
        <v>203305</v>
      </c>
      <c r="H148" s="13">
        <v>222184</v>
      </c>
      <c r="I148" s="13">
        <v>390312</v>
      </c>
      <c r="J148" s="13">
        <v>394529</v>
      </c>
      <c r="K148" s="13">
        <v>444462</v>
      </c>
      <c r="L148" s="13" t="s">
        <v>80</v>
      </c>
      <c r="M148" s="13" t="s">
        <v>80</v>
      </c>
      <c r="N148" s="13">
        <v>641302</v>
      </c>
      <c r="O148" s="13">
        <v>630264</v>
      </c>
      <c r="P148" s="13">
        <v>747352</v>
      </c>
      <c r="Q148" s="13">
        <v>800125</v>
      </c>
      <c r="R148" s="13">
        <v>933801</v>
      </c>
      <c r="S148" s="13">
        <v>859798</v>
      </c>
      <c r="T148" s="13">
        <v>852616</v>
      </c>
      <c r="U148" s="13">
        <v>946593</v>
      </c>
      <c r="V148" s="13">
        <v>1025506</v>
      </c>
      <c r="W148" s="13">
        <v>1046653</v>
      </c>
    </row>
    <row r="149" spans="1:23" x14ac:dyDescent="0.25">
      <c r="A149" s="10" t="s">
        <v>906</v>
      </c>
      <c r="B149" s="10" t="s">
        <v>1025</v>
      </c>
      <c r="C149" s="13" t="s">
        <v>80</v>
      </c>
      <c r="D149" s="13" t="s">
        <v>80</v>
      </c>
      <c r="E149" s="13" t="s">
        <v>80</v>
      </c>
      <c r="F149" s="13" t="s">
        <v>80</v>
      </c>
      <c r="G149" s="13" t="s">
        <v>80</v>
      </c>
      <c r="H149" s="13" t="s">
        <v>80</v>
      </c>
      <c r="I149" s="13" t="s">
        <v>80</v>
      </c>
      <c r="J149" s="13" t="s">
        <v>80</v>
      </c>
      <c r="K149" s="13" t="s">
        <v>80</v>
      </c>
      <c r="L149" s="13" t="s">
        <v>80</v>
      </c>
      <c r="M149" s="13" t="s">
        <v>80</v>
      </c>
      <c r="N149" s="13" t="s">
        <v>80</v>
      </c>
      <c r="O149" s="13" t="s">
        <v>80</v>
      </c>
      <c r="P149" s="13">
        <v>18788</v>
      </c>
      <c r="Q149" s="13">
        <v>10161</v>
      </c>
      <c r="R149" s="13">
        <v>47667</v>
      </c>
      <c r="S149" s="13">
        <v>47794</v>
      </c>
      <c r="T149" s="13" t="s">
        <v>80</v>
      </c>
      <c r="U149" s="13" t="s">
        <v>80</v>
      </c>
      <c r="V149" s="13" t="s">
        <v>80</v>
      </c>
      <c r="W149" s="13" t="s">
        <v>80</v>
      </c>
    </row>
    <row r="150" spans="1:23" x14ac:dyDescent="0.25">
      <c r="A150" s="10" t="s">
        <v>908</v>
      </c>
      <c r="B150" s="10" t="s">
        <v>1026</v>
      </c>
      <c r="C150" s="13" t="s">
        <v>80</v>
      </c>
      <c r="D150" s="13" t="s">
        <v>80</v>
      </c>
      <c r="E150" s="13" t="s">
        <v>80</v>
      </c>
      <c r="F150" s="13" t="s">
        <v>80</v>
      </c>
      <c r="G150" s="13">
        <v>18168</v>
      </c>
      <c r="H150" s="13">
        <v>17803</v>
      </c>
      <c r="I150" s="13">
        <v>16543</v>
      </c>
      <c r="J150" s="13">
        <v>19455</v>
      </c>
      <c r="K150" s="13">
        <v>18001</v>
      </c>
      <c r="L150" s="13">
        <v>16468</v>
      </c>
      <c r="M150" s="13">
        <v>17385</v>
      </c>
      <c r="N150" s="13">
        <v>21917</v>
      </c>
      <c r="O150" s="13" t="s">
        <v>80</v>
      </c>
      <c r="P150" s="13" t="s">
        <v>80</v>
      </c>
      <c r="Q150" s="13" t="s">
        <v>80</v>
      </c>
      <c r="R150" s="13" t="s">
        <v>80</v>
      </c>
      <c r="S150" s="13" t="s">
        <v>80</v>
      </c>
      <c r="T150" s="13" t="s">
        <v>80</v>
      </c>
      <c r="U150" s="13" t="s">
        <v>80</v>
      </c>
      <c r="V150" s="13" t="s">
        <v>80</v>
      </c>
      <c r="W150" s="13" t="s">
        <v>80</v>
      </c>
    </row>
    <row r="151" spans="1:23" x14ac:dyDescent="0.25">
      <c r="A151" s="10" t="s">
        <v>1027</v>
      </c>
      <c r="B151" s="10" t="s">
        <v>1028</v>
      </c>
      <c r="C151" s="13" t="s">
        <v>80</v>
      </c>
      <c r="D151" s="13" t="s">
        <v>80</v>
      </c>
      <c r="E151" s="13" t="s">
        <v>80</v>
      </c>
      <c r="F151" s="13" t="s">
        <v>80</v>
      </c>
      <c r="G151" s="13">
        <v>6154</v>
      </c>
      <c r="H151" s="13">
        <v>6664</v>
      </c>
      <c r="I151" s="13" t="s">
        <v>80</v>
      </c>
      <c r="J151" s="13" t="s">
        <v>80</v>
      </c>
      <c r="K151" s="13">
        <v>13655</v>
      </c>
      <c r="L151" s="13" t="s">
        <v>80</v>
      </c>
      <c r="M151" s="13" t="s">
        <v>80</v>
      </c>
      <c r="N151" s="13" t="s">
        <v>80</v>
      </c>
      <c r="O151" s="13">
        <v>12482</v>
      </c>
      <c r="P151" s="13">
        <v>13263</v>
      </c>
      <c r="Q151" s="13">
        <v>12806</v>
      </c>
      <c r="R151" s="13" t="s">
        <v>80</v>
      </c>
      <c r="S151" s="13">
        <v>8506</v>
      </c>
      <c r="T151" s="13">
        <v>9973</v>
      </c>
      <c r="U151" s="13">
        <v>10890</v>
      </c>
      <c r="V151" s="13">
        <v>11125</v>
      </c>
      <c r="W151" s="13">
        <v>17839</v>
      </c>
    </row>
    <row r="152" spans="1:23" x14ac:dyDescent="0.25">
      <c r="A152" s="10" t="s">
        <v>1029</v>
      </c>
      <c r="B152" s="10" t="s">
        <v>1030</v>
      </c>
      <c r="C152" s="14" t="s">
        <v>80</v>
      </c>
      <c r="D152" s="14" t="s">
        <v>80</v>
      </c>
      <c r="E152" s="14" t="s">
        <v>80</v>
      </c>
      <c r="F152" s="14" t="s">
        <v>80</v>
      </c>
      <c r="G152" s="14" t="s">
        <v>80</v>
      </c>
      <c r="H152" s="14" t="s">
        <v>80</v>
      </c>
      <c r="I152" s="14" t="s">
        <v>80</v>
      </c>
      <c r="J152" s="14" t="s">
        <v>80</v>
      </c>
      <c r="K152" s="14" t="s">
        <v>80</v>
      </c>
      <c r="L152" s="14" t="s">
        <v>80</v>
      </c>
      <c r="M152" s="14" t="s">
        <v>80</v>
      </c>
      <c r="N152" s="14" t="s">
        <v>80</v>
      </c>
      <c r="O152" s="14">
        <v>29903</v>
      </c>
      <c r="P152" s="14">
        <v>30538</v>
      </c>
      <c r="Q152" s="14">
        <v>29649</v>
      </c>
      <c r="R152" s="14">
        <v>29405</v>
      </c>
      <c r="S152" s="14">
        <v>30885</v>
      </c>
      <c r="T152" s="14">
        <v>30941</v>
      </c>
      <c r="U152" s="14">
        <v>30941</v>
      </c>
      <c r="V152" s="14" t="s">
        <v>80</v>
      </c>
      <c r="W152" s="14" t="s">
        <v>80</v>
      </c>
    </row>
    <row r="153" spans="1:23" x14ac:dyDescent="0.25">
      <c r="A153" s="10" t="s">
        <v>910</v>
      </c>
      <c r="B153" s="10" t="s">
        <v>1031</v>
      </c>
      <c r="C153" s="13" t="s">
        <v>80</v>
      </c>
      <c r="D153" s="13" t="s">
        <v>80</v>
      </c>
      <c r="E153" s="13" t="s">
        <v>80</v>
      </c>
      <c r="F153" s="13" t="s">
        <v>80</v>
      </c>
      <c r="G153" s="13" t="s">
        <v>80</v>
      </c>
      <c r="H153" s="13" t="s">
        <v>80</v>
      </c>
      <c r="I153" s="13" t="s">
        <v>80</v>
      </c>
      <c r="J153" s="13" t="s">
        <v>80</v>
      </c>
      <c r="K153" s="13" t="s">
        <v>80</v>
      </c>
      <c r="L153" s="13" t="s">
        <v>80</v>
      </c>
      <c r="M153" s="13" t="s">
        <v>80</v>
      </c>
      <c r="N153" s="13" t="s">
        <v>80</v>
      </c>
      <c r="O153" s="13" t="s">
        <v>80</v>
      </c>
      <c r="P153" s="13" t="s">
        <v>80</v>
      </c>
      <c r="Q153" s="13" t="s">
        <v>80</v>
      </c>
      <c r="R153" s="13" t="s">
        <v>80</v>
      </c>
      <c r="S153" s="13" t="s">
        <v>80</v>
      </c>
      <c r="T153" s="13" t="s">
        <v>80</v>
      </c>
      <c r="U153" s="13" t="s">
        <v>80</v>
      </c>
      <c r="V153" s="13">
        <v>465</v>
      </c>
      <c r="W153" s="13">
        <v>35</v>
      </c>
    </row>
    <row r="154" spans="1:23" x14ac:dyDescent="0.25">
      <c r="A154" s="10" t="s">
        <v>1032</v>
      </c>
      <c r="B154" s="10" t="s">
        <v>1033</v>
      </c>
      <c r="C154" s="13" t="s">
        <v>80</v>
      </c>
      <c r="D154" s="13" t="s">
        <v>80</v>
      </c>
      <c r="E154" s="13" t="s">
        <v>80</v>
      </c>
      <c r="F154" s="13" t="s">
        <v>80</v>
      </c>
      <c r="G154" s="13" t="s">
        <v>80</v>
      </c>
      <c r="H154" s="13" t="s">
        <v>80</v>
      </c>
      <c r="I154" s="13" t="s">
        <v>80</v>
      </c>
      <c r="J154" s="13" t="s">
        <v>80</v>
      </c>
      <c r="K154" s="13" t="s">
        <v>80</v>
      </c>
      <c r="L154" s="13" t="s">
        <v>80</v>
      </c>
      <c r="M154" s="13" t="s">
        <v>80</v>
      </c>
      <c r="N154" s="13" t="s">
        <v>80</v>
      </c>
      <c r="O154" s="13" t="s">
        <v>80</v>
      </c>
      <c r="P154" s="13" t="s">
        <v>80</v>
      </c>
      <c r="Q154" s="13" t="s">
        <v>80</v>
      </c>
      <c r="R154" s="13" t="s">
        <v>80</v>
      </c>
      <c r="S154" s="13" t="s">
        <v>80</v>
      </c>
      <c r="T154" s="13" t="s">
        <v>80</v>
      </c>
      <c r="U154" s="13" t="s">
        <v>80</v>
      </c>
      <c r="V154" s="13">
        <v>22236</v>
      </c>
      <c r="W154" s="13">
        <v>30081</v>
      </c>
    </row>
    <row r="155" spans="1:23" x14ac:dyDescent="0.25">
      <c r="A155" s="10" t="s">
        <v>916</v>
      </c>
      <c r="B155" s="10" t="s">
        <v>1034</v>
      </c>
      <c r="C155" s="13" t="s">
        <v>80</v>
      </c>
      <c r="D155" s="13" t="s">
        <v>80</v>
      </c>
      <c r="E155" s="13" t="s">
        <v>80</v>
      </c>
      <c r="F155" s="13" t="s">
        <v>80</v>
      </c>
      <c r="G155" s="13" t="s">
        <v>80</v>
      </c>
      <c r="H155" s="13" t="s">
        <v>80</v>
      </c>
      <c r="I155" s="13" t="s">
        <v>80</v>
      </c>
      <c r="J155" s="13" t="s">
        <v>80</v>
      </c>
      <c r="K155" s="13" t="s">
        <v>80</v>
      </c>
      <c r="L155" s="13" t="s">
        <v>80</v>
      </c>
      <c r="M155" s="13" t="s">
        <v>80</v>
      </c>
      <c r="N155" s="13" t="s">
        <v>80</v>
      </c>
      <c r="O155" s="13" t="s">
        <v>80</v>
      </c>
      <c r="P155" s="13" t="s">
        <v>80</v>
      </c>
      <c r="Q155" s="13" t="s">
        <v>80</v>
      </c>
      <c r="R155" s="13" t="s">
        <v>80</v>
      </c>
      <c r="S155" s="13" t="s">
        <v>80</v>
      </c>
      <c r="T155" s="13" t="s">
        <v>80</v>
      </c>
      <c r="U155" s="13" t="s">
        <v>80</v>
      </c>
      <c r="V155" s="13" t="s">
        <v>80</v>
      </c>
      <c r="W155" s="13">
        <v>58788</v>
      </c>
    </row>
    <row r="156" spans="1:23" x14ac:dyDescent="0.25">
      <c r="A156" s="10" t="s">
        <v>918</v>
      </c>
      <c r="B156" s="10" t="s">
        <v>1035</v>
      </c>
      <c r="C156" s="13" t="s">
        <v>80</v>
      </c>
      <c r="D156" s="13" t="s">
        <v>80</v>
      </c>
      <c r="E156" s="13" t="s">
        <v>80</v>
      </c>
      <c r="F156" s="13" t="s">
        <v>80</v>
      </c>
      <c r="G156" s="13" t="s">
        <v>80</v>
      </c>
      <c r="H156" s="13" t="s">
        <v>80</v>
      </c>
      <c r="I156" s="13" t="s">
        <v>80</v>
      </c>
      <c r="J156" s="13" t="s">
        <v>80</v>
      </c>
      <c r="K156" s="13" t="s">
        <v>80</v>
      </c>
      <c r="L156" s="13" t="s">
        <v>80</v>
      </c>
      <c r="M156" s="13" t="s">
        <v>80</v>
      </c>
      <c r="N156" s="13" t="s">
        <v>80</v>
      </c>
      <c r="O156" s="13" t="s">
        <v>80</v>
      </c>
      <c r="P156" s="13" t="s">
        <v>80</v>
      </c>
      <c r="Q156" s="13" t="s">
        <v>80</v>
      </c>
      <c r="R156" s="13" t="s">
        <v>80</v>
      </c>
      <c r="S156" s="13" t="s">
        <v>80</v>
      </c>
      <c r="T156" s="13" t="s">
        <v>80</v>
      </c>
      <c r="U156" s="13" t="s">
        <v>80</v>
      </c>
      <c r="V156" s="13">
        <v>-2377</v>
      </c>
      <c r="W156" s="13" t="s">
        <v>80</v>
      </c>
    </row>
    <row r="157" spans="1:23" x14ac:dyDescent="0.25">
      <c r="A157" s="10" t="s">
        <v>1036</v>
      </c>
      <c r="B157" s="10" t="s">
        <v>1037</v>
      </c>
      <c r="C157" s="13" t="s">
        <v>80</v>
      </c>
      <c r="D157" s="13" t="s">
        <v>80</v>
      </c>
      <c r="E157" s="13" t="s">
        <v>80</v>
      </c>
      <c r="F157" s="13" t="s">
        <v>80</v>
      </c>
      <c r="G157" s="13">
        <v>2291</v>
      </c>
      <c r="H157" s="13">
        <v>2691</v>
      </c>
      <c r="I157" s="13">
        <v>3489</v>
      </c>
      <c r="J157" s="13">
        <v>3778</v>
      </c>
      <c r="K157" s="13">
        <v>3868</v>
      </c>
      <c r="L157" s="13">
        <v>5778</v>
      </c>
      <c r="M157" s="13">
        <v>6066</v>
      </c>
      <c r="N157" s="13">
        <v>7475</v>
      </c>
      <c r="O157" s="13">
        <v>7535</v>
      </c>
      <c r="P157" s="13">
        <v>9335</v>
      </c>
      <c r="Q157" s="13">
        <v>11093</v>
      </c>
      <c r="R157" s="13">
        <v>10245</v>
      </c>
      <c r="S157" s="13">
        <v>11188</v>
      </c>
      <c r="T157" s="13">
        <v>10456</v>
      </c>
      <c r="U157" s="13">
        <v>6966</v>
      </c>
      <c r="V157" s="13">
        <v>8842</v>
      </c>
      <c r="W157" s="13" t="s">
        <v>80</v>
      </c>
    </row>
    <row r="158" spans="1:23" x14ac:dyDescent="0.25">
      <c r="A158" s="10" t="s">
        <v>924</v>
      </c>
      <c r="B158" s="10" t="s">
        <v>1038</v>
      </c>
      <c r="C158" s="13" t="s">
        <v>80</v>
      </c>
      <c r="D158" s="13" t="s">
        <v>80</v>
      </c>
      <c r="E158" s="13" t="s">
        <v>80</v>
      </c>
      <c r="F158" s="13" t="s">
        <v>80</v>
      </c>
      <c r="G158" s="13">
        <v>3904</v>
      </c>
      <c r="H158" s="13">
        <v>3847</v>
      </c>
      <c r="I158" s="13">
        <v>8265</v>
      </c>
      <c r="J158" s="13">
        <v>10533</v>
      </c>
      <c r="K158" s="13">
        <v>8829</v>
      </c>
      <c r="L158" s="13">
        <v>8744</v>
      </c>
      <c r="M158" s="13">
        <v>10931</v>
      </c>
      <c r="N158" s="13">
        <v>10062</v>
      </c>
      <c r="O158" s="13">
        <v>12385</v>
      </c>
      <c r="P158" s="13">
        <v>17947</v>
      </c>
      <c r="Q158" s="13">
        <v>16808</v>
      </c>
      <c r="R158" s="13">
        <v>22468</v>
      </c>
      <c r="S158" s="13">
        <v>19839</v>
      </c>
      <c r="T158" s="13">
        <v>24391</v>
      </c>
      <c r="U158" s="13">
        <v>30071</v>
      </c>
      <c r="V158" s="13">
        <v>23685</v>
      </c>
      <c r="W158" s="13" t="s">
        <v>80</v>
      </c>
    </row>
    <row r="159" spans="1:23" x14ac:dyDescent="0.25">
      <c r="A159" s="10" t="s">
        <v>1039</v>
      </c>
      <c r="B159" s="10" t="s">
        <v>1040</v>
      </c>
      <c r="C159" s="13" t="s">
        <v>80</v>
      </c>
      <c r="D159" s="13" t="s">
        <v>80</v>
      </c>
      <c r="E159" s="13" t="s">
        <v>80</v>
      </c>
      <c r="F159" s="13" t="s">
        <v>80</v>
      </c>
      <c r="G159" s="13" t="s">
        <v>80</v>
      </c>
      <c r="H159" s="13" t="s">
        <v>80</v>
      </c>
      <c r="I159" s="13" t="s">
        <v>80</v>
      </c>
      <c r="J159" s="13">
        <v>11496</v>
      </c>
      <c r="K159" s="13" t="s">
        <v>80</v>
      </c>
      <c r="L159" s="13" t="s">
        <v>80</v>
      </c>
      <c r="M159" s="13">
        <v>7692</v>
      </c>
      <c r="N159" s="13">
        <v>16643</v>
      </c>
      <c r="O159" s="13">
        <v>13286</v>
      </c>
      <c r="P159" s="13">
        <v>14472</v>
      </c>
      <c r="Q159" s="13">
        <v>8783</v>
      </c>
      <c r="R159" s="13">
        <v>8894</v>
      </c>
      <c r="S159" s="13">
        <v>7800</v>
      </c>
      <c r="T159" s="13">
        <v>3349</v>
      </c>
      <c r="U159" s="13">
        <v>2229</v>
      </c>
      <c r="V159" s="13">
        <v>2193</v>
      </c>
      <c r="W159" s="13">
        <v>4214</v>
      </c>
    </row>
    <row r="160" spans="1:23" x14ac:dyDescent="0.25">
      <c r="A160" s="10" t="s">
        <v>1041</v>
      </c>
      <c r="B160" s="10" t="s">
        <v>1042</v>
      </c>
      <c r="C160" s="14" t="s">
        <v>80</v>
      </c>
      <c r="D160" s="14" t="s">
        <v>80</v>
      </c>
      <c r="E160" s="14" t="s">
        <v>80</v>
      </c>
      <c r="F160" s="14" t="s">
        <v>80</v>
      </c>
      <c r="G160" s="14" t="s">
        <v>80</v>
      </c>
      <c r="H160" s="14" t="s">
        <v>80</v>
      </c>
      <c r="I160" s="14" t="s">
        <v>80</v>
      </c>
      <c r="J160" s="14">
        <v>2.91</v>
      </c>
      <c r="K160" s="14">
        <v>2.4</v>
      </c>
      <c r="L160" s="14">
        <v>1.56</v>
      </c>
      <c r="M160" s="14">
        <v>1.39</v>
      </c>
      <c r="N160" s="14">
        <v>2.6</v>
      </c>
      <c r="O160" s="14">
        <v>2.11</v>
      </c>
      <c r="P160" s="14">
        <v>1.94</v>
      </c>
      <c r="Q160" s="14">
        <v>1.1000000000000001</v>
      </c>
      <c r="R160" s="14">
        <v>0.95</v>
      </c>
      <c r="S160" s="14">
        <v>0.91</v>
      </c>
      <c r="T160" s="14">
        <v>0.39</v>
      </c>
      <c r="U160" s="14">
        <v>0.24</v>
      </c>
      <c r="V160" s="14">
        <v>0.21</v>
      </c>
      <c r="W160" s="14">
        <v>0.4</v>
      </c>
    </row>
    <row r="161" spans="1:23" x14ac:dyDescent="0.25">
      <c r="A161" s="10" t="s">
        <v>1043</v>
      </c>
      <c r="B161" s="10" t="s">
        <v>1044</v>
      </c>
      <c r="C161" s="13" t="s">
        <v>80</v>
      </c>
      <c r="D161" s="13" t="s">
        <v>80</v>
      </c>
      <c r="E161" s="13" t="s">
        <v>80</v>
      </c>
      <c r="F161" s="13" t="s">
        <v>80</v>
      </c>
      <c r="G161" s="13" t="s">
        <v>80</v>
      </c>
      <c r="H161" s="13" t="s">
        <v>80</v>
      </c>
      <c r="I161" s="13" t="s">
        <v>80</v>
      </c>
      <c r="J161" s="13" t="s">
        <v>80</v>
      </c>
      <c r="K161" s="13" t="s">
        <v>80</v>
      </c>
      <c r="L161" s="13" t="s">
        <v>80</v>
      </c>
      <c r="M161" s="13" t="s">
        <v>80</v>
      </c>
      <c r="N161" s="13" t="s">
        <v>80</v>
      </c>
      <c r="O161" s="13" t="s">
        <v>80</v>
      </c>
      <c r="P161" s="13" t="s">
        <v>80</v>
      </c>
      <c r="Q161" s="13" t="s">
        <v>80</v>
      </c>
      <c r="R161" s="13" t="s">
        <v>80</v>
      </c>
      <c r="S161" s="13" t="s">
        <v>80</v>
      </c>
      <c r="T161" s="13" t="s">
        <v>80</v>
      </c>
      <c r="U161" s="13" t="s">
        <v>80</v>
      </c>
      <c r="V161" s="13">
        <v>249409</v>
      </c>
      <c r="W161" s="13">
        <v>249090</v>
      </c>
    </row>
    <row r="162" spans="1:23" x14ac:dyDescent="0.25">
      <c r="A162" s="10" t="s">
        <v>1045</v>
      </c>
      <c r="B162" s="10" t="s">
        <v>1046</v>
      </c>
      <c r="C162" s="13" t="s">
        <v>80</v>
      </c>
      <c r="D162" s="13" t="s">
        <v>80</v>
      </c>
      <c r="E162" s="13" t="s">
        <v>80</v>
      </c>
      <c r="F162" s="13" t="s">
        <v>80</v>
      </c>
      <c r="G162" s="13" t="s">
        <v>80</v>
      </c>
      <c r="H162" s="13" t="s">
        <v>80</v>
      </c>
      <c r="I162" s="13" t="s">
        <v>80</v>
      </c>
      <c r="J162" s="13" t="s">
        <v>80</v>
      </c>
      <c r="K162" s="13" t="s">
        <v>80</v>
      </c>
      <c r="L162" s="13" t="s">
        <v>80</v>
      </c>
      <c r="M162" s="13" t="s">
        <v>80</v>
      </c>
      <c r="N162" s="13" t="s">
        <v>80</v>
      </c>
      <c r="O162" s="13">
        <v>100</v>
      </c>
      <c r="P162" s="13">
        <v>193</v>
      </c>
      <c r="Q162" s="13">
        <v>49</v>
      </c>
      <c r="R162" s="13">
        <v>167</v>
      </c>
      <c r="S162" s="13">
        <v>120</v>
      </c>
      <c r="T162" s="13">
        <v>32</v>
      </c>
      <c r="U162" s="13">
        <v>29</v>
      </c>
      <c r="V162" s="13">
        <v>30</v>
      </c>
      <c r="W162" s="13">
        <v>14</v>
      </c>
    </row>
    <row r="163" spans="1:23" x14ac:dyDescent="0.25">
      <c r="A163" s="10" t="s">
        <v>1047</v>
      </c>
      <c r="B163" s="10" t="s">
        <v>1048</v>
      </c>
      <c r="C163" s="13" t="s">
        <v>80</v>
      </c>
      <c r="D163" s="13" t="s">
        <v>80</v>
      </c>
      <c r="E163" s="13" t="s">
        <v>80</v>
      </c>
      <c r="F163" s="13">
        <v>4948</v>
      </c>
      <c r="G163" s="13">
        <v>6154</v>
      </c>
      <c r="H163" s="13">
        <v>6664</v>
      </c>
      <c r="I163" s="13" t="s">
        <v>80</v>
      </c>
      <c r="J163" s="13">
        <v>8481</v>
      </c>
      <c r="K163" s="13" t="s">
        <v>80</v>
      </c>
      <c r="L163" s="13">
        <v>14293</v>
      </c>
      <c r="M163" s="13">
        <v>11903</v>
      </c>
      <c r="N163" s="13">
        <v>10312</v>
      </c>
      <c r="O163" s="13">
        <v>12482</v>
      </c>
      <c r="P163" s="13">
        <v>13263</v>
      </c>
      <c r="Q163" s="13">
        <v>12806</v>
      </c>
      <c r="R163" s="13">
        <v>8931</v>
      </c>
      <c r="S163" s="13">
        <v>8506</v>
      </c>
      <c r="T163" s="13">
        <v>9973</v>
      </c>
      <c r="U163" s="13">
        <v>10890</v>
      </c>
      <c r="V163" s="13">
        <v>11125</v>
      </c>
      <c r="W163" s="13">
        <v>17839</v>
      </c>
    </row>
    <row r="164" spans="1:23" x14ac:dyDescent="0.25">
      <c r="A164" s="10" t="s">
        <v>1049</v>
      </c>
      <c r="B164" s="10" t="s">
        <v>1050</v>
      </c>
      <c r="C164" s="13" t="s">
        <v>80</v>
      </c>
      <c r="D164" s="13" t="s">
        <v>80</v>
      </c>
      <c r="E164" s="13" t="s">
        <v>80</v>
      </c>
      <c r="F164" s="13" t="s">
        <v>80</v>
      </c>
      <c r="G164" s="13">
        <v>4206</v>
      </c>
      <c r="H164" s="13">
        <v>5496</v>
      </c>
      <c r="I164" s="13">
        <v>3484</v>
      </c>
      <c r="J164" s="13">
        <v>3877</v>
      </c>
      <c r="K164" s="13">
        <v>4566</v>
      </c>
      <c r="L164" s="13">
        <v>6946</v>
      </c>
      <c r="M164" s="13">
        <v>11221</v>
      </c>
      <c r="N164" s="13">
        <v>13602</v>
      </c>
      <c r="O164" s="13">
        <v>11737</v>
      </c>
      <c r="P164" s="13">
        <v>28509</v>
      </c>
      <c r="Q164" s="13">
        <v>9469</v>
      </c>
      <c r="R164" s="13">
        <v>7162</v>
      </c>
      <c r="S164" s="13">
        <v>7206</v>
      </c>
      <c r="T164" s="13">
        <v>9596</v>
      </c>
      <c r="U164" s="13">
        <v>2827</v>
      </c>
      <c r="V164" s="13">
        <v>3836</v>
      </c>
      <c r="W164" s="13" t="s">
        <v>80</v>
      </c>
    </row>
    <row r="165" spans="1:23" x14ac:dyDescent="0.25">
      <c r="A165" s="10" t="s">
        <v>934</v>
      </c>
      <c r="B165" s="10" t="s">
        <v>1051</v>
      </c>
      <c r="C165" s="13" t="s">
        <v>80</v>
      </c>
      <c r="D165" s="13" t="s">
        <v>80</v>
      </c>
      <c r="E165" s="13" t="s">
        <v>80</v>
      </c>
      <c r="F165" s="13" t="s">
        <v>80</v>
      </c>
      <c r="G165" s="13" t="s">
        <v>80</v>
      </c>
      <c r="H165" s="13" t="s">
        <v>80</v>
      </c>
      <c r="I165" s="13" t="s">
        <v>80</v>
      </c>
      <c r="J165" s="13" t="s">
        <v>80</v>
      </c>
      <c r="K165" s="13" t="s">
        <v>80</v>
      </c>
      <c r="L165" s="13" t="s">
        <v>80</v>
      </c>
      <c r="M165" s="13" t="s">
        <v>80</v>
      </c>
      <c r="N165" s="13" t="s">
        <v>80</v>
      </c>
      <c r="O165" s="13" t="s">
        <v>80</v>
      </c>
      <c r="P165" s="13" t="s">
        <v>80</v>
      </c>
      <c r="Q165" s="13" t="s">
        <v>80</v>
      </c>
      <c r="R165" s="13" t="s">
        <v>80</v>
      </c>
      <c r="S165" s="13" t="s">
        <v>80</v>
      </c>
      <c r="T165" s="13" t="s">
        <v>80</v>
      </c>
      <c r="U165" s="13" t="s">
        <v>80</v>
      </c>
      <c r="V165" s="13" t="s">
        <v>80</v>
      </c>
      <c r="W165" s="13">
        <v>574</v>
      </c>
    </row>
    <row r="166" spans="1:23" x14ac:dyDescent="0.25">
      <c r="A166" s="10" t="s">
        <v>1052</v>
      </c>
      <c r="B166" s="10" t="s">
        <v>1053</v>
      </c>
      <c r="C166" s="13" t="s">
        <v>80</v>
      </c>
      <c r="D166" s="13" t="s">
        <v>80</v>
      </c>
      <c r="E166" s="13" t="s">
        <v>80</v>
      </c>
      <c r="F166" s="13" t="s">
        <v>80</v>
      </c>
      <c r="G166" s="13">
        <v>10235</v>
      </c>
      <c r="H166" s="13">
        <v>13692</v>
      </c>
      <c r="I166" s="13">
        <v>24737</v>
      </c>
      <c r="J166" s="13">
        <v>24308</v>
      </c>
      <c r="K166" s="13">
        <v>15634</v>
      </c>
      <c r="L166" s="13">
        <v>12393</v>
      </c>
      <c r="M166" s="13">
        <v>10051</v>
      </c>
      <c r="N166" s="13">
        <v>9942</v>
      </c>
      <c r="O166" s="13">
        <v>10166</v>
      </c>
      <c r="P166" s="13">
        <v>18126</v>
      </c>
      <c r="Q166" s="13">
        <v>17160</v>
      </c>
      <c r="R166" s="13">
        <v>17756</v>
      </c>
      <c r="S166" s="13">
        <v>14070</v>
      </c>
      <c r="T166" s="13">
        <v>17929</v>
      </c>
      <c r="U166" s="13">
        <v>22546</v>
      </c>
      <c r="V166" s="13">
        <v>3473</v>
      </c>
      <c r="W166" s="13" t="s">
        <v>80</v>
      </c>
    </row>
    <row r="167" spans="1:23" x14ac:dyDescent="0.25">
      <c r="A167" s="10" t="s">
        <v>1054</v>
      </c>
      <c r="B167" s="10" t="s">
        <v>1055</v>
      </c>
      <c r="C167" s="13" t="s">
        <v>80</v>
      </c>
      <c r="D167" s="13" t="s">
        <v>80</v>
      </c>
      <c r="E167" s="13" t="s">
        <v>80</v>
      </c>
      <c r="F167" s="13">
        <v>3.0590000000000002</v>
      </c>
      <c r="G167" s="13">
        <v>2545</v>
      </c>
      <c r="H167" s="13">
        <v>3411</v>
      </c>
      <c r="I167" s="13" t="s">
        <v>80</v>
      </c>
      <c r="J167" s="13" t="s">
        <v>80</v>
      </c>
      <c r="K167" s="13" t="s">
        <v>80</v>
      </c>
      <c r="L167" s="13" t="s">
        <v>80</v>
      </c>
      <c r="M167" s="13" t="s">
        <v>80</v>
      </c>
      <c r="N167" s="13" t="s">
        <v>80</v>
      </c>
      <c r="O167" s="13" t="s">
        <v>80</v>
      </c>
      <c r="P167" s="13" t="s">
        <v>80</v>
      </c>
      <c r="Q167" s="13" t="s">
        <v>80</v>
      </c>
      <c r="R167" s="13" t="s">
        <v>80</v>
      </c>
      <c r="S167" s="13" t="s">
        <v>80</v>
      </c>
      <c r="T167" s="13" t="s">
        <v>80</v>
      </c>
      <c r="U167" s="13" t="s">
        <v>80</v>
      </c>
      <c r="V167" s="13" t="s">
        <v>80</v>
      </c>
      <c r="W167" s="13" t="s">
        <v>80</v>
      </c>
    </row>
    <row r="168" spans="1:23" x14ac:dyDescent="0.25">
      <c r="A168" s="10" t="s">
        <v>1056</v>
      </c>
      <c r="B168" s="10" t="s">
        <v>1057</v>
      </c>
      <c r="C168" s="13" t="s">
        <v>80</v>
      </c>
      <c r="D168" s="13" t="s">
        <v>80</v>
      </c>
      <c r="E168" s="13" t="s">
        <v>80</v>
      </c>
      <c r="F168" s="13" t="s">
        <v>80</v>
      </c>
      <c r="G168" s="13">
        <v>3904</v>
      </c>
      <c r="H168" s="13">
        <v>4076</v>
      </c>
      <c r="I168" s="13">
        <v>3156</v>
      </c>
      <c r="J168" s="13">
        <v>8379</v>
      </c>
      <c r="K168" s="13">
        <v>175</v>
      </c>
      <c r="L168" s="13">
        <v>228</v>
      </c>
      <c r="M168" s="13">
        <v>87524</v>
      </c>
      <c r="N168" s="13">
        <v>45628</v>
      </c>
      <c r="O168" s="13">
        <v>93</v>
      </c>
      <c r="P168" s="13">
        <v>64</v>
      </c>
      <c r="Q168" s="13">
        <v>71</v>
      </c>
      <c r="R168" s="13">
        <v>71</v>
      </c>
      <c r="S168" s="13">
        <v>64</v>
      </c>
      <c r="T168" s="13">
        <v>42</v>
      </c>
      <c r="U168" s="13">
        <v>32</v>
      </c>
      <c r="V168" s="13">
        <v>53</v>
      </c>
      <c r="W168" s="13" t="s">
        <v>80</v>
      </c>
    </row>
    <row r="169" spans="1:23" x14ac:dyDescent="0.25">
      <c r="A169" s="10" t="s">
        <v>1058</v>
      </c>
      <c r="B169" s="10" t="s">
        <v>1059</v>
      </c>
      <c r="C169" s="14" t="s">
        <v>80</v>
      </c>
      <c r="D169" s="14" t="s">
        <v>80</v>
      </c>
      <c r="E169" s="14" t="s">
        <v>80</v>
      </c>
      <c r="F169" s="14" t="s">
        <v>80</v>
      </c>
      <c r="G169" s="14" t="s">
        <v>80</v>
      </c>
      <c r="H169" s="14" t="s">
        <v>80</v>
      </c>
      <c r="I169" s="14" t="s">
        <v>80</v>
      </c>
      <c r="J169" s="14" t="s">
        <v>80</v>
      </c>
      <c r="K169" s="14" t="s">
        <v>80</v>
      </c>
      <c r="L169" s="14" t="s">
        <v>80</v>
      </c>
      <c r="M169" s="14" t="s">
        <v>80</v>
      </c>
      <c r="N169" s="14" t="s">
        <v>80</v>
      </c>
      <c r="O169" s="14">
        <v>2</v>
      </c>
      <c r="P169" s="14">
        <v>1.73</v>
      </c>
      <c r="Q169" s="14">
        <v>1.6</v>
      </c>
      <c r="R169" s="14">
        <v>1.1000000000000001</v>
      </c>
      <c r="S169" s="14">
        <v>1</v>
      </c>
      <c r="T169" s="14">
        <v>1.1000000000000001</v>
      </c>
      <c r="U169" s="14">
        <v>1</v>
      </c>
      <c r="V169" s="14">
        <v>0.9</v>
      </c>
      <c r="W169" s="14">
        <v>1.4</v>
      </c>
    </row>
    <row r="170" spans="1:23" x14ac:dyDescent="0.25">
      <c r="A170" s="10" t="s">
        <v>1060</v>
      </c>
      <c r="B170" s="10" t="s">
        <v>1061</v>
      </c>
      <c r="C170" s="13" t="s">
        <v>80</v>
      </c>
      <c r="D170" s="13" t="s">
        <v>80</v>
      </c>
      <c r="E170" s="13" t="s">
        <v>80</v>
      </c>
      <c r="F170" s="13" t="s">
        <v>80</v>
      </c>
      <c r="G170" s="13">
        <v>9415</v>
      </c>
      <c r="H170" s="13">
        <v>12308</v>
      </c>
      <c r="I170" s="13">
        <v>12331</v>
      </c>
      <c r="J170" s="13">
        <v>15190</v>
      </c>
      <c r="K170" s="13">
        <v>15848</v>
      </c>
      <c r="L170" s="13">
        <v>20188</v>
      </c>
      <c r="M170" s="13">
        <v>20171</v>
      </c>
      <c r="N170" s="13">
        <v>20156</v>
      </c>
      <c r="O170" s="13">
        <v>23350</v>
      </c>
      <c r="P170" s="13">
        <v>23553</v>
      </c>
      <c r="Q170" s="13">
        <v>23842</v>
      </c>
      <c r="R170" s="13">
        <v>26710</v>
      </c>
      <c r="S170" s="13">
        <v>24891</v>
      </c>
      <c r="T170" s="13">
        <v>25928</v>
      </c>
      <c r="U170" s="13">
        <v>29566</v>
      </c>
      <c r="V170" s="13">
        <v>31362</v>
      </c>
      <c r="W170" s="13" t="s">
        <v>80</v>
      </c>
    </row>
    <row r="171" spans="1:23" x14ac:dyDescent="0.25">
      <c r="A171" s="10" t="s">
        <v>1062</v>
      </c>
      <c r="B171" s="10" t="s">
        <v>1063</v>
      </c>
      <c r="C171" s="13" t="s">
        <v>80</v>
      </c>
      <c r="D171" s="13" t="s">
        <v>80</v>
      </c>
      <c r="E171" s="13" t="s">
        <v>80</v>
      </c>
      <c r="F171" s="13" t="s">
        <v>80</v>
      </c>
      <c r="G171" s="13" t="s">
        <v>80</v>
      </c>
      <c r="H171" s="13" t="s">
        <v>80</v>
      </c>
      <c r="I171" s="13" t="s">
        <v>80</v>
      </c>
      <c r="J171" s="13" t="s">
        <v>80</v>
      </c>
      <c r="K171" s="13" t="s">
        <v>80</v>
      </c>
      <c r="L171" s="13" t="s">
        <v>80</v>
      </c>
      <c r="M171" s="13" t="s">
        <v>80</v>
      </c>
      <c r="N171" s="13" t="s">
        <v>80</v>
      </c>
      <c r="O171" s="13" t="s">
        <v>80</v>
      </c>
      <c r="P171" s="13">
        <v>1688</v>
      </c>
      <c r="Q171" s="13">
        <v>1802</v>
      </c>
      <c r="R171" s="13">
        <v>1924</v>
      </c>
      <c r="S171" s="13">
        <v>1676</v>
      </c>
      <c r="T171" s="13" t="s">
        <v>80</v>
      </c>
      <c r="U171" s="13" t="s">
        <v>80</v>
      </c>
      <c r="V171" s="13" t="s">
        <v>80</v>
      </c>
      <c r="W171" s="13" t="s">
        <v>80</v>
      </c>
    </row>
    <row r="172" spans="1:23" x14ac:dyDescent="0.25">
      <c r="A172" s="10" t="s">
        <v>1064</v>
      </c>
      <c r="B172" s="10" t="s">
        <v>1065</v>
      </c>
      <c r="C172" s="13" t="s">
        <v>80</v>
      </c>
      <c r="D172" s="13" t="s">
        <v>80</v>
      </c>
      <c r="E172" s="13" t="s">
        <v>80</v>
      </c>
      <c r="F172" s="13" t="s">
        <v>80</v>
      </c>
      <c r="G172" s="13" t="s">
        <v>80</v>
      </c>
      <c r="H172" s="13" t="s">
        <v>80</v>
      </c>
      <c r="I172" s="13" t="s">
        <v>80</v>
      </c>
      <c r="J172" s="13" t="s">
        <v>80</v>
      </c>
      <c r="K172" s="13" t="s">
        <v>80</v>
      </c>
      <c r="L172" s="13" t="s">
        <v>80</v>
      </c>
      <c r="M172" s="13" t="s">
        <v>80</v>
      </c>
      <c r="N172" s="13" t="s">
        <v>80</v>
      </c>
      <c r="O172" s="13" t="s">
        <v>80</v>
      </c>
      <c r="P172" s="13">
        <v>1756</v>
      </c>
      <c r="Q172" s="13">
        <v>1929</v>
      </c>
      <c r="R172" s="13">
        <v>2061</v>
      </c>
      <c r="S172" s="13">
        <v>1807</v>
      </c>
      <c r="T172" s="13" t="s">
        <v>80</v>
      </c>
      <c r="U172" s="13" t="s">
        <v>80</v>
      </c>
      <c r="V172" s="13" t="s">
        <v>80</v>
      </c>
      <c r="W172" s="13" t="s">
        <v>80</v>
      </c>
    </row>
    <row r="173" spans="1:23" x14ac:dyDescent="0.25">
      <c r="A173" s="10" t="s">
        <v>1066</v>
      </c>
      <c r="B173" s="10" t="s">
        <v>1067</v>
      </c>
      <c r="C173" s="13" t="s">
        <v>80</v>
      </c>
      <c r="D173" s="13" t="s">
        <v>80</v>
      </c>
      <c r="E173" s="13" t="s">
        <v>80</v>
      </c>
      <c r="F173" s="13" t="s">
        <v>80</v>
      </c>
      <c r="G173" s="13" t="s">
        <v>80</v>
      </c>
      <c r="H173" s="13" t="s">
        <v>80</v>
      </c>
      <c r="I173" s="13" t="s">
        <v>80</v>
      </c>
      <c r="J173" s="13" t="s">
        <v>80</v>
      </c>
      <c r="K173" s="13" t="s">
        <v>80</v>
      </c>
      <c r="L173" s="13" t="s">
        <v>80</v>
      </c>
      <c r="M173" s="13" t="s">
        <v>80</v>
      </c>
      <c r="N173" s="13" t="s">
        <v>80</v>
      </c>
      <c r="O173" s="13" t="s">
        <v>80</v>
      </c>
      <c r="P173" s="13">
        <v>1826</v>
      </c>
      <c r="Q173" s="13">
        <v>2066</v>
      </c>
      <c r="R173" s="13">
        <v>2208</v>
      </c>
      <c r="S173" s="13">
        <v>1949</v>
      </c>
      <c r="T173" s="13" t="s">
        <v>80</v>
      </c>
      <c r="U173" s="13" t="s">
        <v>80</v>
      </c>
      <c r="V173" s="13" t="s">
        <v>80</v>
      </c>
      <c r="W173" s="13" t="s">
        <v>80</v>
      </c>
    </row>
    <row r="174" spans="1:23" x14ac:dyDescent="0.25">
      <c r="A174" s="10" t="s">
        <v>1068</v>
      </c>
      <c r="B174" s="10" t="s">
        <v>1069</v>
      </c>
      <c r="C174" s="13" t="s">
        <v>80</v>
      </c>
      <c r="D174" s="13" t="s">
        <v>80</v>
      </c>
      <c r="E174" s="13" t="s">
        <v>80</v>
      </c>
      <c r="F174" s="13" t="s">
        <v>80</v>
      </c>
      <c r="G174" s="13" t="s">
        <v>80</v>
      </c>
      <c r="H174" s="13" t="s">
        <v>80</v>
      </c>
      <c r="I174" s="13" t="s">
        <v>80</v>
      </c>
      <c r="J174" s="13" t="s">
        <v>80</v>
      </c>
      <c r="K174" s="13" t="s">
        <v>80</v>
      </c>
      <c r="L174" s="13" t="s">
        <v>80</v>
      </c>
      <c r="M174" s="13" t="s">
        <v>80</v>
      </c>
      <c r="N174" s="13" t="s">
        <v>80</v>
      </c>
      <c r="O174" s="13" t="s">
        <v>80</v>
      </c>
      <c r="P174" s="13">
        <v>1899</v>
      </c>
      <c r="Q174" s="13">
        <v>2214</v>
      </c>
      <c r="R174" s="13">
        <v>2367</v>
      </c>
      <c r="S174" s="13" t="s">
        <v>80</v>
      </c>
      <c r="T174" s="13" t="s">
        <v>80</v>
      </c>
      <c r="U174" s="13" t="s">
        <v>80</v>
      </c>
      <c r="V174" s="13" t="s">
        <v>80</v>
      </c>
      <c r="W174" s="13" t="s">
        <v>80</v>
      </c>
    </row>
    <row r="175" spans="1:23" x14ac:dyDescent="0.25">
      <c r="A175" s="10" t="s">
        <v>1070</v>
      </c>
      <c r="B175" s="10" t="s">
        <v>1071</v>
      </c>
      <c r="C175" s="13" t="s">
        <v>80</v>
      </c>
      <c r="D175" s="13" t="s">
        <v>80</v>
      </c>
      <c r="E175" s="13" t="s">
        <v>80</v>
      </c>
      <c r="F175" s="13" t="s">
        <v>80</v>
      </c>
      <c r="G175" s="13" t="s">
        <v>80</v>
      </c>
      <c r="H175" s="13" t="s">
        <v>80</v>
      </c>
      <c r="I175" s="13" t="s">
        <v>80</v>
      </c>
      <c r="J175" s="13" t="s">
        <v>80</v>
      </c>
      <c r="K175" s="13" t="s">
        <v>80</v>
      </c>
      <c r="L175" s="13" t="s">
        <v>80</v>
      </c>
      <c r="M175" s="13" t="s">
        <v>80</v>
      </c>
      <c r="N175" s="13" t="s">
        <v>80</v>
      </c>
      <c r="O175" s="13" t="s">
        <v>80</v>
      </c>
      <c r="P175" s="13">
        <v>1976</v>
      </c>
      <c r="Q175" s="13" t="s">
        <v>80</v>
      </c>
      <c r="R175" s="13" t="s">
        <v>80</v>
      </c>
      <c r="S175" s="13" t="s">
        <v>80</v>
      </c>
      <c r="T175" s="13" t="s">
        <v>80</v>
      </c>
      <c r="U175" s="13" t="s">
        <v>80</v>
      </c>
      <c r="V175" s="13" t="s">
        <v>80</v>
      </c>
      <c r="W175" s="13" t="s">
        <v>80</v>
      </c>
    </row>
    <row r="176" spans="1:23" x14ac:dyDescent="0.25">
      <c r="A176" s="10" t="s">
        <v>1072</v>
      </c>
      <c r="B176" s="10" t="s">
        <v>1073</v>
      </c>
      <c r="C176" s="13" t="s">
        <v>80</v>
      </c>
      <c r="D176" s="13" t="s">
        <v>80</v>
      </c>
      <c r="E176" s="13" t="s">
        <v>80</v>
      </c>
      <c r="F176" s="13" t="s">
        <v>80</v>
      </c>
      <c r="G176" s="13" t="s">
        <v>80</v>
      </c>
      <c r="H176" s="13" t="s">
        <v>80</v>
      </c>
      <c r="I176" s="13" t="s">
        <v>80</v>
      </c>
      <c r="J176" s="13" t="s">
        <v>80</v>
      </c>
      <c r="K176" s="13" t="s">
        <v>80</v>
      </c>
      <c r="L176" s="13" t="s">
        <v>80</v>
      </c>
      <c r="M176" s="13" t="s">
        <v>80</v>
      </c>
      <c r="N176" s="13" t="s">
        <v>80</v>
      </c>
      <c r="O176" s="13" t="s">
        <v>80</v>
      </c>
      <c r="P176" s="13">
        <v>26019</v>
      </c>
      <c r="Q176" s="13">
        <v>38479</v>
      </c>
      <c r="R176" s="13">
        <v>35909</v>
      </c>
      <c r="S176" s="13">
        <v>35127</v>
      </c>
      <c r="T176" s="13" t="s">
        <v>80</v>
      </c>
      <c r="U176" s="13" t="s">
        <v>80</v>
      </c>
      <c r="V176" s="13" t="s">
        <v>80</v>
      </c>
      <c r="W176" s="13" t="s">
        <v>80</v>
      </c>
    </row>
    <row r="177" spans="1:23" x14ac:dyDescent="0.25">
      <c r="A177" s="10" t="s">
        <v>1074</v>
      </c>
      <c r="B177" s="10" t="s">
        <v>1075</v>
      </c>
      <c r="C177" s="13" t="s">
        <v>80</v>
      </c>
      <c r="D177" s="13" t="s">
        <v>80</v>
      </c>
      <c r="E177" s="13" t="s">
        <v>80</v>
      </c>
      <c r="F177" s="13" t="s">
        <v>80</v>
      </c>
      <c r="G177" s="13">
        <v>4255</v>
      </c>
      <c r="H177" s="13">
        <v>5303</v>
      </c>
      <c r="I177" s="13">
        <v>6281</v>
      </c>
      <c r="J177" s="13">
        <v>3664</v>
      </c>
      <c r="K177" s="13">
        <v>3860</v>
      </c>
      <c r="L177" s="13">
        <v>3674</v>
      </c>
      <c r="M177" s="13">
        <v>3653</v>
      </c>
      <c r="N177" s="13">
        <v>2885</v>
      </c>
      <c r="O177" s="13" t="s">
        <v>80</v>
      </c>
      <c r="P177" s="13" t="s">
        <v>80</v>
      </c>
      <c r="Q177" s="13" t="s">
        <v>80</v>
      </c>
      <c r="R177" s="13" t="s">
        <v>80</v>
      </c>
      <c r="S177" s="13" t="s">
        <v>80</v>
      </c>
      <c r="T177" s="13" t="s">
        <v>80</v>
      </c>
      <c r="U177" s="13" t="s">
        <v>80</v>
      </c>
      <c r="V177" s="13" t="s">
        <v>80</v>
      </c>
      <c r="W177" s="13" t="s">
        <v>80</v>
      </c>
    </row>
    <row r="178" spans="1:23" x14ac:dyDescent="0.25">
      <c r="A178" s="10" t="s">
        <v>1076</v>
      </c>
      <c r="B178" s="10" t="s">
        <v>1077</v>
      </c>
      <c r="C178" s="13" t="s">
        <v>80</v>
      </c>
      <c r="D178" s="13" t="s">
        <v>80</v>
      </c>
      <c r="E178" s="13" t="s">
        <v>80</v>
      </c>
      <c r="F178" s="13" t="s">
        <v>80</v>
      </c>
      <c r="G178" s="13" t="s">
        <v>80</v>
      </c>
      <c r="H178" s="13" t="s">
        <v>80</v>
      </c>
      <c r="I178" s="13" t="s">
        <v>80</v>
      </c>
      <c r="J178" s="13" t="s">
        <v>80</v>
      </c>
      <c r="K178" s="13" t="s">
        <v>80</v>
      </c>
      <c r="L178" s="13">
        <v>68348</v>
      </c>
      <c r="M178" s="13">
        <v>68348</v>
      </c>
      <c r="N178" s="13">
        <v>77518</v>
      </c>
      <c r="O178" s="13">
        <v>75220</v>
      </c>
      <c r="P178" s="13">
        <v>94970</v>
      </c>
      <c r="Q178" s="13">
        <v>101927</v>
      </c>
      <c r="R178" s="13">
        <v>129929</v>
      </c>
      <c r="S178" s="13">
        <v>131693</v>
      </c>
      <c r="T178" s="13">
        <v>129145</v>
      </c>
      <c r="U178" s="13">
        <v>139297</v>
      </c>
      <c r="V178" s="13">
        <v>135509</v>
      </c>
      <c r="W178" s="13">
        <v>131945</v>
      </c>
    </row>
    <row r="179" spans="1:23" x14ac:dyDescent="0.25">
      <c r="A179" s="10" t="s">
        <v>1078</v>
      </c>
      <c r="B179" s="10" t="s">
        <v>1079</v>
      </c>
      <c r="C179" s="14" t="s">
        <v>80</v>
      </c>
      <c r="D179" s="14" t="s">
        <v>80</v>
      </c>
      <c r="E179" s="14" t="s">
        <v>80</v>
      </c>
      <c r="F179" s="14" t="s">
        <v>80</v>
      </c>
      <c r="G179" s="14" t="s">
        <v>80</v>
      </c>
      <c r="H179" s="14" t="s">
        <v>80</v>
      </c>
      <c r="I179" s="14" t="s">
        <v>80</v>
      </c>
      <c r="J179" s="14" t="s">
        <v>80</v>
      </c>
      <c r="K179" s="14" t="s">
        <v>80</v>
      </c>
      <c r="L179" s="14" t="s">
        <v>80</v>
      </c>
      <c r="M179" s="14" t="s">
        <v>80</v>
      </c>
      <c r="N179" s="14" t="s">
        <v>80</v>
      </c>
      <c r="O179" s="14">
        <v>11.93</v>
      </c>
      <c r="P179" s="14">
        <v>12.71</v>
      </c>
      <c r="Q179" s="14">
        <v>12.74</v>
      </c>
      <c r="R179" s="14">
        <v>13.91</v>
      </c>
      <c r="S179" s="14">
        <v>15.32</v>
      </c>
      <c r="T179" s="14">
        <v>15.15</v>
      </c>
      <c r="U179" s="14">
        <v>14.71</v>
      </c>
      <c r="V179" s="14">
        <v>13.21</v>
      </c>
      <c r="W179" s="14">
        <v>12.61</v>
      </c>
    </row>
    <row r="180" spans="1:23" x14ac:dyDescent="0.25">
      <c r="A180" s="10" t="s">
        <v>1080</v>
      </c>
      <c r="B180" s="10" t="s">
        <v>1081</v>
      </c>
      <c r="C180" s="13" t="s">
        <v>80</v>
      </c>
      <c r="D180" s="13" t="s">
        <v>80</v>
      </c>
      <c r="E180" s="13" t="s">
        <v>80</v>
      </c>
      <c r="F180" s="13" t="s">
        <v>80</v>
      </c>
      <c r="G180" s="13" t="s">
        <v>80</v>
      </c>
      <c r="H180" s="13" t="s">
        <v>80</v>
      </c>
      <c r="I180" s="13" t="s">
        <v>80</v>
      </c>
      <c r="J180" s="13" t="s">
        <v>80</v>
      </c>
      <c r="K180" s="13" t="s">
        <v>80</v>
      </c>
      <c r="L180" s="13" t="s">
        <v>80</v>
      </c>
      <c r="M180" s="13" t="s">
        <v>80</v>
      </c>
      <c r="N180" s="13" t="s">
        <v>80</v>
      </c>
      <c r="O180" s="13">
        <v>3737</v>
      </c>
      <c r="P180" s="13">
        <v>4683</v>
      </c>
      <c r="Q180" s="13">
        <v>4676</v>
      </c>
      <c r="R180" s="13">
        <v>6260</v>
      </c>
      <c r="S180" s="13">
        <v>6622</v>
      </c>
      <c r="T180" s="13">
        <v>458</v>
      </c>
      <c r="U180" s="13">
        <v>1036</v>
      </c>
      <c r="V180" s="13">
        <v>700</v>
      </c>
      <c r="W180" s="13" t="s">
        <v>80</v>
      </c>
    </row>
    <row r="181" spans="1:23" x14ac:dyDescent="0.25">
      <c r="A181" s="10" t="s">
        <v>1082</v>
      </c>
      <c r="B181" s="10" t="s">
        <v>1083</v>
      </c>
      <c r="C181" s="13" t="s">
        <v>80</v>
      </c>
      <c r="D181" s="13" t="s">
        <v>80</v>
      </c>
      <c r="E181" s="13" t="s">
        <v>80</v>
      </c>
      <c r="F181" s="13" t="s">
        <v>80</v>
      </c>
      <c r="G181" s="13" t="s">
        <v>80</v>
      </c>
      <c r="H181" s="13" t="s">
        <v>80</v>
      </c>
      <c r="I181" s="13" t="s">
        <v>80</v>
      </c>
      <c r="J181" s="13" t="s">
        <v>80</v>
      </c>
      <c r="K181" s="13" t="s">
        <v>80</v>
      </c>
      <c r="L181" s="13" t="s">
        <v>80</v>
      </c>
      <c r="M181" s="13" t="s">
        <v>80</v>
      </c>
      <c r="N181" s="13" t="s">
        <v>80</v>
      </c>
      <c r="O181" s="13">
        <v>5502</v>
      </c>
      <c r="P181" s="13">
        <v>4677</v>
      </c>
      <c r="Q181" s="13">
        <v>7837</v>
      </c>
      <c r="R181" s="13">
        <v>7526</v>
      </c>
      <c r="S181" s="13">
        <v>7993</v>
      </c>
      <c r="T181" s="13">
        <v>1422</v>
      </c>
      <c r="U181" s="13">
        <v>1687</v>
      </c>
      <c r="V181" s="13">
        <v>1016</v>
      </c>
      <c r="W181" s="13" t="s">
        <v>80</v>
      </c>
    </row>
    <row r="182" spans="1:23" x14ac:dyDescent="0.25">
      <c r="A182" s="10" t="s">
        <v>1084</v>
      </c>
      <c r="B182" s="10" t="s">
        <v>1085</v>
      </c>
      <c r="C182" s="13" t="s">
        <v>80</v>
      </c>
      <c r="D182" s="13" t="s">
        <v>80</v>
      </c>
      <c r="E182" s="13" t="s">
        <v>80</v>
      </c>
      <c r="F182" s="13" t="s">
        <v>80</v>
      </c>
      <c r="G182" s="13" t="s">
        <v>80</v>
      </c>
      <c r="H182" s="13" t="s">
        <v>80</v>
      </c>
      <c r="I182" s="13" t="s">
        <v>80</v>
      </c>
      <c r="J182" s="13" t="s">
        <v>80</v>
      </c>
      <c r="K182" s="13" t="s">
        <v>80</v>
      </c>
      <c r="L182" s="13" t="s">
        <v>80</v>
      </c>
      <c r="M182" s="13" t="s">
        <v>80</v>
      </c>
      <c r="N182" s="13" t="s">
        <v>80</v>
      </c>
      <c r="O182" s="13">
        <v>21770</v>
      </c>
      <c r="P182" s="13">
        <v>23400</v>
      </c>
      <c r="Q182" s="13">
        <v>17448</v>
      </c>
      <c r="R182" s="13">
        <v>41820</v>
      </c>
      <c r="S182" s="13">
        <v>20228</v>
      </c>
      <c r="T182" s="13">
        <v>35243</v>
      </c>
      <c r="U182" s="13">
        <v>27921</v>
      </c>
      <c r="V182" s="13">
        <v>20426</v>
      </c>
      <c r="W182" s="13" t="s">
        <v>80</v>
      </c>
    </row>
    <row r="183" spans="1:23" x14ac:dyDescent="0.25">
      <c r="A183" s="10" t="s">
        <v>1086</v>
      </c>
      <c r="B183" s="10" t="s">
        <v>1087</v>
      </c>
      <c r="C183" s="13" t="s">
        <v>80</v>
      </c>
      <c r="D183" s="13" t="s">
        <v>80</v>
      </c>
      <c r="E183" s="13" t="s">
        <v>80</v>
      </c>
      <c r="F183" s="13" t="s">
        <v>80</v>
      </c>
      <c r="G183" s="13" t="s">
        <v>80</v>
      </c>
      <c r="H183" s="13" t="s">
        <v>80</v>
      </c>
      <c r="I183" s="13" t="s">
        <v>80</v>
      </c>
      <c r="J183" s="13" t="s">
        <v>80</v>
      </c>
      <c r="K183" s="13" t="s">
        <v>80</v>
      </c>
      <c r="L183" s="13" t="s">
        <v>80</v>
      </c>
      <c r="M183" s="13" t="s">
        <v>80</v>
      </c>
      <c r="N183" s="13" t="s">
        <v>80</v>
      </c>
      <c r="O183" s="13">
        <v>19106</v>
      </c>
      <c r="P183" s="13">
        <v>18928</v>
      </c>
      <c r="Q183" s="13">
        <v>12915</v>
      </c>
      <c r="R183" s="13">
        <v>36571</v>
      </c>
      <c r="S183" s="13">
        <v>14449</v>
      </c>
      <c r="T183" s="13">
        <v>23380</v>
      </c>
      <c r="U183" s="13">
        <v>12082</v>
      </c>
      <c r="V183" s="13">
        <v>8682</v>
      </c>
      <c r="W183" s="13" t="s">
        <v>80</v>
      </c>
    </row>
    <row r="184" spans="1:23" x14ac:dyDescent="0.25">
      <c r="A184" s="10" t="s">
        <v>1088</v>
      </c>
      <c r="B184" s="10" t="s">
        <v>1089</v>
      </c>
      <c r="C184" s="13" t="s">
        <v>80</v>
      </c>
      <c r="D184" s="13" t="s">
        <v>80</v>
      </c>
      <c r="E184" s="13" t="s">
        <v>80</v>
      </c>
      <c r="F184" s="13" t="s">
        <v>80</v>
      </c>
      <c r="G184" s="13" t="s">
        <v>80</v>
      </c>
      <c r="H184" s="13" t="s">
        <v>80</v>
      </c>
      <c r="I184" s="13" t="s">
        <v>80</v>
      </c>
      <c r="J184" s="13" t="s">
        <v>80</v>
      </c>
      <c r="K184" s="13" t="s">
        <v>80</v>
      </c>
      <c r="L184" s="13" t="s">
        <v>80</v>
      </c>
      <c r="M184" s="13" t="s">
        <v>80</v>
      </c>
      <c r="N184" s="13" t="s">
        <v>80</v>
      </c>
      <c r="O184" s="13">
        <v>11909</v>
      </c>
      <c r="P184" s="13">
        <v>10710</v>
      </c>
      <c r="Q184" s="13">
        <v>3948</v>
      </c>
      <c r="R184" s="13">
        <v>4990</v>
      </c>
      <c r="S184" s="13">
        <v>5519</v>
      </c>
      <c r="T184" s="13">
        <v>2779</v>
      </c>
      <c r="U184" s="13">
        <v>1108</v>
      </c>
      <c r="V184" s="13">
        <v>3798</v>
      </c>
      <c r="W184" s="13" t="s">
        <v>80</v>
      </c>
    </row>
    <row r="185" spans="1:23" x14ac:dyDescent="0.25">
      <c r="A185" s="10" t="s">
        <v>1090</v>
      </c>
      <c r="B185" s="10" t="s">
        <v>1091</v>
      </c>
      <c r="C185" s="13" t="s">
        <v>80</v>
      </c>
      <c r="D185" s="13" t="s">
        <v>80</v>
      </c>
      <c r="E185" s="13" t="s">
        <v>80</v>
      </c>
      <c r="F185" s="13" t="s">
        <v>80</v>
      </c>
      <c r="G185" s="13" t="s">
        <v>80</v>
      </c>
      <c r="H185" s="13" t="s">
        <v>80</v>
      </c>
      <c r="I185" s="13" t="s">
        <v>80</v>
      </c>
      <c r="J185" s="13" t="s">
        <v>80</v>
      </c>
      <c r="K185" s="13" t="s">
        <v>80</v>
      </c>
      <c r="L185" s="13">
        <v>11074</v>
      </c>
      <c r="M185" s="13">
        <v>12400</v>
      </c>
      <c r="N185" s="13">
        <v>15047</v>
      </c>
      <c r="O185" s="13">
        <v>19189</v>
      </c>
      <c r="P185" s="13">
        <v>24131</v>
      </c>
      <c r="Q185" s="13">
        <v>26669</v>
      </c>
      <c r="R185" s="13">
        <v>28326</v>
      </c>
      <c r="S185" s="13">
        <v>28020</v>
      </c>
      <c r="T185" s="13" t="s">
        <v>80</v>
      </c>
      <c r="U185" s="13" t="s">
        <v>80</v>
      </c>
      <c r="V185" s="13" t="s">
        <v>80</v>
      </c>
      <c r="W185" s="13" t="s">
        <v>80</v>
      </c>
    </row>
    <row r="186" spans="1:23" x14ac:dyDescent="0.25">
      <c r="A186" s="10" t="s">
        <v>1092</v>
      </c>
      <c r="B186" s="10" t="s">
        <v>1093</v>
      </c>
      <c r="C186" s="14" t="s">
        <v>80</v>
      </c>
      <c r="D186" s="14" t="s">
        <v>80</v>
      </c>
      <c r="E186" s="14" t="s">
        <v>80</v>
      </c>
      <c r="F186" s="14" t="s">
        <v>80</v>
      </c>
      <c r="G186" s="14" t="s">
        <v>80</v>
      </c>
      <c r="H186" s="14" t="s">
        <v>80</v>
      </c>
      <c r="I186" s="14" t="s">
        <v>80</v>
      </c>
      <c r="J186" s="14" t="s">
        <v>80</v>
      </c>
      <c r="K186" s="14" t="s">
        <v>80</v>
      </c>
      <c r="L186" s="14" t="s">
        <v>80</v>
      </c>
      <c r="M186" s="14" t="s">
        <v>80</v>
      </c>
      <c r="N186" s="14" t="s">
        <v>80</v>
      </c>
      <c r="O186" s="14">
        <v>7911</v>
      </c>
      <c r="P186" s="14">
        <v>8423</v>
      </c>
      <c r="Q186" s="14">
        <v>8919</v>
      </c>
      <c r="R186" s="14">
        <v>9387</v>
      </c>
      <c r="S186" s="14">
        <v>9668</v>
      </c>
      <c r="T186" s="14">
        <v>9938</v>
      </c>
      <c r="U186" s="14" t="s">
        <v>80</v>
      </c>
      <c r="V186" s="14" t="s">
        <v>80</v>
      </c>
      <c r="W186" s="14" t="s">
        <v>80</v>
      </c>
    </row>
    <row r="187" spans="1:23" x14ac:dyDescent="0.25">
      <c r="A187" s="10" t="s">
        <v>1094</v>
      </c>
      <c r="B187" s="10" t="s">
        <v>1095</v>
      </c>
      <c r="C187" s="13" t="s">
        <v>80</v>
      </c>
      <c r="D187" s="13" t="s">
        <v>80</v>
      </c>
      <c r="E187" s="13" t="s">
        <v>80</v>
      </c>
      <c r="F187" s="13" t="s">
        <v>80</v>
      </c>
      <c r="G187" s="13" t="s">
        <v>80</v>
      </c>
      <c r="H187" s="13" t="s">
        <v>80</v>
      </c>
      <c r="I187" s="13" t="s">
        <v>80</v>
      </c>
      <c r="J187" s="13" t="s">
        <v>80</v>
      </c>
      <c r="K187" s="13" t="s">
        <v>80</v>
      </c>
      <c r="L187" s="13" t="s">
        <v>80</v>
      </c>
      <c r="M187" s="13" t="s">
        <v>80</v>
      </c>
      <c r="N187" s="13" t="s">
        <v>80</v>
      </c>
      <c r="O187" s="13">
        <v>13</v>
      </c>
      <c r="P187" s="13" t="s">
        <v>80</v>
      </c>
      <c r="Q187" s="13" t="s">
        <v>80</v>
      </c>
      <c r="R187" s="13" t="s">
        <v>80</v>
      </c>
      <c r="S187" s="13" t="s">
        <v>80</v>
      </c>
      <c r="T187" s="13" t="s">
        <v>80</v>
      </c>
      <c r="U187" s="13" t="s">
        <v>80</v>
      </c>
      <c r="V187" s="13" t="s">
        <v>80</v>
      </c>
      <c r="W187" s="13" t="s">
        <v>80</v>
      </c>
    </row>
    <row r="188" spans="1:23" x14ac:dyDescent="0.25">
      <c r="A188" s="10" t="s">
        <v>1096</v>
      </c>
      <c r="B188" s="10" t="s">
        <v>1097</v>
      </c>
      <c r="C188" s="13" t="s">
        <v>80</v>
      </c>
      <c r="D188" s="13" t="s">
        <v>80</v>
      </c>
      <c r="E188" s="13" t="s">
        <v>80</v>
      </c>
      <c r="F188" s="13" t="s">
        <v>80</v>
      </c>
      <c r="G188" s="13" t="s">
        <v>80</v>
      </c>
      <c r="H188" s="13" t="s">
        <v>80</v>
      </c>
      <c r="I188" s="13" t="s">
        <v>80</v>
      </c>
      <c r="J188" s="13" t="s">
        <v>80</v>
      </c>
      <c r="K188" s="13" t="s">
        <v>80</v>
      </c>
      <c r="L188" s="13" t="s">
        <v>80</v>
      </c>
      <c r="M188" s="13" t="s">
        <v>80</v>
      </c>
      <c r="N188" s="13" t="s">
        <v>80</v>
      </c>
      <c r="O188" s="13">
        <v>205</v>
      </c>
      <c r="P188" s="13">
        <v>156</v>
      </c>
      <c r="Q188" s="13">
        <v>162</v>
      </c>
      <c r="R188" s="13">
        <v>2043</v>
      </c>
      <c r="S188" s="13">
        <v>1055</v>
      </c>
      <c r="T188" s="13">
        <v>1854</v>
      </c>
      <c r="U188" s="13">
        <v>4442</v>
      </c>
      <c r="V188" s="13">
        <v>1004</v>
      </c>
      <c r="W188" s="13" t="s">
        <v>80</v>
      </c>
    </row>
    <row r="189" spans="1:23" x14ac:dyDescent="0.25">
      <c r="A189" s="10" t="s">
        <v>1098</v>
      </c>
      <c r="B189" s="10" t="s">
        <v>1099</v>
      </c>
      <c r="C189" s="13" t="s">
        <v>80</v>
      </c>
      <c r="D189" s="13" t="s">
        <v>80</v>
      </c>
      <c r="E189" s="13" t="s">
        <v>80</v>
      </c>
      <c r="F189" s="13" t="s">
        <v>80</v>
      </c>
      <c r="G189" s="13" t="s">
        <v>80</v>
      </c>
      <c r="H189" s="13" t="s">
        <v>80</v>
      </c>
      <c r="I189" s="13" t="s">
        <v>80</v>
      </c>
      <c r="J189" s="13" t="s">
        <v>80</v>
      </c>
      <c r="K189" s="13" t="s">
        <v>80</v>
      </c>
      <c r="L189" s="13" t="s">
        <v>80</v>
      </c>
      <c r="M189" s="13" t="s">
        <v>80</v>
      </c>
      <c r="N189" s="13" t="s">
        <v>80</v>
      </c>
      <c r="O189" s="13">
        <v>492</v>
      </c>
      <c r="P189" s="13">
        <v>253</v>
      </c>
      <c r="Q189" s="13">
        <v>273</v>
      </c>
      <c r="R189" s="13">
        <v>0</v>
      </c>
      <c r="S189" s="13">
        <v>1052</v>
      </c>
      <c r="T189" s="13">
        <v>1177</v>
      </c>
      <c r="U189" s="13">
        <v>1151</v>
      </c>
      <c r="V189" s="13">
        <v>1004</v>
      </c>
      <c r="W189" s="13" t="s">
        <v>80</v>
      </c>
    </row>
    <row r="190" spans="1:23" x14ac:dyDescent="0.25">
      <c r="A190" s="10" t="s">
        <v>1100</v>
      </c>
      <c r="B190" s="10" t="s">
        <v>1101</v>
      </c>
      <c r="C190" s="13" t="s">
        <v>80</v>
      </c>
      <c r="D190" s="13" t="s">
        <v>80</v>
      </c>
      <c r="E190" s="13" t="s">
        <v>80</v>
      </c>
      <c r="F190" s="13" t="s">
        <v>80</v>
      </c>
      <c r="G190" s="13" t="s">
        <v>80</v>
      </c>
      <c r="H190" s="13" t="s">
        <v>80</v>
      </c>
      <c r="I190" s="13" t="s">
        <v>80</v>
      </c>
      <c r="J190" s="13" t="s">
        <v>80</v>
      </c>
      <c r="K190" s="13" t="s">
        <v>80</v>
      </c>
      <c r="L190" s="13" t="s">
        <v>80</v>
      </c>
      <c r="M190" s="13" t="s">
        <v>80</v>
      </c>
      <c r="N190" s="13" t="s">
        <v>80</v>
      </c>
      <c r="O190" s="13">
        <v>205</v>
      </c>
      <c r="P190" s="13">
        <v>156</v>
      </c>
      <c r="Q190" s="13">
        <v>162</v>
      </c>
      <c r="R190" s="13">
        <v>546</v>
      </c>
      <c r="S190" s="13">
        <v>0</v>
      </c>
      <c r="T190" s="13" t="s">
        <v>80</v>
      </c>
      <c r="U190" s="13" t="s">
        <v>80</v>
      </c>
      <c r="V190" s="13" t="s">
        <v>80</v>
      </c>
      <c r="W190" s="13" t="s">
        <v>80</v>
      </c>
    </row>
    <row r="191" spans="1:23" x14ac:dyDescent="0.25">
      <c r="A191" s="10" t="s">
        <v>1102</v>
      </c>
      <c r="B191" s="10" t="s">
        <v>1103</v>
      </c>
      <c r="C191" s="13" t="s">
        <v>80</v>
      </c>
      <c r="D191" s="13" t="s">
        <v>80</v>
      </c>
      <c r="E191" s="13" t="s">
        <v>80</v>
      </c>
      <c r="F191" s="13" t="s">
        <v>80</v>
      </c>
      <c r="G191" s="13" t="s">
        <v>80</v>
      </c>
      <c r="H191" s="13" t="s">
        <v>80</v>
      </c>
      <c r="I191" s="13" t="s">
        <v>80</v>
      </c>
      <c r="J191" s="13" t="s">
        <v>80</v>
      </c>
      <c r="K191" s="13" t="s">
        <v>80</v>
      </c>
      <c r="L191" s="13" t="s">
        <v>80</v>
      </c>
      <c r="M191" s="13" t="s">
        <v>80</v>
      </c>
      <c r="N191" s="13" t="s">
        <v>80</v>
      </c>
      <c r="O191" s="13">
        <v>12401</v>
      </c>
      <c r="P191" s="13">
        <v>10963</v>
      </c>
      <c r="Q191" s="13">
        <v>4221</v>
      </c>
      <c r="R191" s="13">
        <v>4990</v>
      </c>
      <c r="S191" s="13">
        <v>5519</v>
      </c>
      <c r="T191" s="13">
        <v>4318</v>
      </c>
      <c r="U191" s="13">
        <v>7765</v>
      </c>
      <c r="V191" s="13">
        <v>12432</v>
      </c>
      <c r="W191" s="13" t="s">
        <v>80</v>
      </c>
    </row>
    <row r="192" spans="1:23" x14ac:dyDescent="0.25">
      <c r="A192" s="10" t="s">
        <v>1104</v>
      </c>
      <c r="B192" s="10" t="s">
        <v>1105</v>
      </c>
      <c r="C192" s="13" t="s">
        <v>80</v>
      </c>
      <c r="D192" s="13" t="s">
        <v>80</v>
      </c>
      <c r="E192" s="13" t="s">
        <v>80</v>
      </c>
      <c r="F192" s="13" t="s">
        <v>80</v>
      </c>
      <c r="G192" s="13" t="s">
        <v>80</v>
      </c>
      <c r="H192" s="13" t="s">
        <v>80</v>
      </c>
      <c r="I192" s="13" t="s">
        <v>80</v>
      </c>
      <c r="J192" s="13" t="s">
        <v>80</v>
      </c>
      <c r="K192" s="13" t="s">
        <v>80</v>
      </c>
      <c r="L192" s="13" t="s">
        <v>80</v>
      </c>
      <c r="M192" s="13" t="s">
        <v>80</v>
      </c>
      <c r="N192" s="13" t="s">
        <v>80</v>
      </c>
      <c r="O192" s="13">
        <v>25520</v>
      </c>
      <c r="P192" s="13">
        <v>28083</v>
      </c>
      <c r="Q192" s="13">
        <v>22295</v>
      </c>
      <c r="R192" s="13">
        <v>48233</v>
      </c>
      <c r="S192" s="13">
        <v>26941</v>
      </c>
      <c r="T192" s="13">
        <v>35701</v>
      </c>
      <c r="U192" s="13">
        <v>28957</v>
      </c>
      <c r="V192" s="13">
        <v>21126</v>
      </c>
      <c r="W192" s="13" t="s">
        <v>80</v>
      </c>
    </row>
    <row r="193" spans="1:23" x14ac:dyDescent="0.25">
      <c r="A193" s="10" t="s">
        <v>1106</v>
      </c>
      <c r="B193" s="10" t="s">
        <v>1107</v>
      </c>
      <c r="C193" s="13" t="s">
        <v>80</v>
      </c>
      <c r="D193" s="13" t="s">
        <v>80</v>
      </c>
      <c r="E193" s="13" t="s">
        <v>80</v>
      </c>
      <c r="F193" s="13" t="s">
        <v>80</v>
      </c>
      <c r="G193" s="13" t="s">
        <v>80</v>
      </c>
      <c r="H193" s="13" t="s">
        <v>80</v>
      </c>
      <c r="I193" s="13" t="s">
        <v>80</v>
      </c>
      <c r="J193" s="13" t="s">
        <v>80</v>
      </c>
      <c r="K193" s="13" t="s">
        <v>80</v>
      </c>
      <c r="L193" s="13" t="s">
        <v>80</v>
      </c>
      <c r="M193" s="13" t="s">
        <v>80</v>
      </c>
      <c r="N193" s="13" t="s">
        <v>80</v>
      </c>
      <c r="O193" s="13">
        <v>24608</v>
      </c>
      <c r="P193" s="13">
        <v>23605</v>
      </c>
      <c r="Q193" s="13">
        <v>20752</v>
      </c>
      <c r="R193" s="13">
        <v>44097</v>
      </c>
      <c r="S193" s="13">
        <v>22442</v>
      </c>
      <c r="T193" s="13">
        <v>29120</v>
      </c>
      <c r="U193" s="13">
        <v>21534</v>
      </c>
      <c r="V193" s="13">
        <v>22130</v>
      </c>
      <c r="W193" s="13" t="s">
        <v>80</v>
      </c>
    </row>
    <row r="194" spans="1:23" x14ac:dyDescent="0.25">
      <c r="A194" s="10" t="s">
        <v>1108</v>
      </c>
      <c r="B194" s="10" t="s">
        <v>1109</v>
      </c>
      <c r="C194" s="14" t="s">
        <v>80</v>
      </c>
      <c r="D194" s="14" t="s">
        <v>80</v>
      </c>
      <c r="E194" s="14" t="s">
        <v>80</v>
      </c>
      <c r="F194" s="14" t="s">
        <v>80</v>
      </c>
      <c r="G194" s="14" t="s">
        <v>80</v>
      </c>
      <c r="H194" s="14" t="s">
        <v>80</v>
      </c>
      <c r="I194" s="14" t="s">
        <v>80</v>
      </c>
      <c r="J194" s="14" t="s">
        <v>80</v>
      </c>
      <c r="K194" s="14" t="s">
        <v>80</v>
      </c>
      <c r="L194" s="14">
        <v>133.69999999999999</v>
      </c>
      <c r="M194" s="14">
        <v>107.78</v>
      </c>
      <c r="N194" s="14">
        <v>99.55</v>
      </c>
      <c r="O194" s="14">
        <v>123.42</v>
      </c>
      <c r="P194" s="14">
        <v>106.95</v>
      </c>
      <c r="Q194" s="14">
        <v>133.5</v>
      </c>
      <c r="R194" s="14">
        <v>192.5</v>
      </c>
      <c r="S194" s="14">
        <v>201.7</v>
      </c>
      <c r="T194" s="14">
        <v>154.6</v>
      </c>
      <c r="U194" s="14">
        <v>160.5</v>
      </c>
      <c r="V194" s="14">
        <v>164.2</v>
      </c>
      <c r="W194" s="14">
        <v>162.4</v>
      </c>
    </row>
    <row r="195" spans="1:23" x14ac:dyDescent="0.25">
      <c r="A195" s="10" t="s">
        <v>1110</v>
      </c>
      <c r="B195" s="10" t="s">
        <v>1111</v>
      </c>
      <c r="C195" s="14" t="s">
        <v>80</v>
      </c>
      <c r="D195" s="14" t="s">
        <v>80</v>
      </c>
      <c r="E195" s="14" t="s">
        <v>80</v>
      </c>
      <c r="F195" s="14" t="s">
        <v>80</v>
      </c>
      <c r="G195" s="14" t="s">
        <v>80</v>
      </c>
      <c r="H195" s="14" t="s">
        <v>80</v>
      </c>
      <c r="I195" s="14" t="s">
        <v>80</v>
      </c>
      <c r="J195" s="14" t="s">
        <v>80</v>
      </c>
      <c r="K195" s="14" t="s">
        <v>80</v>
      </c>
      <c r="L195" s="14" t="s">
        <v>80</v>
      </c>
      <c r="M195" s="14" t="s">
        <v>80</v>
      </c>
      <c r="N195" s="14" t="s">
        <v>80</v>
      </c>
      <c r="O195" s="14" t="s">
        <v>80</v>
      </c>
      <c r="P195" s="14" t="s">
        <v>80</v>
      </c>
      <c r="Q195" s="14" t="s">
        <v>80</v>
      </c>
      <c r="R195" s="14" t="s">
        <v>80</v>
      </c>
      <c r="S195" s="14" t="s">
        <v>80</v>
      </c>
      <c r="T195" s="14" t="s">
        <v>80</v>
      </c>
      <c r="U195" s="14">
        <v>131.97</v>
      </c>
      <c r="V195" s="14">
        <v>183.7</v>
      </c>
      <c r="W195" s="14">
        <v>135.1</v>
      </c>
    </row>
    <row r="196" spans="1:23" x14ac:dyDescent="0.25">
      <c r="A196" s="10" t="s">
        <v>1112</v>
      </c>
      <c r="B196" s="10" t="s">
        <v>1113</v>
      </c>
      <c r="C196" s="14" t="s">
        <v>80</v>
      </c>
      <c r="D196" s="14" t="s">
        <v>80</v>
      </c>
      <c r="E196" s="14" t="s">
        <v>80</v>
      </c>
      <c r="F196" s="14" t="s">
        <v>80</v>
      </c>
      <c r="G196" s="14" t="s">
        <v>80</v>
      </c>
      <c r="H196" s="14" t="s">
        <v>80</v>
      </c>
      <c r="I196" s="14" t="s">
        <v>80</v>
      </c>
      <c r="J196" s="14" t="s">
        <v>80</v>
      </c>
      <c r="K196" s="14" t="s">
        <v>80</v>
      </c>
      <c r="L196" s="14" t="s">
        <v>80</v>
      </c>
      <c r="M196" s="14" t="s">
        <v>80</v>
      </c>
      <c r="N196" s="14" t="s">
        <v>80</v>
      </c>
      <c r="O196" s="14" t="s">
        <v>80</v>
      </c>
      <c r="P196" s="14" t="s">
        <v>80</v>
      </c>
      <c r="Q196" s="14" t="s">
        <v>80</v>
      </c>
      <c r="R196" s="14" t="s">
        <v>80</v>
      </c>
      <c r="S196" s="14" t="s">
        <v>80</v>
      </c>
      <c r="T196" s="14" t="s">
        <v>80</v>
      </c>
      <c r="U196" s="14" t="s">
        <v>80</v>
      </c>
      <c r="V196" s="14" t="s">
        <v>80</v>
      </c>
      <c r="W196" s="14">
        <v>12.61</v>
      </c>
    </row>
    <row r="197" spans="1:23" x14ac:dyDescent="0.25">
      <c r="A197" s="10" t="s">
        <v>1114</v>
      </c>
      <c r="B197" s="10" t="s">
        <v>1115</v>
      </c>
      <c r="C197" s="13" t="s">
        <v>80</v>
      </c>
      <c r="D197" s="13" t="s">
        <v>80</v>
      </c>
      <c r="E197" s="13" t="s">
        <v>80</v>
      </c>
      <c r="F197" s="13" t="s">
        <v>80</v>
      </c>
      <c r="G197" s="13" t="s">
        <v>80</v>
      </c>
      <c r="H197" s="13" t="s">
        <v>80</v>
      </c>
      <c r="I197" s="13" t="s">
        <v>80</v>
      </c>
      <c r="J197" s="13" t="s">
        <v>80</v>
      </c>
      <c r="K197" s="13" t="s">
        <v>80</v>
      </c>
      <c r="L197" s="13" t="s">
        <v>80</v>
      </c>
      <c r="M197" s="13" t="s">
        <v>80</v>
      </c>
      <c r="N197" s="13" t="s">
        <v>80</v>
      </c>
      <c r="O197" s="13" t="s">
        <v>80</v>
      </c>
      <c r="P197" s="13" t="s">
        <v>80</v>
      </c>
      <c r="Q197" s="13" t="s">
        <v>80</v>
      </c>
      <c r="R197" s="13" t="s">
        <v>80</v>
      </c>
      <c r="S197" s="13" t="s">
        <v>80</v>
      </c>
      <c r="T197" s="13" t="s">
        <v>80</v>
      </c>
      <c r="U197" s="13" t="s">
        <v>80</v>
      </c>
      <c r="V197" s="13" t="s">
        <v>80</v>
      </c>
      <c r="W197" s="13">
        <v>1046653</v>
      </c>
    </row>
    <row r="198" spans="1:23" x14ac:dyDescent="0.25">
      <c r="A198" s="10" t="s">
        <v>1116</v>
      </c>
      <c r="B198" s="10" t="s">
        <v>1117</v>
      </c>
      <c r="C198" s="13" t="s">
        <v>80</v>
      </c>
      <c r="D198" s="13" t="s">
        <v>80</v>
      </c>
      <c r="E198" s="13" t="s">
        <v>80</v>
      </c>
      <c r="F198" s="13" t="s">
        <v>80</v>
      </c>
      <c r="G198" s="13" t="s">
        <v>80</v>
      </c>
      <c r="H198" s="13" t="s">
        <v>80</v>
      </c>
      <c r="I198" s="13" t="s">
        <v>80</v>
      </c>
      <c r="J198" s="13" t="s">
        <v>80</v>
      </c>
      <c r="K198" s="13" t="s">
        <v>80</v>
      </c>
      <c r="L198" s="13" t="s">
        <v>80</v>
      </c>
      <c r="M198" s="13" t="s">
        <v>80</v>
      </c>
      <c r="N198" s="13" t="s">
        <v>80</v>
      </c>
      <c r="O198" s="13" t="s">
        <v>80</v>
      </c>
      <c r="P198" s="13" t="s">
        <v>80</v>
      </c>
      <c r="Q198" s="13" t="s">
        <v>80</v>
      </c>
      <c r="R198" s="13" t="s">
        <v>80</v>
      </c>
      <c r="S198" s="13" t="s">
        <v>80</v>
      </c>
      <c r="T198" s="13" t="s">
        <v>80</v>
      </c>
      <c r="U198" s="13" t="s">
        <v>80</v>
      </c>
      <c r="V198" s="13" t="s">
        <v>80</v>
      </c>
      <c r="W198" s="13">
        <v>131945</v>
      </c>
    </row>
    <row r="199" spans="1:23" x14ac:dyDescent="0.25">
      <c r="A199" s="10" t="s">
        <v>1118</v>
      </c>
      <c r="B199" s="10" t="s">
        <v>1119</v>
      </c>
      <c r="C199" s="13" t="s">
        <v>80</v>
      </c>
      <c r="D199" s="13" t="s">
        <v>80</v>
      </c>
      <c r="E199" s="13" t="s">
        <v>80</v>
      </c>
      <c r="F199" s="13" t="s">
        <v>80</v>
      </c>
      <c r="G199" s="13" t="s">
        <v>80</v>
      </c>
      <c r="H199" s="13" t="s">
        <v>80</v>
      </c>
      <c r="I199" s="13" t="s">
        <v>80</v>
      </c>
      <c r="J199" s="13" t="s">
        <v>80</v>
      </c>
      <c r="K199" s="13" t="s">
        <v>80</v>
      </c>
      <c r="L199" s="13" t="s">
        <v>80</v>
      </c>
      <c r="M199" s="13" t="s">
        <v>80</v>
      </c>
      <c r="N199" s="13" t="s">
        <v>80</v>
      </c>
      <c r="O199" s="13" t="s">
        <v>80</v>
      </c>
      <c r="P199" s="13" t="s">
        <v>80</v>
      </c>
      <c r="Q199" s="13">
        <v>150606</v>
      </c>
      <c r="R199" s="13">
        <v>193652</v>
      </c>
      <c r="S199" s="13">
        <v>258562</v>
      </c>
      <c r="T199" s="13">
        <v>313244</v>
      </c>
      <c r="U199" s="13">
        <v>338578</v>
      </c>
      <c r="V199" s="13">
        <v>374746</v>
      </c>
      <c r="W199" s="13">
        <v>387088</v>
      </c>
    </row>
    <row r="200" spans="1:23" x14ac:dyDescent="0.25">
      <c r="A200" s="10" t="s">
        <v>1120</v>
      </c>
      <c r="B200" s="10" t="s">
        <v>1121</v>
      </c>
      <c r="C200" s="14" t="s">
        <v>80</v>
      </c>
      <c r="D200" s="14" t="s">
        <v>80</v>
      </c>
      <c r="E200" s="14" t="s">
        <v>80</v>
      </c>
      <c r="F200" s="14" t="s">
        <v>80</v>
      </c>
      <c r="G200" s="14" t="s">
        <v>80</v>
      </c>
      <c r="H200" s="14" t="s">
        <v>80</v>
      </c>
      <c r="I200" s="14" t="s">
        <v>80</v>
      </c>
      <c r="J200" s="14" t="s">
        <v>80</v>
      </c>
      <c r="K200" s="14" t="s">
        <v>80</v>
      </c>
      <c r="L200" s="14" t="s">
        <v>80</v>
      </c>
      <c r="M200" s="14" t="s">
        <v>80</v>
      </c>
      <c r="N200" s="14" t="s">
        <v>80</v>
      </c>
      <c r="O200" s="14" t="s">
        <v>80</v>
      </c>
      <c r="P200" s="14" t="s">
        <v>80</v>
      </c>
      <c r="Q200" s="14" t="s">
        <v>80</v>
      </c>
      <c r="R200" s="14" t="s">
        <v>80</v>
      </c>
      <c r="S200" s="14" t="s">
        <v>80</v>
      </c>
      <c r="T200" s="14" t="s">
        <v>80</v>
      </c>
      <c r="U200" s="14" t="s">
        <v>80</v>
      </c>
      <c r="V200" s="14" t="s">
        <v>80</v>
      </c>
      <c r="W200" s="14">
        <v>19.66</v>
      </c>
    </row>
    <row r="201" spans="1:23" x14ac:dyDescent="0.25">
      <c r="A201" s="10" t="s">
        <v>1122</v>
      </c>
      <c r="B201" s="10" t="s">
        <v>1123</v>
      </c>
      <c r="C201" s="13" t="s">
        <v>80</v>
      </c>
      <c r="D201" s="13" t="s">
        <v>80</v>
      </c>
      <c r="E201" s="13" t="s">
        <v>80</v>
      </c>
      <c r="F201" s="13" t="s">
        <v>80</v>
      </c>
      <c r="G201" s="13" t="s">
        <v>80</v>
      </c>
      <c r="H201" s="13" t="s">
        <v>80</v>
      </c>
      <c r="I201" s="13" t="s">
        <v>80</v>
      </c>
      <c r="J201" s="13" t="s">
        <v>80</v>
      </c>
      <c r="K201" s="13" t="s">
        <v>80</v>
      </c>
      <c r="L201" s="13" t="s">
        <v>80</v>
      </c>
      <c r="M201" s="13" t="s">
        <v>80</v>
      </c>
      <c r="N201" s="13" t="s">
        <v>80</v>
      </c>
      <c r="O201" s="13" t="s">
        <v>80</v>
      </c>
      <c r="P201" s="13" t="s">
        <v>80</v>
      </c>
      <c r="Q201" s="13" t="s">
        <v>80</v>
      </c>
      <c r="R201" s="13" t="s">
        <v>80</v>
      </c>
      <c r="S201" s="13" t="s">
        <v>80</v>
      </c>
      <c r="T201" s="13" t="s">
        <v>80</v>
      </c>
      <c r="U201" s="13" t="s">
        <v>80</v>
      </c>
      <c r="V201" s="13" t="s">
        <v>80</v>
      </c>
      <c r="W201" s="13">
        <v>205777</v>
      </c>
    </row>
    <row r="202" spans="1:23" x14ac:dyDescent="0.25">
      <c r="A202" s="10" t="s">
        <v>1124</v>
      </c>
      <c r="B202" s="10" t="s">
        <v>1125</v>
      </c>
      <c r="C202" s="13" t="s">
        <v>80</v>
      </c>
      <c r="D202" s="13" t="s">
        <v>80</v>
      </c>
      <c r="E202" s="13" t="s">
        <v>80</v>
      </c>
      <c r="F202" s="13" t="s">
        <v>80</v>
      </c>
      <c r="G202" s="13" t="s">
        <v>80</v>
      </c>
      <c r="H202" s="13" t="s">
        <v>80</v>
      </c>
      <c r="I202" s="13" t="s">
        <v>80</v>
      </c>
      <c r="J202" s="13" t="s">
        <v>80</v>
      </c>
      <c r="K202" s="13" t="s">
        <v>80</v>
      </c>
      <c r="L202" s="13" t="s">
        <v>80</v>
      </c>
      <c r="M202" s="13" t="s">
        <v>80</v>
      </c>
      <c r="N202" s="13" t="s">
        <v>80</v>
      </c>
      <c r="O202" s="13" t="s">
        <v>80</v>
      </c>
      <c r="P202" s="13" t="s">
        <v>80</v>
      </c>
      <c r="Q202" s="13" t="s">
        <v>80</v>
      </c>
      <c r="R202" s="13" t="s">
        <v>80</v>
      </c>
      <c r="S202" s="13" t="s">
        <v>80</v>
      </c>
      <c r="T202" s="13" t="s">
        <v>80</v>
      </c>
      <c r="U202" s="13" t="s">
        <v>80</v>
      </c>
      <c r="V202" s="13" t="s">
        <v>80</v>
      </c>
      <c r="W202" s="13">
        <v>4214</v>
      </c>
    </row>
    <row r="203" spans="1:23" x14ac:dyDescent="0.25">
      <c r="A203" s="10" t="s">
        <v>1126</v>
      </c>
      <c r="B203" s="10" t="s">
        <v>1127</v>
      </c>
      <c r="C203" s="13" t="s">
        <v>80</v>
      </c>
      <c r="D203" s="13" t="s">
        <v>80</v>
      </c>
      <c r="E203" s="13" t="s">
        <v>80</v>
      </c>
      <c r="F203" s="13" t="s">
        <v>80</v>
      </c>
      <c r="G203" s="13" t="s">
        <v>80</v>
      </c>
      <c r="H203" s="13" t="s">
        <v>80</v>
      </c>
      <c r="I203" s="13" t="s">
        <v>80</v>
      </c>
      <c r="J203" s="13" t="s">
        <v>80</v>
      </c>
      <c r="K203" s="13" t="s">
        <v>80</v>
      </c>
      <c r="L203" s="13" t="s">
        <v>80</v>
      </c>
      <c r="M203" s="13" t="s">
        <v>80</v>
      </c>
      <c r="N203" s="13" t="s">
        <v>80</v>
      </c>
      <c r="O203" s="13" t="s">
        <v>80</v>
      </c>
      <c r="P203" s="13" t="s">
        <v>80</v>
      </c>
      <c r="Q203" s="13" t="s">
        <v>80</v>
      </c>
      <c r="R203" s="13" t="s">
        <v>80</v>
      </c>
      <c r="S203" s="13" t="s">
        <v>80</v>
      </c>
      <c r="T203" s="13" t="s">
        <v>80</v>
      </c>
      <c r="U203" s="13" t="s">
        <v>80</v>
      </c>
      <c r="V203" s="13" t="s">
        <v>80</v>
      </c>
      <c r="W203" s="13">
        <v>209991</v>
      </c>
    </row>
    <row r="204" spans="1:23" x14ac:dyDescent="0.25">
      <c r="A204" s="7" t="s">
        <v>87</v>
      </c>
      <c r="B204" s="7"/>
      <c r="C204" s="7" t="s">
        <v>3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6"/>
  <sheetViews>
    <sheetView topLeftCell="L1" workbookViewId="0">
      <selection activeCell="Q17" sqref="Q1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90</v>
      </c>
      <c r="D4" s="4" t="s">
        <v>7</v>
      </c>
      <c r="E4" s="4" t="s">
        <v>8</v>
      </c>
      <c r="F4" s="4" t="s">
        <v>9</v>
      </c>
      <c r="G4" s="4" t="s">
        <v>4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31</v>
      </c>
      <c r="B5" s="9"/>
      <c r="C5" s="5" t="s">
        <v>91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  <c r="AA5" s="5" t="s">
        <v>55</v>
      </c>
    </row>
    <row r="6" spans="1:27" x14ac:dyDescent="0.25">
      <c r="A6" s="6" t="s">
        <v>65</v>
      </c>
      <c r="B6" s="6" t="s">
        <v>66</v>
      </c>
      <c r="C6" s="19" cm="1">
        <f t="array" ref="C6">_xll.BDH("GFNORTEO MM Equity","BS_TOT_ASSET","FY 2001","FY 2001","Currency=MXN","Period=FY","BEST_FPERIOD_OVERRIDE=FY","FILING_STATUS=MR","SCALING_FORMAT=MLN","Sort=A","Dates=H","DateFormat=P","Fill=—","Direction=H","UseDPDF=Y")</f>
        <v>105408</v>
      </c>
      <c r="D6" s="19" cm="1">
        <f t="array" ref="D6">_xll.BDH("GFNORTEO MM Equity","BS_TOT_ASSET","FY 2002","FY 2002","Currency=MXN","Period=FY","BEST_FPERIOD_OVERRIDE=FY","FILING_STATUS=MR","SCALING_FORMAT=MLN","Sort=A","Dates=H","DateFormat=P","Fill=—","Direction=H","UseDPDF=Y")</f>
        <v>199520.74400000001</v>
      </c>
      <c r="E6" s="19" cm="1">
        <f t="array" ref="E6">_xll.BDH("GFNORTEO MM Equity","BS_TOT_ASSET","FY 2003","FY 2003","Currency=MXN","Period=FY","BEST_FPERIOD_OVERRIDE=FY","FILING_STATUS=MR","SCALING_FORMAT=MLN","Sort=A","Dates=H","DateFormat=P","Fill=—","Direction=H","UseDPDF=Y")</f>
        <v>213186.59299999999</v>
      </c>
      <c r="F6" s="19" cm="1">
        <f t="array" ref="F6">_xll.BDH("GFNORTEO MM Equity","BS_TOT_ASSET","FY 2004","FY 2004","Currency=MXN","Period=FY","BEST_FPERIOD_OVERRIDE=FY","FILING_STATUS=MR","SCALING_FORMAT=MLN","Sort=A","Dates=H","DateFormat=P","Fill=—","Direction=H","UseDPDF=Y")</f>
        <v>176220</v>
      </c>
      <c r="G6" s="19" cm="1">
        <f t="array" ref="G6">_xll.BDH("GFNORTEO MM Equity","BS_TOT_ASSET","FY 2005","FY 2005","Currency=MXN","Period=FY","BEST_FPERIOD_OVERRIDE=FY","FILING_STATUS=MR","SCALING_FORMAT=MLN","Sort=A","Dates=H","DateFormat=P","Fill=—","Direction=H","UseDPDF=Y")</f>
        <v>190187</v>
      </c>
      <c r="H6" s="19" cm="1">
        <f t="array" ref="H6">_xll.BDH("GFNORTEO MM Equity","BS_TOT_ASSET","FY 2006","FY 2006","Currency=MXN","Period=FY","BEST_FPERIOD_OVERRIDE=FY","FILING_STATUS=MR","SCALING_FORMAT=MLN","Sort=A","Dates=H","DateFormat=P","Fill=—","Direction=H","UseDPDF=Y")</f>
        <v>234437</v>
      </c>
      <c r="I6" s="19" cm="1">
        <f t="array" ref="I6">_xll.BDH("GFNORTEO MM Equity","BS_TOT_ASSET","FY 2007","FY 2007","Currency=MXN","Period=FY","BEST_FPERIOD_OVERRIDE=FY","FILING_STATUS=MR","SCALING_FORMAT=MLN","Sort=A","Dates=H","DateFormat=P","Fill=—","Direction=H","UseDPDF=Y")</f>
        <v>287928.28399999999</v>
      </c>
      <c r="J6" s="19" cm="1">
        <f t="array" ref="J6">_xll.BDH("GFNORTEO MM Equity","BS_TOT_ASSET","FY 2008","FY 2008","Currency=MXN","Period=FY","BEST_FPERIOD_OVERRIDE=FY","FILING_STATUS=MR","SCALING_FORMAT=MLN","Sort=A","Dates=H","DateFormat=P","Fill=—","Direction=H","UseDPDF=Y")</f>
        <v>577025</v>
      </c>
      <c r="K6" s="19" cm="1">
        <f t="array" ref="K6">_xll.BDH("GFNORTEO MM Equity","BS_TOT_ASSET","FY 2009","FY 2009","Currency=MXN","Period=FY","BEST_FPERIOD_OVERRIDE=FY","FILING_STATUS=MR","SCALING_FORMAT=MLN","Sort=A","Dates=H","DateFormat=P","Fill=—","Direction=H","UseDPDF=Y")</f>
        <v>567138</v>
      </c>
      <c r="L6" s="19" cm="1">
        <f t="array" ref="L6">_xll.BDH("GFNORTEO MM Equity","BS_TOT_ASSET","FY 2010","FY 2010","Currency=MXN","Period=FY","BEST_FPERIOD_OVERRIDE=FY","FILING_STATUS=MR","SCALING_FORMAT=MLN","Sort=A","Dates=H","DateFormat=P","Fill=—","Direction=H","UseDPDF=Y")</f>
        <v>590558</v>
      </c>
      <c r="M6" s="19" cm="1">
        <f t="array" ref="M6">_xll.BDH("GFNORTEO MM Equity","BS_TOT_ASSET","FY 2011","FY 2011","Currency=MXN","Period=FY","BEST_FPERIOD_OVERRIDE=FY","FILING_STATUS=MR","SCALING_FORMAT=MLN","Sort=A","Dates=H","DateFormat=P","Fill=—","Direction=H","UseDPDF=Y")</f>
        <v>829277</v>
      </c>
      <c r="N6" s="19" cm="1">
        <f t="array" ref="N6">_xll.BDH("GFNORTEO MM Equity","BS_TOT_ASSET","FY 2012","FY 2012","Currency=MXN","Period=FY","BEST_FPERIOD_OVERRIDE=FY","FILING_STATUS=MR","SCALING_FORMAT=MLN","Sort=A","Dates=H","DateFormat=P","Fill=—","Direction=H","UseDPDF=Y")</f>
        <v>916566</v>
      </c>
      <c r="O6" s="19" cm="1">
        <f t="array" ref="O6">_xll.BDH("GFNORTEO MM Equity","BS_TOT_ASSET","FY 2013","FY 2013","Currency=MXN","Period=FY","BEST_FPERIOD_OVERRIDE=FY","FILING_STATUS=MR","SCALING_FORMAT=MLN","Sort=A","Dates=H","DateFormat=P","Fill=—","Direction=H","UseDPDF=Y")</f>
        <v>1006788</v>
      </c>
      <c r="P6" s="19" cm="1">
        <f t="array" ref="P6">_xll.BDH("GFNORTEO MM Equity","BS_TOT_ASSET","FY 2014","FY 2014","Currency=MXN","Period=FY","BEST_FPERIOD_OVERRIDE=FY","FILING_STATUS=MR","SCALING_FORMAT=MLN","Sort=A","Dates=H","DateFormat=P","Fill=—","Direction=H","UseDPDF=Y")</f>
        <v>1097982</v>
      </c>
      <c r="Q6" s="19" cm="1">
        <f t="array" ref="Q6">_xll.BDH("GFNORTEO MM Equity","BS_TOT_ASSET","FY 2015","FY 2015","Currency=MXN","Period=FY","BEST_FPERIOD_OVERRIDE=FY","FILING_STATUS=MR","SCALING_FORMAT=MLN","Sort=A","Dates=H","DateFormat=P","Fill=—","Direction=H","UseDPDF=Y")</f>
        <v>1198476</v>
      </c>
      <c r="R6" s="19" cm="1">
        <f t="array" ref="R6">_xll.BDH("GFNORTEO MM Equity","BS_TOT_ASSET","FY 2016","FY 2016","Currency=MXN","Period=FY","BEST_FPERIOD_OVERRIDE=FY","FILING_STATUS=MR","SCALING_FORMAT=MLN","Sort=A","Dates=H","DateFormat=P","Fill=—","Direction=H","UseDPDF=Y")</f>
        <v>1268119</v>
      </c>
      <c r="S6" s="19" cm="1">
        <f t="array" ref="S6">_xll.BDH("GFNORTEO MM Equity","BS_TOT_ASSET","FY 2017","FY 2017","Currency=MXN","Period=FY","BEST_FPERIOD_OVERRIDE=FY","FILING_STATUS=MR","SCALING_FORMAT=MLN","Sort=A","Dates=H","DateFormat=P","Fill=—","Direction=H","UseDPDF=Y")</f>
        <v>1354147</v>
      </c>
      <c r="T6" s="19" cm="1">
        <f t="array" ref="T6">_xll.BDH("GFNORTEO MM Equity","BS_TOT_ASSET","FY 2018","FY 2018","Currency=MXN","Period=FY","BEST_FPERIOD_OVERRIDE=FY","FILING_STATUS=MR","SCALING_FORMAT=MLN","Sort=A","Dates=H","DateFormat=P","Fill=—","Direction=H","UseDPDF=Y")</f>
        <v>1620470</v>
      </c>
      <c r="U6" s="19" cm="1">
        <f t="array" ref="U6">_xll.BDH("GFNORTEO MM Equity","BS_TOT_ASSET","FY 2019","FY 2019","Currency=MXN","Period=FY","BEST_FPERIOD_OVERRIDE=FY","FILING_STATUS=MR","SCALING_FORMAT=MLN","Sort=A","Dates=H","DateFormat=P","Fill=—","Direction=H","UseDPDF=Y")</f>
        <v>1580010</v>
      </c>
      <c r="V6" s="19" cm="1">
        <f t="array" ref="V6">_xll.BDH("GFNORTEO MM Equity","BS_TOT_ASSET","FY 2020","FY 2020","Currency=MXN","Period=FY","BEST_FPERIOD_OVERRIDE=FY","FILING_STATUS=MR","SCALING_FORMAT=MLN","Sort=A","Dates=H","DateFormat=P","Fill=—","Direction=H","UseDPDF=Y")</f>
        <v>1787904</v>
      </c>
      <c r="W6" s="19" cm="1">
        <f t="array" ref="W6">_xll.BDH("GFNORTEO MM Equity","BS_TOT_ASSET","FY 2021","FY 2021","Currency=MXN","Period=FY","BEST_FPERIOD_OVERRIDE=FY","FILING_STATUS=MR","SCALING_FORMAT=MLN","Sort=A","Dates=H","DateFormat=P","Fill=—","Direction=H","UseDPDF=Y")</f>
        <v>1850879</v>
      </c>
      <c r="X6" s="19" cm="1">
        <f t="array" ref="X6">_xll.BDH("GFNORTEO MM Equity","BS_TOT_ASSET","FY 2022","FY 2022","Currency=MXN","Period=FY","BEST_FPERIOD_OVERRIDE=FY","FILING_STATUS=MR","SCALING_FORMAT=MLN","Sort=A","Dates=H","DateFormat=P","Fill=—","Direction=H","UseDPDF=Y")</f>
        <v>2070072</v>
      </c>
      <c r="Y6" s="19" cm="1">
        <f t="array" ref="Y6">_xll.BDH("GFNORTEO MM Equity","BS_TOT_ASSET","FY 2023","FY 2023","Currency=MXN","Period=FY","BEST_FPERIOD_OVERRIDE=FY","FILING_STATUS=MR","SCALING_FORMAT=MLN","Sort=A","Dates=H","DateFormat=P","Fill=—","Direction=H","UseDPDF=Y")</f>
        <v>2274859</v>
      </c>
      <c r="Z6" s="19" cm="1">
        <f t="array" ref="Z6">_xll.BDH("GFNORTEO MM Equity","BS_TOT_ASSET","FY 2024","FY 2024","Currency=MXN","Period=FY","BEST_FPERIOD_OVERRIDE=FY","FILING_STATUS=MR","SCALING_FORMAT=MLN","Sort=A","Dates=H","DateFormat=P","Fill=—","Direction=H","UseDPDF=Y")</f>
        <v>2471209</v>
      </c>
      <c r="AA6" s="19" cm="1">
        <f t="array" ref="AA6">_xll.BDH("GFNORTEO MM Equity","BS_TOT_ASSET","FY 2025","FY 2025","Currency=MXN","Period=FY","BEST_FPERIOD_OVERRIDE=FY","FILING_STATUS=MR","SCALING_FORMAT=MLN","Sort=A","Dates=H","DateFormat=P","Fill=—","Direction=H","UseDPDF=Y")</f>
        <v>2598663</v>
      </c>
    </row>
    <row r="7" spans="1:27" x14ac:dyDescent="0.25">
      <c r="A7" s="6" t="s">
        <v>65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0" t="s">
        <v>638</v>
      </c>
      <c r="B8" s="10" t="s">
        <v>639</v>
      </c>
      <c r="C8" s="13">
        <v>4.40099423193685</v>
      </c>
      <c r="D8" s="13">
        <v>11.7909188430051</v>
      </c>
      <c r="E8" s="13">
        <v>14.420775981911801</v>
      </c>
      <c r="F8" s="13">
        <v>22.3385540801271</v>
      </c>
      <c r="G8" s="13">
        <v>20.394664198920001</v>
      </c>
      <c r="H8" s="13">
        <v>18.513715838370199</v>
      </c>
      <c r="I8" s="13">
        <v>14.451475354189199</v>
      </c>
      <c r="J8" s="13">
        <v>9.4280143841254702</v>
      </c>
      <c r="K8" s="13">
        <v>10.4503665774468</v>
      </c>
      <c r="L8" s="13">
        <v>10.582703138387799</v>
      </c>
      <c r="M8" s="13">
        <v>6.5078375500586603</v>
      </c>
      <c r="N8" s="13">
        <v>7.4713659463693798</v>
      </c>
      <c r="O8" s="13">
        <v>6.1560129838655202</v>
      </c>
      <c r="P8" s="13">
        <v>6.7248825572732498</v>
      </c>
      <c r="Q8" s="13">
        <v>8.9987617607695096</v>
      </c>
      <c r="R8" s="13">
        <v>5.1955691855417401</v>
      </c>
      <c r="S8" s="13">
        <v>5.6322541053519304</v>
      </c>
      <c r="T8" s="13">
        <v>4.66759643807044</v>
      </c>
      <c r="U8" s="13">
        <v>3.9744685160220499</v>
      </c>
      <c r="V8" s="13">
        <v>6.1136392110538402</v>
      </c>
      <c r="W8" s="13">
        <v>5.3402734592590901</v>
      </c>
      <c r="X8" s="13">
        <v>5.22947994079433</v>
      </c>
      <c r="Y8" s="13">
        <v>4.40598736009572</v>
      </c>
      <c r="Z8" s="13">
        <v>3.99415832493326</v>
      </c>
      <c r="AA8" s="13">
        <v>3.8594846657685098</v>
      </c>
    </row>
    <row r="9" spans="1:27" x14ac:dyDescent="0.25">
      <c r="A9" s="10" t="s">
        <v>640</v>
      </c>
      <c r="B9" s="10" t="s">
        <v>641</v>
      </c>
      <c r="C9" s="13" t="s">
        <v>80</v>
      </c>
      <c r="D9" s="13" t="s">
        <v>80</v>
      </c>
      <c r="E9" s="13" t="s">
        <v>80</v>
      </c>
      <c r="F9" s="13" t="s">
        <v>80</v>
      </c>
      <c r="G9" s="13" t="s">
        <v>80</v>
      </c>
      <c r="H9" s="13" t="s">
        <v>80</v>
      </c>
      <c r="I9" s="13" t="s">
        <v>80</v>
      </c>
      <c r="J9" s="13" t="s">
        <v>80</v>
      </c>
      <c r="K9" s="13">
        <v>7.0529571286000897E-4</v>
      </c>
      <c r="L9" s="13">
        <v>9.8720193444166396E-2</v>
      </c>
      <c r="M9" s="13">
        <v>0.46184809177150699</v>
      </c>
      <c r="N9" s="13">
        <v>0.62134096180744203</v>
      </c>
      <c r="O9" s="13">
        <v>2.0063806878906E-2</v>
      </c>
      <c r="P9" s="13">
        <v>7.9327347807158999E-2</v>
      </c>
      <c r="Q9" s="13">
        <v>4.1135575514236397E-2</v>
      </c>
      <c r="R9" s="13">
        <v>0</v>
      </c>
      <c r="S9" s="13">
        <v>0.489016332791049</v>
      </c>
      <c r="T9" s="13">
        <v>0.54033706270403004</v>
      </c>
      <c r="U9" s="13">
        <v>0.46765526800463297</v>
      </c>
      <c r="V9" s="13">
        <v>0.85060495418098503</v>
      </c>
      <c r="W9" s="13">
        <v>0.83219918752117195</v>
      </c>
      <c r="X9" s="13">
        <v>1.98577634014662</v>
      </c>
      <c r="Y9" s="13">
        <v>2.9539852799667998</v>
      </c>
      <c r="Z9" s="13">
        <v>1.7525429860444799</v>
      </c>
      <c r="AA9" s="13">
        <v>1.9884071155051699</v>
      </c>
    </row>
    <row r="10" spans="1:27" x14ac:dyDescent="0.25">
      <c r="A10" s="10" t="s">
        <v>642</v>
      </c>
      <c r="B10" s="10" t="s">
        <v>643</v>
      </c>
      <c r="C10" s="13" t="s">
        <v>80</v>
      </c>
      <c r="D10" s="13" t="s">
        <v>80</v>
      </c>
      <c r="E10" s="13" t="s">
        <v>80</v>
      </c>
      <c r="F10" s="13" t="s">
        <v>80</v>
      </c>
      <c r="G10" s="13" t="s">
        <v>80</v>
      </c>
      <c r="H10" s="13" t="s">
        <v>80</v>
      </c>
      <c r="I10" s="13" t="s">
        <v>80</v>
      </c>
      <c r="J10" s="13" t="s">
        <v>80</v>
      </c>
      <c r="K10" s="13">
        <v>7.0529571286000897E-4</v>
      </c>
      <c r="L10" s="13">
        <v>9.8720193444166396E-2</v>
      </c>
      <c r="M10" s="13">
        <v>0.46184809177150699</v>
      </c>
      <c r="N10" s="13">
        <v>0.62134096180744203</v>
      </c>
      <c r="O10" s="13">
        <v>2.0063806878906E-2</v>
      </c>
      <c r="P10" s="13">
        <v>7.9327347807158999E-2</v>
      </c>
      <c r="Q10" s="13">
        <v>4.1135575514236397E-2</v>
      </c>
      <c r="R10" s="13">
        <v>0</v>
      </c>
      <c r="S10" s="13">
        <v>5.0068419455199499E-2</v>
      </c>
      <c r="T10" s="13">
        <v>6.3006411720056499E-2</v>
      </c>
      <c r="U10" s="13" t="s">
        <v>80</v>
      </c>
      <c r="V10" s="13">
        <v>0.225739189576174</v>
      </c>
      <c r="W10" s="13">
        <v>0.24242535573638299</v>
      </c>
      <c r="X10" s="13">
        <v>1.10266696037626</v>
      </c>
      <c r="Y10" s="13">
        <v>1.8289485194466999</v>
      </c>
      <c r="Z10" s="13">
        <v>0.16194502367060001</v>
      </c>
      <c r="AA10" s="13">
        <v>0.11351991389418301</v>
      </c>
    </row>
    <row r="11" spans="1:27" x14ac:dyDescent="0.25">
      <c r="A11" s="10" t="s">
        <v>644</v>
      </c>
      <c r="B11" s="10" t="s">
        <v>645</v>
      </c>
      <c r="C11" s="13" t="s">
        <v>80</v>
      </c>
      <c r="D11" s="13" t="s">
        <v>80</v>
      </c>
      <c r="E11" s="13" t="s">
        <v>80</v>
      </c>
      <c r="F11" s="13" t="s">
        <v>80</v>
      </c>
      <c r="G11" s="13" t="s">
        <v>80</v>
      </c>
      <c r="H11" s="13" t="s">
        <v>80</v>
      </c>
      <c r="I11" s="13" t="s">
        <v>80</v>
      </c>
      <c r="J11" s="13" t="s">
        <v>80</v>
      </c>
      <c r="K11" s="13" t="s">
        <v>80</v>
      </c>
      <c r="L11" s="13" t="s">
        <v>80</v>
      </c>
      <c r="M11" s="13" t="s">
        <v>80</v>
      </c>
      <c r="N11" s="13" t="s">
        <v>80</v>
      </c>
      <c r="O11" s="13" t="s">
        <v>80</v>
      </c>
      <c r="P11" s="13" t="s">
        <v>80</v>
      </c>
      <c r="Q11" s="13" t="s">
        <v>80</v>
      </c>
      <c r="R11" s="13" t="s">
        <v>80</v>
      </c>
      <c r="S11" s="13">
        <v>0.43894791333584898</v>
      </c>
      <c r="T11" s="13">
        <v>0.47733065098397398</v>
      </c>
      <c r="U11" s="13">
        <v>0.46765526800463297</v>
      </c>
      <c r="V11" s="13">
        <v>0.62486576460481102</v>
      </c>
      <c r="W11" s="13">
        <v>0.58977383178479004</v>
      </c>
      <c r="X11" s="13">
        <v>0.88310937977036597</v>
      </c>
      <c r="Y11" s="13">
        <v>1.1250367605200999</v>
      </c>
      <c r="Z11" s="13">
        <v>1.59059796237388</v>
      </c>
      <c r="AA11" s="13">
        <v>1.8748872016109801</v>
      </c>
    </row>
    <row r="12" spans="1:27" x14ac:dyDescent="0.25">
      <c r="A12" s="10" t="s">
        <v>646</v>
      </c>
      <c r="B12" s="10" t="s">
        <v>647</v>
      </c>
      <c r="C12" s="13">
        <v>9.2032862780813591</v>
      </c>
      <c r="D12" s="13">
        <v>6.9751208425726396</v>
      </c>
      <c r="E12" s="13">
        <v>9.8375496811846901</v>
      </c>
      <c r="F12" s="13">
        <v>12.387924185677001</v>
      </c>
      <c r="G12" s="13">
        <v>13.2154143027652</v>
      </c>
      <c r="H12" s="13">
        <v>10.9504898970726</v>
      </c>
      <c r="I12" s="13">
        <v>7.6589283600912204</v>
      </c>
      <c r="J12" s="13">
        <v>41.613101685368903</v>
      </c>
      <c r="K12" s="13">
        <v>39.9359591492723</v>
      </c>
      <c r="L12" s="13">
        <v>36.978925016679099</v>
      </c>
      <c r="M12" s="13">
        <v>39.894992867280799</v>
      </c>
      <c r="N12" s="13">
        <v>37.681301728408002</v>
      </c>
      <c r="O12" s="13">
        <v>41.189108332638</v>
      </c>
      <c r="P12" s="13">
        <v>39.312939556386198</v>
      </c>
      <c r="Q12" s="13">
        <v>36.840537482602898</v>
      </c>
      <c r="R12" s="13">
        <v>36.178308187165399</v>
      </c>
      <c r="S12" s="13">
        <v>37.1354808599066</v>
      </c>
      <c r="T12" s="13">
        <v>37.032836152474303</v>
      </c>
      <c r="U12" s="13">
        <v>37.159448357921796</v>
      </c>
      <c r="V12" s="13">
        <v>37.019045765320698</v>
      </c>
      <c r="W12" s="13">
        <v>40.540575585978303</v>
      </c>
      <c r="X12" s="13">
        <v>39.247427142630798</v>
      </c>
      <c r="Y12" s="13">
        <v>39.4025300029584</v>
      </c>
      <c r="Z12" s="13">
        <v>39.5189965721232</v>
      </c>
      <c r="AA12" s="13">
        <v>39.355699450063398</v>
      </c>
    </row>
    <row r="13" spans="1:27" x14ac:dyDescent="0.25">
      <c r="A13" s="10" t="s">
        <v>648</v>
      </c>
      <c r="B13" s="10" t="s">
        <v>649</v>
      </c>
      <c r="C13" s="13" t="s">
        <v>80</v>
      </c>
      <c r="D13" s="13" t="s">
        <v>80</v>
      </c>
      <c r="E13" s="13" t="s">
        <v>80</v>
      </c>
      <c r="F13" s="13" t="s">
        <v>80</v>
      </c>
      <c r="G13" s="13" t="s">
        <v>80</v>
      </c>
      <c r="H13" s="13" t="s">
        <v>80</v>
      </c>
      <c r="I13" s="13" t="s">
        <v>80</v>
      </c>
      <c r="J13" s="13" t="s">
        <v>80</v>
      </c>
      <c r="K13" s="13">
        <v>4.3127069602107397</v>
      </c>
      <c r="L13" s="13">
        <v>11.206519935383101</v>
      </c>
      <c r="M13" s="13">
        <v>13.870636711255701</v>
      </c>
      <c r="N13" s="13">
        <v>13.445076513857201</v>
      </c>
      <c r="O13" s="13">
        <v>23.135555846911199</v>
      </c>
      <c r="P13" s="13">
        <v>22.675781570189699</v>
      </c>
      <c r="Q13" s="13">
        <v>20.438039643680799</v>
      </c>
      <c r="R13" s="13">
        <v>14.334380290808699</v>
      </c>
      <c r="S13" s="13">
        <v>17.650890191389902</v>
      </c>
      <c r="T13" s="13">
        <v>15.915382574191399</v>
      </c>
      <c r="U13" s="13">
        <v>14.7994000037974</v>
      </c>
      <c r="V13" s="13">
        <v>12.4945187213631</v>
      </c>
      <c r="W13" s="13">
        <v>13.950182588921299</v>
      </c>
      <c r="X13" s="13">
        <v>14.002169972831901</v>
      </c>
      <c r="Y13" s="13">
        <v>14.7594202541784</v>
      </c>
      <c r="Z13" s="13">
        <v>16.217648932162401</v>
      </c>
      <c r="AA13" s="13">
        <v>16.7828610327695</v>
      </c>
    </row>
    <row r="14" spans="1:27" x14ac:dyDescent="0.25">
      <c r="A14" s="10" t="s">
        <v>650</v>
      </c>
      <c r="B14" s="10" t="s">
        <v>651</v>
      </c>
      <c r="C14" s="13" t="s">
        <v>80</v>
      </c>
      <c r="D14" s="13" t="s">
        <v>80</v>
      </c>
      <c r="E14" s="13" t="s">
        <v>80</v>
      </c>
      <c r="F14" s="13" t="s">
        <v>80</v>
      </c>
      <c r="G14" s="13" t="s">
        <v>80</v>
      </c>
      <c r="H14" s="13" t="s">
        <v>80</v>
      </c>
      <c r="I14" s="13" t="s">
        <v>80</v>
      </c>
      <c r="J14" s="13" t="s">
        <v>80</v>
      </c>
      <c r="K14" s="13">
        <v>2.0631662840437399</v>
      </c>
      <c r="L14" s="13">
        <v>2.0807439743429099</v>
      </c>
      <c r="M14" s="13">
        <v>6.4714202853811198</v>
      </c>
      <c r="N14" s="13">
        <v>12.5785813569345</v>
      </c>
      <c r="O14" s="13">
        <v>8.4457701124765094</v>
      </c>
      <c r="P14" s="13">
        <v>9.5572605015382806</v>
      </c>
      <c r="Q14" s="13">
        <v>9.4674403158678206</v>
      </c>
      <c r="R14" s="13">
        <v>15.3839663312355</v>
      </c>
      <c r="S14" s="13">
        <v>12.4462115265182</v>
      </c>
      <c r="T14" s="13">
        <v>13.2161656803273</v>
      </c>
      <c r="U14" s="13">
        <v>12.828083366561</v>
      </c>
      <c r="V14" s="13">
        <v>13.6932967318156</v>
      </c>
      <c r="W14" s="13">
        <v>12.620706161775001</v>
      </c>
      <c r="X14" s="13">
        <v>10.1132231149448</v>
      </c>
      <c r="Y14" s="13">
        <v>9.7596378500821395</v>
      </c>
      <c r="Z14" s="13">
        <v>8.1368674199551698</v>
      </c>
      <c r="AA14" s="13">
        <v>7.6771016480397796</v>
      </c>
    </row>
    <row r="15" spans="1:27" x14ac:dyDescent="0.25">
      <c r="A15" s="10" t="s">
        <v>652</v>
      </c>
      <c r="B15" s="10" t="s">
        <v>653</v>
      </c>
      <c r="C15" s="13" t="s">
        <v>80</v>
      </c>
      <c r="D15" s="13" t="s">
        <v>80</v>
      </c>
      <c r="E15" s="13" t="s">
        <v>80</v>
      </c>
      <c r="F15" s="13" t="s">
        <v>80</v>
      </c>
      <c r="G15" s="13" t="s">
        <v>80</v>
      </c>
      <c r="H15" s="13" t="s">
        <v>80</v>
      </c>
      <c r="I15" s="13" t="s">
        <v>80</v>
      </c>
      <c r="J15" s="13" t="s">
        <v>80</v>
      </c>
      <c r="K15" s="13">
        <v>33.5600859050178</v>
      </c>
      <c r="L15" s="13">
        <v>23.691661106953099</v>
      </c>
      <c r="M15" s="13">
        <v>19.5529358706439</v>
      </c>
      <c r="N15" s="13">
        <v>11.657643857616399</v>
      </c>
      <c r="O15" s="13">
        <v>9.6077823732503802</v>
      </c>
      <c r="P15" s="13">
        <v>7.0798974846582201</v>
      </c>
      <c r="Q15" s="13">
        <v>6.9350575230542804</v>
      </c>
      <c r="R15" s="13">
        <v>6.4599615651212501</v>
      </c>
      <c r="S15" s="13">
        <v>7.0383791419986199</v>
      </c>
      <c r="T15" s="13">
        <v>7.9012878979555303</v>
      </c>
      <c r="U15" s="13">
        <v>9.5319649875633701</v>
      </c>
      <c r="V15" s="13">
        <v>10.831230312142001</v>
      </c>
      <c r="W15" s="13">
        <v>13.969686835281999</v>
      </c>
      <c r="X15" s="13">
        <v>15.132034054854101</v>
      </c>
      <c r="Y15" s="13">
        <v>14.8834718986979</v>
      </c>
      <c r="Z15" s="13">
        <v>15.1644802200057</v>
      </c>
      <c r="AA15" s="13">
        <v>14.895736769254</v>
      </c>
    </row>
    <row r="16" spans="1:27" x14ac:dyDescent="0.25">
      <c r="A16" s="10" t="s">
        <v>654</v>
      </c>
      <c r="B16" s="10" t="s">
        <v>655</v>
      </c>
      <c r="C16" s="13">
        <v>0</v>
      </c>
      <c r="D16" s="13" t="s">
        <v>80</v>
      </c>
      <c r="E16" s="13">
        <v>0</v>
      </c>
      <c r="F16" s="13" t="s">
        <v>80</v>
      </c>
      <c r="G16" s="13" t="s">
        <v>80</v>
      </c>
      <c r="H16" s="13" t="s">
        <v>80</v>
      </c>
      <c r="I16" s="13" t="s">
        <v>80</v>
      </c>
      <c r="J16" s="13" t="s">
        <v>80</v>
      </c>
      <c r="K16" s="13" t="s">
        <v>80</v>
      </c>
      <c r="L16" s="13" t="s">
        <v>80</v>
      </c>
      <c r="M16" s="13" t="s">
        <v>80</v>
      </c>
      <c r="N16" s="13" t="s">
        <v>80</v>
      </c>
      <c r="O16" s="13" t="s">
        <v>80</v>
      </c>
      <c r="P16" s="13" t="s">
        <v>80</v>
      </c>
      <c r="Q16" s="13" t="s">
        <v>80</v>
      </c>
      <c r="R16" s="13" t="s">
        <v>80</v>
      </c>
      <c r="S16" s="13" t="s">
        <v>80</v>
      </c>
      <c r="T16" s="13" t="s">
        <v>80</v>
      </c>
      <c r="U16" s="13" t="s">
        <v>80</v>
      </c>
      <c r="V16" s="13" t="s">
        <v>80</v>
      </c>
      <c r="W16" s="13" t="s">
        <v>80</v>
      </c>
      <c r="X16" s="13" t="s">
        <v>80</v>
      </c>
      <c r="Y16" s="13" t="s">
        <v>80</v>
      </c>
      <c r="Z16" s="13" t="s">
        <v>80</v>
      </c>
      <c r="AA16" s="13" t="s">
        <v>80</v>
      </c>
    </row>
    <row r="17" spans="1:27" x14ac:dyDescent="0.25">
      <c r="A17" s="10" t="s">
        <v>656</v>
      </c>
      <c r="B17" s="10" t="s">
        <v>657</v>
      </c>
      <c r="C17" s="13" t="s">
        <v>80</v>
      </c>
      <c r="D17" s="13" t="s">
        <v>80</v>
      </c>
      <c r="E17" s="13" t="s">
        <v>80</v>
      </c>
      <c r="F17" s="13" t="s">
        <v>80</v>
      </c>
      <c r="G17" s="13" t="s">
        <v>80</v>
      </c>
      <c r="H17" s="13" t="s">
        <v>80</v>
      </c>
      <c r="I17" s="13" t="s">
        <v>80</v>
      </c>
      <c r="J17" s="13" t="s">
        <v>80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 t="s">
        <v>80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 t="s">
        <v>80</v>
      </c>
    </row>
    <row r="18" spans="1:27" x14ac:dyDescent="0.25">
      <c r="A18" s="10" t="s">
        <v>658</v>
      </c>
      <c r="B18" s="10" t="s">
        <v>659</v>
      </c>
      <c r="C18" s="13">
        <v>2.4229659987856702</v>
      </c>
      <c r="D18" s="13">
        <v>1.32126311638052</v>
      </c>
      <c r="E18" s="13">
        <v>1.04627827135452</v>
      </c>
      <c r="F18" s="13">
        <v>1.62240381341505</v>
      </c>
      <c r="G18" s="13">
        <v>1.54637278047395</v>
      </c>
      <c r="H18" s="13">
        <v>3.9486087946868502</v>
      </c>
      <c r="I18" s="13">
        <v>4.7366451154204796</v>
      </c>
      <c r="J18" s="13">
        <v>1.64880204497205</v>
      </c>
      <c r="K18" s="13">
        <v>2.4459655321985099</v>
      </c>
      <c r="L18" s="13">
        <v>2.18251213259324</v>
      </c>
      <c r="M18" s="13">
        <v>3.7468783048366201</v>
      </c>
      <c r="N18" s="13">
        <v>3.5940674212222601</v>
      </c>
      <c r="O18" s="13">
        <v>3.28927241882104</v>
      </c>
      <c r="P18" s="13">
        <v>3.8282048339590302</v>
      </c>
      <c r="Q18" s="13">
        <v>3.8330346206348702</v>
      </c>
      <c r="R18" s="13">
        <v>5.1816903618666696</v>
      </c>
      <c r="S18" s="13">
        <v>5.0927262697476703</v>
      </c>
      <c r="T18" s="13">
        <v>3.6690589767166299</v>
      </c>
      <c r="U18" s="13">
        <v>2.99637344067443</v>
      </c>
      <c r="V18" s="13">
        <v>3.2706454037800698</v>
      </c>
      <c r="W18" s="13">
        <v>2.6828874280814698</v>
      </c>
      <c r="X18" s="13">
        <v>1.97766068040145</v>
      </c>
      <c r="Y18" s="13">
        <v>2.0232462759230301</v>
      </c>
      <c r="Z18" s="13">
        <v>2.31081223805838</v>
      </c>
      <c r="AA18" s="13">
        <v>1.7726038351259901</v>
      </c>
    </row>
    <row r="19" spans="1:27" x14ac:dyDescent="0.25">
      <c r="A19" s="10" t="s">
        <v>660</v>
      </c>
      <c r="B19" s="10" t="s">
        <v>661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 t="s">
        <v>80</v>
      </c>
      <c r="J19" s="13" t="s">
        <v>80</v>
      </c>
      <c r="K19" s="13">
        <v>20.671688372142199</v>
      </c>
      <c r="L19" s="13">
        <v>21.417540698796699</v>
      </c>
      <c r="M19" s="13">
        <v>20.381971283419201</v>
      </c>
      <c r="N19" s="13">
        <v>20.299792922713699</v>
      </c>
      <c r="O19" s="13">
        <v>18.3379221842136</v>
      </c>
      <c r="P19" s="13">
        <v>17.7146802042292</v>
      </c>
      <c r="Q19" s="13">
        <v>17.720838798607598</v>
      </c>
      <c r="R19" s="13">
        <v>18.0478330503683</v>
      </c>
      <c r="S19" s="13">
        <v>17.263783030941202</v>
      </c>
      <c r="T19" s="13">
        <v>18.6887137682277</v>
      </c>
      <c r="U19" s="13">
        <v>18.575768507794301</v>
      </c>
      <c r="V19" s="13">
        <v>18.3294516931558</v>
      </c>
      <c r="W19" s="13">
        <v>18.005769150765701</v>
      </c>
      <c r="X19" s="13">
        <v>17.323117263554099</v>
      </c>
      <c r="Y19" s="13">
        <v>17.8513921082581</v>
      </c>
      <c r="Z19" s="13">
        <v>19.599677728593601</v>
      </c>
      <c r="AA19" s="13">
        <v>19.722026288133598</v>
      </c>
    </row>
    <row r="20" spans="1:27" x14ac:dyDescent="0.25">
      <c r="A20" s="10" t="s">
        <v>662</v>
      </c>
      <c r="B20" s="10" t="s">
        <v>663</v>
      </c>
      <c r="C20" s="13" t="s">
        <v>80</v>
      </c>
      <c r="D20" s="13" t="s">
        <v>80</v>
      </c>
      <c r="E20" s="13" t="s">
        <v>80</v>
      </c>
      <c r="F20" s="13" t="s">
        <v>80</v>
      </c>
      <c r="G20" s="13" t="s">
        <v>80</v>
      </c>
      <c r="H20" s="13" t="s">
        <v>80</v>
      </c>
      <c r="I20" s="13" t="s">
        <v>80</v>
      </c>
      <c r="J20" s="13" t="s">
        <v>80</v>
      </c>
      <c r="K20" s="13">
        <v>20.671688372142199</v>
      </c>
      <c r="L20" s="13">
        <v>21.417540698796699</v>
      </c>
      <c r="M20" s="13">
        <v>20.381971283419201</v>
      </c>
      <c r="N20" s="13">
        <v>20.299792922713699</v>
      </c>
      <c r="O20" s="13">
        <v>18.3379221842136</v>
      </c>
      <c r="P20" s="13">
        <v>17.7146802042292</v>
      </c>
      <c r="Q20" s="13">
        <v>17.720838798607598</v>
      </c>
      <c r="R20" s="13">
        <v>18.0478330503683</v>
      </c>
      <c r="S20" s="13">
        <v>17.263783030941202</v>
      </c>
      <c r="T20" s="13">
        <v>18.6887137682277</v>
      </c>
      <c r="U20" s="13">
        <v>18.575768507794301</v>
      </c>
      <c r="V20" s="13">
        <v>18.3294516931558</v>
      </c>
      <c r="W20" s="13">
        <v>18.005769150765701</v>
      </c>
      <c r="X20" s="13">
        <v>17.323117263554099</v>
      </c>
      <c r="Y20" s="13">
        <v>17.8513921082581</v>
      </c>
      <c r="Z20" s="13">
        <v>19.599677728593601</v>
      </c>
      <c r="AA20" s="13">
        <v>19.722026288133598</v>
      </c>
    </row>
    <row r="21" spans="1:27" x14ac:dyDescent="0.25">
      <c r="A21" s="10" t="s">
        <v>664</v>
      </c>
      <c r="B21" s="10" t="s">
        <v>665</v>
      </c>
      <c r="C21" s="13" t="s">
        <v>80</v>
      </c>
      <c r="D21" s="13" t="s">
        <v>80</v>
      </c>
      <c r="E21" s="13" t="s">
        <v>80</v>
      </c>
      <c r="F21" s="13" t="s">
        <v>80</v>
      </c>
      <c r="G21" s="13" t="s">
        <v>80</v>
      </c>
      <c r="H21" s="13" t="s">
        <v>80</v>
      </c>
      <c r="I21" s="13">
        <v>12.925326919254699</v>
      </c>
      <c r="J21" s="13">
        <v>8.1500801525063906</v>
      </c>
      <c r="K21" s="13">
        <v>13.328854705556701</v>
      </c>
      <c r="L21" s="13">
        <v>14.2231584365973</v>
      </c>
      <c r="M21" s="13">
        <v>11.915560180735699</v>
      </c>
      <c r="N21" s="13">
        <v>12.9444033490223</v>
      </c>
      <c r="O21" s="13">
        <v>13.897166036941201</v>
      </c>
      <c r="P21" s="13">
        <v>14.402695126149601</v>
      </c>
      <c r="Q21" s="13">
        <v>14.6487706053354</v>
      </c>
      <c r="R21" s="13">
        <v>16.011746531674099</v>
      </c>
      <c r="S21" s="13">
        <v>17.789649129673499</v>
      </c>
      <c r="T21" s="13">
        <v>16.6117854696477</v>
      </c>
      <c r="U21" s="13">
        <v>18.212922703020901</v>
      </c>
      <c r="V21" s="13">
        <v>17.371346559994301</v>
      </c>
      <c r="W21" s="13">
        <v>17.545771495597499</v>
      </c>
      <c r="X21" s="13">
        <v>18.3040010202544</v>
      </c>
      <c r="Y21" s="13">
        <v>19.2149491462987</v>
      </c>
      <c r="Z21" s="13">
        <v>19.566576521856302</v>
      </c>
      <c r="AA21" s="13">
        <v>20.6720148014575</v>
      </c>
    </row>
    <row r="22" spans="1:27" x14ac:dyDescent="0.25">
      <c r="A22" s="10" t="s">
        <v>666</v>
      </c>
      <c r="B22" s="10" t="s">
        <v>667</v>
      </c>
      <c r="C22" s="13" t="s">
        <v>80</v>
      </c>
      <c r="D22" s="13" t="s">
        <v>80</v>
      </c>
      <c r="E22" s="13" t="s">
        <v>80</v>
      </c>
      <c r="F22" s="13" t="s">
        <v>80</v>
      </c>
      <c r="G22" s="13" t="s">
        <v>80</v>
      </c>
      <c r="H22" s="13" t="s">
        <v>80</v>
      </c>
      <c r="I22" s="13" t="s">
        <v>80</v>
      </c>
      <c r="J22" s="13" t="s">
        <v>80</v>
      </c>
      <c r="K22" s="13">
        <v>2.08079867686524</v>
      </c>
      <c r="L22" s="13">
        <v>1.8895688484450299</v>
      </c>
      <c r="M22" s="13">
        <v>1.38252960108625</v>
      </c>
      <c r="N22" s="13">
        <v>1.9228293434406301</v>
      </c>
      <c r="O22" s="13">
        <v>2.0185977584158699</v>
      </c>
      <c r="P22" s="13">
        <v>2.1137869291117699</v>
      </c>
      <c r="Q22" s="13">
        <v>2.0738838324672302</v>
      </c>
      <c r="R22" s="13">
        <v>2.2430860195297102</v>
      </c>
      <c r="S22" s="13">
        <v>2.5038640561179801</v>
      </c>
      <c r="T22" s="13">
        <v>2.2621214832733698</v>
      </c>
      <c r="U22" s="13">
        <v>2.5126423250485801</v>
      </c>
      <c r="V22" s="13">
        <v>2.22444829252577</v>
      </c>
      <c r="W22" s="13">
        <v>2.18550213168986</v>
      </c>
      <c r="X22" s="13">
        <v>2.2335454998666702</v>
      </c>
      <c r="Y22" s="13">
        <v>2.64222969423599</v>
      </c>
      <c r="Z22" s="13">
        <v>0</v>
      </c>
      <c r="AA22" s="13">
        <v>0</v>
      </c>
    </row>
    <row r="23" spans="1:27" x14ac:dyDescent="0.25">
      <c r="A23" s="10" t="s">
        <v>668</v>
      </c>
      <c r="B23" s="10" t="s">
        <v>669</v>
      </c>
      <c r="C23" s="13" t="s">
        <v>80</v>
      </c>
      <c r="D23" s="13" t="s">
        <v>80</v>
      </c>
      <c r="E23" s="13" t="s">
        <v>80</v>
      </c>
      <c r="F23" s="13" t="s">
        <v>80</v>
      </c>
      <c r="G23" s="13" t="s">
        <v>80</v>
      </c>
      <c r="H23" s="13" t="s">
        <v>80</v>
      </c>
      <c r="I23" s="13" t="s">
        <v>80</v>
      </c>
      <c r="J23" s="13" t="s">
        <v>80</v>
      </c>
      <c r="K23" s="13">
        <v>8.7952138632925294</v>
      </c>
      <c r="L23" s="13">
        <v>9.51100484626404</v>
      </c>
      <c r="M23" s="13">
        <v>7.7859388358775199</v>
      </c>
      <c r="N23" s="13">
        <v>7.9217426786505296</v>
      </c>
      <c r="O23" s="13">
        <v>8.1478921083683993</v>
      </c>
      <c r="P23" s="13">
        <v>8.1748152519804496</v>
      </c>
      <c r="Q23" s="13">
        <v>8.3293282468735299</v>
      </c>
      <c r="R23" s="13">
        <v>9.0463118997507301</v>
      </c>
      <c r="S23" s="13">
        <v>9.9940405288347591</v>
      </c>
      <c r="T23" s="13">
        <v>9.6112856146673504</v>
      </c>
      <c r="U23" s="13">
        <v>10.7648685767812</v>
      </c>
      <c r="V23" s="13">
        <v>10.5930743485109</v>
      </c>
      <c r="W23" s="13">
        <v>10.942692634148401</v>
      </c>
      <c r="X23" s="13">
        <v>11.052610730448</v>
      </c>
      <c r="Y23" s="13">
        <v>11.223376921382799</v>
      </c>
      <c r="Z23" s="13">
        <v>11.1196584343939</v>
      </c>
      <c r="AA23" s="13">
        <v>11.368115065324</v>
      </c>
    </row>
    <row r="24" spans="1:27" x14ac:dyDescent="0.25">
      <c r="A24" s="10" t="s">
        <v>670</v>
      </c>
      <c r="B24" s="10" t="s">
        <v>671</v>
      </c>
      <c r="C24" s="13" t="s">
        <v>80</v>
      </c>
      <c r="D24" s="13" t="s">
        <v>80</v>
      </c>
      <c r="E24" s="13" t="s">
        <v>80</v>
      </c>
      <c r="F24" s="13" t="s">
        <v>80</v>
      </c>
      <c r="G24" s="13" t="s">
        <v>80</v>
      </c>
      <c r="H24" s="13" t="s">
        <v>80</v>
      </c>
      <c r="I24" s="13" t="s">
        <v>80</v>
      </c>
      <c r="J24" s="13" t="s">
        <v>80</v>
      </c>
      <c r="K24" s="13" t="s">
        <v>80</v>
      </c>
      <c r="L24" s="13" t="s">
        <v>80</v>
      </c>
      <c r="M24" s="13" t="s">
        <v>80</v>
      </c>
      <c r="N24" s="13" t="s">
        <v>80</v>
      </c>
      <c r="O24" s="13" t="s">
        <v>80</v>
      </c>
      <c r="P24" s="13">
        <v>1.00857755409469</v>
      </c>
      <c r="Q24" s="13">
        <v>1.0346473354493499</v>
      </c>
      <c r="R24" s="13">
        <v>1.1865605672653701</v>
      </c>
      <c r="S24" s="13">
        <v>1.4170544261442799</v>
      </c>
      <c r="T24" s="13">
        <v>1.4891358679889199</v>
      </c>
      <c r="U24" s="13">
        <v>1.68790070948918</v>
      </c>
      <c r="V24" s="13">
        <v>1.5843132517182099</v>
      </c>
      <c r="W24" s="13">
        <v>1.51387529924971</v>
      </c>
      <c r="X24" s="13" t="s">
        <v>80</v>
      </c>
      <c r="Y24" s="13" t="s">
        <v>80</v>
      </c>
      <c r="Z24" s="13" t="s">
        <v>80</v>
      </c>
      <c r="AA24" s="13" t="s">
        <v>80</v>
      </c>
    </row>
    <row r="25" spans="1:27" x14ac:dyDescent="0.25">
      <c r="A25" s="10" t="s">
        <v>672</v>
      </c>
      <c r="B25" s="10" t="s">
        <v>673</v>
      </c>
      <c r="C25" s="13" t="s">
        <v>80</v>
      </c>
      <c r="D25" s="13" t="s">
        <v>80</v>
      </c>
      <c r="E25" s="13" t="s">
        <v>80</v>
      </c>
      <c r="F25" s="13" t="s">
        <v>80</v>
      </c>
      <c r="G25" s="13" t="s">
        <v>80</v>
      </c>
      <c r="H25" s="13" t="s">
        <v>80</v>
      </c>
      <c r="I25" s="13" t="s">
        <v>80</v>
      </c>
      <c r="J25" s="13" t="s">
        <v>80</v>
      </c>
      <c r="K25" s="13">
        <v>2.4528421653988999</v>
      </c>
      <c r="L25" s="13">
        <v>2.8225847418881802</v>
      </c>
      <c r="M25" s="13">
        <v>2.7470917437719802</v>
      </c>
      <c r="N25" s="13">
        <v>3.0998313269311799</v>
      </c>
      <c r="O25" s="13">
        <v>3.7306761701569702</v>
      </c>
      <c r="P25" s="13">
        <v>3.1055153909626898</v>
      </c>
      <c r="Q25" s="13">
        <v>3.21091119054533</v>
      </c>
      <c r="R25" s="13">
        <v>3.5357880451282599</v>
      </c>
      <c r="S25" s="13">
        <v>3.8746901185764901</v>
      </c>
      <c r="T25" s="13">
        <v>3.2492425037180599</v>
      </c>
      <c r="U25" s="13">
        <v>3.2475110917019498</v>
      </c>
      <c r="V25" s="13">
        <v>2.9695106672393998</v>
      </c>
      <c r="W25" s="13">
        <v>2.9037014305094999</v>
      </c>
      <c r="X25" s="13">
        <v>5.0178447899396703</v>
      </c>
      <c r="Y25" s="13">
        <v>5.3493425306799196</v>
      </c>
      <c r="Z25" s="13">
        <v>8.4469180874624499</v>
      </c>
      <c r="AA25" s="13">
        <v>9.3038997361335394</v>
      </c>
    </row>
    <row r="26" spans="1:27" x14ac:dyDescent="0.25">
      <c r="A26" s="10" t="s">
        <v>674</v>
      </c>
      <c r="B26" s="10" t="s">
        <v>675</v>
      </c>
      <c r="C26" s="13" t="s">
        <v>80</v>
      </c>
      <c r="D26" s="13" t="s">
        <v>80</v>
      </c>
      <c r="E26" s="13" t="s">
        <v>80</v>
      </c>
      <c r="F26" s="13" t="s">
        <v>80</v>
      </c>
      <c r="G26" s="13" t="s">
        <v>80</v>
      </c>
      <c r="H26" s="13" t="s">
        <v>80</v>
      </c>
      <c r="I26" s="13">
        <v>55.331734273108097</v>
      </c>
      <c r="J26" s="13">
        <v>34.880117845847202</v>
      </c>
      <c r="K26" s="13">
        <v>9.2178623192238902</v>
      </c>
      <c r="L26" s="13">
        <v>10.1150098720193</v>
      </c>
      <c r="M26" s="13">
        <v>10.813154108940701</v>
      </c>
      <c r="N26" s="13">
        <v>11.478606014187701</v>
      </c>
      <c r="O26" s="13">
        <v>11.338434705220999</v>
      </c>
      <c r="P26" s="13">
        <v>12.151201021510399</v>
      </c>
      <c r="Q26" s="13">
        <v>11.8609801114082</v>
      </c>
      <c r="R26" s="13">
        <v>11.4501083888815</v>
      </c>
      <c r="S26" s="13">
        <v>10.8895858426005</v>
      </c>
      <c r="T26" s="13">
        <v>13.001536591235901</v>
      </c>
      <c r="U26" s="13">
        <v>11.8223302384162</v>
      </c>
      <c r="V26" s="13">
        <v>9.0385166093929001</v>
      </c>
      <c r="W26" s="13">
        <v>8.6665308753300501</v>
      </c>
      <c r="X26" s="13">
        <v>8.5627456436297908</v>
      </c>
      <c r="Y26" s="13">
        <v>7.8035605723255799</v>
      </c>
      <c r="Z26" s="13">
        <v>7.5835754887587399</v>
      </c>
      <c r="AA26" s="13">
        <v>7.2823601983019701</v>
      </c>
    </row>
    <row r="27" spans="1:27" x14ac:dyDescent="0.25">
      <c r="A27" s="10" t="s">
        <v>676</v>
      </c>
      <c r="B27" s="10" t="s">
        <v>64</v>
      </c>
      <c r="C27" s="13">
        <v>79.408583788706693</v>
      </c>
      <c r="D27" s="13">
        <v>77.551147263163799</v>
      </c>
      <c r="E27" s="13">
        <v>71.532932185843407</v>
      </c>
      <c r="F27" s="13">
        <v>59.083531948700497</v>
      </c>
      <c r="G27" s="13">
        <v>61.171899236015101</v>
      </c>
      <c r="H27" s="13">
        <v>61.434415216028199</v>
      </c>
      <c r="I27" s="13">
        <v>68.257061192362798</v>
      </c>
      <c r="J27" s="13">
        <v>43.0301979983536</v>
      </c>
      <c r="K27" s="13">
        <v>43.218405396922797</v>
      </c>
      <c r="L27" s="13">
        <v>45.755709007413301</v>
      </c>
      <c r="M27" s="13">
        <v>43.110685573095601</v>
      </c>
      <c r="N27" s="13">
        <v>44.722802285923798</v>
      </c>
      <c r="O27" s="13">
        <v>43.573522926375801</v>
      </c>
      <c r="P27" s="13">
        <v>44.268576351889202</v>
      </c>
      <c r="Q27" s="13">
        <v>44.230422636748699</v>
      </c>
      <c r="R27" s="13">
        <v>45.509687970923899</v>
      </c>
      <c r="S27" s="13">
        <v>45.9430180032153</v>
      </c>
      <c r="T27" s="13">
        <v>48.302035829111297</v>
      </c>
      <c r="U27" s="13">
        <v>48.611021449231302</v>
      </c>
      <c r="V27" s="13">
        <v>44.739314862542997</v>
      </c>
      <c r="W27" s="13">
        <v>44.218071521693197</v>
      </c>
      <c r="X27" s="13">
        <v>44.189863927438303</v>
      </c>
      <c r="Y27" s="13">
        <v>44.869901826882497</v>
      </c>
      <c r="Z27" s="13">
        <v>46.7498297392086</v>
      </c>
      <c r="AA27" s="13">
        <v>47.676401287893</v>
      </c>
    </row>
    <row r="28" spans="1:27" x14ac:dyDescent="0.25">
      <c r="A28" s="10" t="s">
        <v>677</v>
      </c>
      <c r="B28" s="10" t="s">
        <v>678</v>
      </c>
      <c r="C28" s="13">
        <v>4.2634335154827001</v>
      </c>
      <c r="D28" s="13">
        <v>2.81109968194585</v>
      </c>
      <c r="E28" s="13">
        <v>2.0245883848802801</v>
      </c>
      <c r="F28" s="13">
        <v>1.56168425831347</v>
      </c>
      <c r="G28" s="13">
        <v>1.6126233654245601</v>
      </c>
      <c r="H28" s="13">
        <v>1.50701467771725</v>
      </c>
      <c r="I28" s="13">
        <v>1.3149322975161399</v>
      </c>
      <c r="J28" s="13">
        <v>1.15939517351934</v>
      </c>
      <c r="K28" s="13">
        <v>1.3286007991000399</v>
      </c>
      <c r="L28" s="13">
        <v>1.3961372126023199</v>
      </c>
      <c r="M28" s="13">
        <v>1.19911682103808</v>
      </c>
      <c r="N28" s="13">
        <v>1.2802133179716499</v>
      </c>
      <c r="O28" s="13">
        <v>1.41926602224103</v>
      </c>
      <c r="P28" s="13">
        <v>1.3922814763812199</v>
      </c>
      <c r="Q28" s="13">
        <v>1.15254706810983</v>
      </c>
      <c r="R28" s="13">
        <v>1.1342784076257799</v>
      </c>
      <c r="S28" s="13">
        <v>1.19056498297452</v>
      </c>
      <c r="T28" s="13">
        <v>1.1628724999537201</v>
      </c>
      <c r="U28" s="13">
        <v>1.1163853393333001</v>
      </c>
      <c r="V28" s="13">
        <v>1.1188520189003399</v>
      </c>
      <c r="W28" s="13">
        <v>0.878015256534868</v>
      </c>
      <c r="X28" s="13">
        <v>0.86465591534980402</v>
      </c>
      <c r="Y28" s="13">
        <v>0.87288926478520201</v>
      </c>
      <c r="Z28" s="13">
        <v>0.82688271206522801</v>
      </c>
      <c r="AA28" s="13">
        <v>0.92728453054513005</v>
      </c>
    </row>
    <row r="29" spans="1:27" x14ac:dyDescent="0.25">
      <c r="A29" s="10" t="s">
        <v>679</v>
      </c>
      <c r="B29" s="10" t="s">
        <v>115</v>
      </c>
      <c r="C29" s="13">
        <v>75.145150273224004</v>
      </c>
      <c r="D29" s="13">
        <v>74.740047581217894</v>
      </c>
      <c r="E29" s="13">
        <v>69.508343800963104</v>
      </c>
      <c r="F29" s="13">
        <v>57.521847690386998</v>
      </c>
      <c r="G29" s="13">
        <v>59.559275870590497</v>
      </c>
      <c r="H29" s="13">
        <v>59.927400538310899</v>
      </c>
      <c r="I29" s="13">
        <v>66.942128894846604</v>
      </c>
      <c r="J29" s="13">
        <v>41.8708028248343</v>
      </c>
      <c r="K29" s="13">
        <v>41.889804597822803</v>
      </c>
      <c r="L29" s="13">
        <v>44.359571794811004</v>
      </c>
      <c r="M29" s="13">
        <v>41.911568752057498</v>
      </c>
      <c r="N29" s="13">
        <v>43.442588967952098</v>
      </c>
      <c r="O29" s="13">
        <v>42.154256904134698</v>
      </c>
      <c r="P29" s="13">
        <v>42.876385951682302</v>
      </c>
      <c r="Q29" s="13">
        <v>43.077875568638802</v>
      </c>
      <c r="R29" s="13">
        <v>44.375409563298099</v>
      </c>
      <c r="S29" s="13">
        <v>44.7524530202408</v>
      </c>
      <c r="T29" s="13">
        <v>47.139163329157597</v>
      </c>
      <c r="U29" s="13">
        <v>47.494636109898003</v>
      </c>
      <c r="V29" s="13">
        <v>43.620462843642599</v>
      </c>
      <c r="W29" s="13">
        <v>43.340056265158303</v>
      </c>
      <c r="X29" s="13">
        <v>43.325208012088503</v>
      </c>
      <c r="Y29" s="13">
        <v>43.997012562097296</v>
      </c>
      <c r="Z29" s="13">
        <v>45.922947027143401</v>
      </c>
      <c r="AA29" s="13">
        <v>46.749116757347899</v>
      </c>
    </row>
    <row r="30" spans="1:27" x14ac:dyDescent="0.25">
      <c r="A30" s="10" t="s">
        <v>680</v>
      </c>
      <c r="B30" s="10" t="s">
        <v>681</v>
      </c>
      <c r="C30" s="13">
        <v>3.4380692167577398</v>
      </c>
      <c r="D30" s="13">
        <v>2.8676702408447299</v>
      </c>
      <c r="E30" s="13">
        <v>2.6797660770346901</v>
      </c>
      <c r="F30" s="13">
        <v>3.3713539893315199</v>
      </c>
      <c r="G30" s="13">
        <v>2.9875859022961602</v>
      </c>
      <c r="H30" s="13">
        <v>2.83487674727112</v>
      </c>
      <c r="I30" s="13">
        <v>2.8124041471382499</v>
      </c>
      <c r="J30" s="13">
        <v>1.46076859754777</v>
      </c>
      <c r="K30" s="13">
        <v>1.52026490906975</v>
      </c>
      <c r="L30" s="13">
        <v>1.57749111856922</v>
      </c>
      <c r="M30" s="13">
        <v>1.42111743120815</v>
      </c>
      <c r="N30" s="13">
        <v>1.3077072463957899</v>
      </c>
      <c r="O30" s="13">
        <v>1.1951870701677001</v>
      </c>
      <c r="P30" s="13">
        <v>1.1698734587634401</v>
      </c>
      <c r="Q30" s="13">
        <v>1.21295712221188</v>
      </c>
      <c r="R30" s="13">
        <v>1.2482267042761801</v>
      </c>
      <c r="S30" s="13">
        <v>1.3418041025088101</v>
      </c>
      <c r="T30" s="13">
        <v>1.09128832992897</v>
      </c>
      <c r="U30" s="13">
        <v>1.1875241295941199</v>
      </c>
      <c r="V30" s="13">
        <v>1.8248742661798401</v>
      </c>
      <c r="W30" s="13">
        <v>1.1589628495433799</v>
      </c>
      <c r="X30" s="13">
        <v>1.73409427304944</v>
      </c>
      <c r="Y30" s="13">
        <v>1.5145554076098799</v>
      </c>
      <c r="Z30" s="13">
        <v>1.4710613307089799</v>
      </c>
      <c r="AA30" s="13">
        <v>1.53190313634357</v>
      </c>
    </row>
    <row r="31" spans="1:27" x14ac:dyDescent="0.25">
      <c r="A31" s="10" t="s">
        <v>682</v>
      </c>
      <c r="B31" s="10" t="s">
        <v>683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 t="s">
        <v>80</v>
      </c>
      <c r="K31" s="13">
        <v>1.52026490906975</v>
      </c>
      <c r="L31" s="13">
        <v>1.57749111856922</v>
      </c>
      <c r="M31" s="13">
        <v>1.42111743120815</v>
      </c>
      <c r="N31" s="13">
        <v>1.3077072463957899</v>
      </c>
      <c r="O31" s="13">
        <v>1.1951870701677001</v>
      </c>
      <c r="P31" s="13">
        <v>1.1698734587634401</v>
      </c>
      <c r="Q31" s="13">
        <v>1.21295712221188</v>
      </c>
      <c r="R31" s="13">
        <v>1.2482267042761801</v>
      </c>
      <c r="S31" s="13">
        <v>1.3418041025088101</v>
      </c>
      <c r="T31" s="13">
        <v>1.09128832992897</v>
      </c>
      <c r="U31" s="13">
        <v>1.1875241295941199</v>
      </c>
      <c r="V31" s="13">
        <v>1.8248742661798401</v>
      </c>
      <c r="W31" s="13">
        <v>1.1589628495433799</v>
      </c>
      <c r="X31" s="13">
        <v>1.73409427304944</v>
      </c>
      <c r="Y31" s="13">
        <v>1.5145554076098799</v>
      </c>
      <c r="Z31" s="13">
        <v>1.4710613307089799</v>
      </c>
      <c r="AA31" s="13">
        <v>1.53190313634357</v>
      </c>
    </row>
    <row r="32" spans="1:27" x14ac:dyDescent="0.25">
      <c r="A32" s="10" t="s">
        <v>684</v>
      </c>
      <c r="B32" s="10" t="s">
        <v>685</v>
      </c>
      <c r="C32" s="13" t="s">
        <v>80</v>
      </c>
      <c r="D32" s="13" t="s">
        <v>80</v>
      </c>
      <c r="E32" s="13" t="s">
        <v>80</v>
      </c>
      <c r="F32" s="13" t="s">
        <v>80</v>
      </c>
      <c r="G32" s="13" t="s">
        <v>80</v>
      </c>
      <c r="H32" s="13" t="s">
        <v>80</v>
      </c>
      <c r="I32" s="13" t="s">
        <v>80</v>
      </c>
      <c r="J32" s="13">
        <v>0.93184870672847797</v>
      </c>
      <c r="K32" s="13">
        <v>0.550306979959022</v>
      </c>
      <c r="L32" s="13">
        <v>0.49952756545504401</v>
      </c>
      <c r="M32" s="13">
        <v>1.89188895869535</v>
      </c>
      <c r="N32" s="13">
        <v>2.2610483042137699</v>
      </c>
      <c r="O32" s="13">
        <v>2.2215203200673801</v>
      </c>
      <c r="P32" s="13">
        <v>2.2493082764562602</v>
      </c>
      <c r="Q32" s="13">
        <v>2.4080582339571301</v>
      </c>
      <c r="R32" s="13">
        <v>2.07512071028034</v>
      </c>
      <c r="S32" s="13">
        <v>0.93372432978103603</v>
      </c>
      <c r="T32" s="13">
        <v>2.7395138447487501</v>
      </c>
      <c r="U32" s="13">
        <v>1.68986272238783</v>
      </c>
      <c r="V32" s="13">
        <v>1.4944873997709001</v>
      </c>
      <c r="W32" s="13">
        <v>1.4442867415968299</v>
      </c>
      <c r="X32" s="13">
        <v>2.1655768495008898</v>
      </c>
      <c r="Y32" s="13">
        <v>1.93836189407783</v>
      </c>
      <c r="Z32" s="13">
        <v>1.7386226741647499</v>
      </c>
      <c r="AA32" s="13">
        <v>1.50338847322642</v>
      </c>
    </row>
    <row r="33" spans="1:27" x14ac:dyDescent="0.25">
      <c r="A33" s="10" t="s">
        <v>686</v>
      </c>
      <c r="B33" s="10" t="s">
        <v>687</v>
      </c>
      <c r="C33" s="13" t="s">
        <v>80</v>
      </c>
      <c r="D33" s="13" t="s">
        <v>80</v>
      </c>
      <c r="E33" s="13" t="s">
        <v>80</v>
      </c>
      <c r="F33" s="13" t="s">
        <v>80</v>
      </c>
      <c r="G33" s="13" t="s">
        <v>80</v>
      </c>
      <c r="H33" s="13" t="s">
        <v>80</v>
      </c>
      <c r="I33" s="13" t="s">
        <v>80</v>
      </c>
      <c r="J33" s="13">
        <v>0.93184870672847797</v>
      </c>
      <c r="K33" s="13">
        <v>0.550306979959022</v>
      </c>
      <c r="L33" s="13">
        <v>0.49952756545504401</v>
      </c>
      <c r="M33" s="13">
        <v>1.89188895869535</v>
      </c>
      <c r="N33" s="13">
        <v>1.67538398762337</v>
      </c>
      <c r="O33" s="13">
        <v>1.52772977031907</v>
      </c>
      <c r="P33" s="13">
        <v>1.4363623447378899</v>
      </c>
      <c r="Q33" s="13">
        <v>1.36523384698567</v>
      </c>
      <c r="R33" s="13">
        <v>0.99982730327358904</v>
      </c>
      <c r="S33" s="13">
        <v>0.93372432978103603</v>
      </c>
      <c r="T33" s="13">
        <v>1.5090066462199201</v>
      </c>
      <c r="U33" s="13">
        <v>1.68986272238783</v>
      </c>
      <c r="V33" s="13">
        <v>1.4944873997709001</v>
      </c>
      <c r="W33" s="13">
        <v>1.4442867415968299</v>
      </c>
      <c r="X33" s="13">
        <v>1.2917908169377701</v>
      </c>
      <c r="Y33" s="13">
        <v>1.1791939632302499</v>
      </c>
      <c r="Z33" s="13">
        <v>1.1357598649082301</v>
      </c>
      <c r="AA33" s="13">
        <v>1.0573898962658901</v>
      </c>
    </row>
    <row r="34" spans="1:27" x14ac:dyDescent="0.25">
      <c r="A34" s="10" t="s">
        <v>688</v>
      </c>
      <c r="B34" s="10" t="s">
        <v>689</v>
      </c>
      <c r="C34" s="13" t="s">
        <v>80</v>
      </c>
      <c r="D34" s="13" t="s">
        <v>80</v>
      </c>
      <c r="E34" s="13" t="s">
        <v>80</v>
      </c>
      <c r="F34" s="13" t="s">
        <v>80</v>
      </c>
      <c r="G34" s="13" t="s">
        <v>80</v>
      </c>
      <c r="H34" s="13" t="s">
        <v>80</v>
      </c>
      <c r="I34" s="13" t="s">
        <v>80</v>
      </c>
      <c r="J34" s="13" t="s">
        <v>80</v>
      </c>
      <c r="K34" s="13" t="s">
        <v>80</v>
      </c>
      <c r="L34" s="13" t="s">
        <v>80</v>
      </c>
      <c r="M34" s="13" t="s">
        <v>80</v>
      </c>
      <c r="N34" s="13">
        <v>0.58566431659040397</v>
      </c>
      <c r="O34" s="13">
        <v>0.69379054974830801</v>
      </c>
      <c r="P34" s="13">
        <v>0.81294593171837104</v>
      </c>
      <c r="Q34" s="13">
        <v>1.04282438697145</v>
      </c>
      <c r="R34" s="13">
        <v>1.0752934070067599</v>
      </c>
      <c r="S34" s="13" t="s">
        <v>80</v>
      </c>
      <c r="T34" s="13">
        <v>1.2305071985288201</v>
      </c>
      <c r="U34" s="13" t="s">
        <v>80</v>
      </c>
      <c r="V34" s="13" t="s">
        <v>80</v>
      </c>
      <c r="W34" s="13" t="s">
        <v>80</v>
      </c>
      <c r="X34" s="13">
        <v>0.87378603256311804</v>
      </c>
      <c r="Y34" s="13">
        <v>0.75916793084758205</v>
      </c>
      <c r="Z34" s="13">
        <v>0.60286280925652203</v>
      </c>
      <c r="AA34" s="13">
        <v>0.44599857696053702</v>
      </c>
    </row>
    <row r="35" spans="1:27" x14ac:dyDescent="0.25">
      <c r="A35" s="10" t="s">
        <v>690</v>
      </c>
      <c r="B35" s="10" t="s">
        <v>691</v>
      </c>
      <c r="C35" s="13">
        <v>0.67452185792349695</v>
      </c>
      <c r="D35" s="13">
        <v>0.51318974632532399</v>
      </c>
      <c r="E35" s="13">
        <v>0.79916517076662497</v>
      </c>
      <c r="F35" s="13" t="s">
        <v>80</v>
      </c>
      <c r="G35" s="13">
        <v>1.1704270007939599</v>
      </c>
      <c r="H35" s="13">
        <v>1.34961631483085</v>
      </c>
      <c r="I35" s="13" t="s">
        <v>80</v>
      </c>
      <c r="J35" s="13">
        <v>0.443481651574888</v>
      </c>
      <c r="K35" s="13">
        <v>0.535319446060747</v>
      </c>
      <c r="L35" s="13">
        <v>0.53000721351670799</v>
      </c>
      <c r="M35" s="13">
        <v>0.27493828961854699</v>
      </c>
      <c r="N35" s="13">
        <v>0.56406194425715095</v>
      </c>
      <c r="O35" s="13">
        <v>1.4109226570042599</v>
      </c>
      <c r="P35" s="13">
        <v>1.2674160414287301</v>
      </c>
      <c r="Q35" s="13">
        <v>1.1518795536998701</v>
      </c>
      <c r="R35" s="13">
        <v>1.0853870969522601</v>
      </c>
      <c r="S35" s="13">
        <v>1.0169501538607</v>
      </c>
      <c r="T35" s="13">
        <v>0.86629187828222698</v>
      </c>
      <c r="U35" s="13">
        <v>0.92113341054803399</v>
      </c>
      <c r="V35" s="13">
        <v>0.82806459407216504</v>
      </c>
      <c r="W35" s="13">
        <v>0.81064186259609605</v>
      </c>
      <c r="X35" s="13">
        <v>0.72239033231694405</v>
      </c>
      <c r="Y35" s="13">
        <v>0.68114111687801304</v>
      </c>
      <c r="Z35" s="13">
        <v>0.63244347200095197</v>
      </c>
      <c r="AA35" s="13">
        <v>0.60638874682865795</v>
      </c>
    </row>
    <row r="36" spans="1:27" x14ac:dyDescent="0.25">
      <c r="A36" s="10" t="s">
        <v>692</v>
      </c>
      <c r="B36" s="10" t="s">
        <v>693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 t="s">
        <v>80</v>
      </c>
      <c r="J36" s="13" t="s">
        <v>80</v>
      </c>
      <c r="K36" s="13">
        <v>0.248793062711368</v>
      </c>
      <c r="L36" s="13">
        <v>0.22690404668127401</v>
      </c>
      <c r="M36" s="13">
        <v>0</v>
      </c>
      <c r="N36" s="13">
        <v>0</v>
      </c>
      <c r="O36" s="13">
        <v>0</v>
      </c>
      <c r="P36" s="13">
        <v>0.21047703878570001</v>
      </c>
      <c r="Q36" s="13">
        <v>0.232378453969875</v>
      </c>
      <c r="R36" s="13">
        <v>0.31495466908074099</v>
      </c>
      <c r="S36" s="13">
        <v>0.21777547046221701</v>
      </c>
      <c r="T36" s="13">
        <v>0.26646590186797697</v>
      </c>
      <c r="U36" s="13">
        <v>3.9620002405048101E-2</v>
      </c>
      <c r="V36" s="13" t="s">
        <v>80</v>
      </c>
      <c r="W36" s="13">
        <v>0</v>
      </c>
      <c r="X36" s="13">
        <v>0</v>
      </c>
      <c r="Y36" s="13">
        <v>0</v>
      </c>
      <c r="Z36" s="13">
        <v>0</v>
      </c>
      <c r="AA36" s="13">
        <v>0.13226032001840901</v>
      </c>
    </row>
    <row r="37" spans="1:27" x14ac:dyDescent="0.25">
      <c r="A37" s="10" t="s">
        <v>694</v>
      </c>
      <c r="B37" s="10" t="s">
        <v>695</v>
      </c>
      <c r="C37" s="13" t="s">
        <v>80</v>
      </c>
      <c r="D37" s="13" t="s">
        <v>80</v>
      </c>
      <c r="E37" s="13" t="s">
        <v>80</v>
      </c>
      <c r="F37" s="13" t="s">
        <v>80</v>
      </c>
      <c r="G37" s="13" t="s">
        <v>80</v>
      </c>
      <c r="H37" s="13" t="s">
        <v>80</v>
      </c>
      <c r="I37" s="13" t="s">
        <v>80</v>
      </c>
      <c r="J37" s="13" t="s">
        <v>80</v>
      </c>
      <c r="K37" s="13">
        <v>1.0367846979042099</v>
      </c>
      <c r="L37" s="13">
        <v>1.3646415762719299</v>
      </c>
      <c r="M37" s="13">
        <v>2.0017436875736299</v>
      </c>
      <c r="N37" s="13">
        <v>2.01185730214736</v>
      </c>
      <c r="O37" s="13">
        <v>1.49107855874325</v>
      </c>
      <c r="P37" s="13">
        <v>1.52452408145124</v>
      </c>
      <c r="Q37" s="13">
        <v>1.6082925315150201</v>
      </c>
      <c r="R37" s="13">
        <v>3.31120344384084</v>
      </c>
      <c r="S37" s="13">
        <v>1.9070307728776901</v>
      </c>
      <c r="T37" s="13">
        <v>1.7478262479404101</v>
      </c>
      <c r="U37" s="13">
        <v>1.6199897469003399</v>
      </c>
      <c r="V37" s="13">
        <v>2.81502809994273</v>
      </c>
      <c r="W37" s="13">
        <v>1.5147397533820399</v>
      </c>
      <c r="X37" s="13">
        <v>2.0788165822251599</v>
      </c>
      <c r="Y37" s="13">
        <v>1.6843681300687201</v>
      </c>
      <c r="Z37" s="13">
        <v>1.0572962464931099</v>
      </c>
      <c r="AA37" s="13">
        <v>0.85705610923771203</v>
      </c>
    </row>
    <row r="38" spans="1:27" x14ac:dyDescent="0.25">
      <c r="A38" s="10" t="s">
        <v>696</v>
      </c>
      <c r="B38" s="10" t="s">
        <v>697</v>
      </c>
      <c r="C38" s="13">
        <v>0</v>
      </c>
      <c r="D38" s="13" t="s">
        <v>80</v>
      </c>
      <c r="E38" s="13">
        <v>0</v>
      </c>
      <c r="F38" s="13" t="s">
        <v>80</v>
      </c>
      <c r="G38" s="13" t="s">
        <v>80</v>
      </c>
      <c r="H38" s="13" t="s">
        <v>80</v>
      </c>
      <c r="I38" s="13" t="s">
        <v>80</v>
      </c>
      <c r="J38" s="13" t="s">
        <v>80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</row>
    <row r="39" spans="1:27" x14ac:dyDescent="0.25">
      <c r="A39" s="10" t="s">
        <v>698</v>
      </c>
      <c r="B39" s="10" t="s">
        <v>699</v>
      </c>
      <c r="C39" s="13">
        <v>79.860162416514896</v>
      </c>
      <c r="D39" s="13">
        <v>76.5318372108717</v>
      </c>
      <c r="E39" s="13">
        <v>71.216464817747706</v>
      </c>
      <c r="F39" s="13">
        <v>60.279763931449303</v>
      </c>
      <c r="G39" s="13">
        <v>60.6855358147507</v>
      </c>
      <c r="H39" s="13">
        <v>62.402692407768399</v>
      </c>
      <c r="I39" s="13">
        <v>70.340547023160795</v>
      </c>
      <c r="J39" s="13">
        <v>44.4739829296824</v>
      </c>
      <c r="K39" s="13">
        <v>1.3857297518417</v>
      </c>
      <c r="L39" s="13">
        <v>1.5989962035905001</v>
      </c>
      <c r="M39" s="13">
        <v>1.88718606689924</v>
      </c>
      <c r="N39" s="13">
        <v>1.0446601772267401</v>
      </c>
      <c r="O39" s="13">
        <v>0.87257694767915395</v>
      </c>
      <c r="P39" s="13">
        <v>0.75666085600674704</v>
      </c>
      <c r="Q39" s="13">
        <v>0.59508909648587005</v>
      </c>
      <c r="R39" s="13">
        <v>1.03413007769776</v>
      </c>
      <c r="S39" s="13">
        <v>1.48078458247147</v>
      </c>
      <c r="T39" s="13">
        <v>0.239621838108697</v>
      </c>
      <c r="U39" s="13">
        <v>2.4492882956436999</v>
      </c>
      <c r="V39" s="13">
        <v>2.1631474620561302</v>
      </c>
      <c r="W39" s="13">
        <v>2.3353768668832502</v>
      </c>
      <c r="X39" s="13">
        <v>1.53356984684591</v>
      </c>
      <c r="Y39" s="13">
        <v>1.39881197032431</v>
      </c>
      <c r="Z39" s="13">
        <v>1.6011191283294901</v>
      </c>
      <c r="AA39" s="13">
        <v>1.64369139053429</v>
      </c>
    </row>
    <row r="40" spans="1:27" x14ac:dyDescent="0.25">
      <c r="A40" s="6" t="s">
        <v>65</v>
      </c>
      <c r="B40" s="6" t="s">
        <v>66</v>
      </c>
      <c r="C40" s="19">
        <v>100</v>
      </c>
      <c r="D40" s="19">
        <v>100</v>
      </c>
      <c r="E40" s="19">
        <v>100</v>
      </c>
      <c r="F40" s="19">
        <v>100</v>
      </c>
      <c r="G40" s="19">
        <v>100</v>
      </c>
      <c r="H40" s="19">
        <v>100</v>
      </c>
      <c r="I40" s="19">
        <v>100</v>
      </c>
      <c r="J40" s="19">
        <v>100</v>
      </c>
      <c r="K40" s="19">
        <v>100</v>
      </c>
      <c r="L40" s="19">
        <v>100</v>
      </c>
      <c r="M40" s="19">
        <v>100</v>
      </c>
      <c r="N40" s="19">
        <v>100</v>
      </c>
      <c r="O40" s="19">
        <v>100</v>
      </c>
      <c r="P40" s="19">
        <v>100</v>
      </c>
      <c r="Q40" s="19">
        <v>100</v>
      </c>
      <c r="R40" s="19">
        <v>100</v>
      </c>
      <c r="S40" s="19">
        <v>100</v>
      </c>
      <c r="T40" s="19">
        <v>100</v>
      </c>
      <c r="U40" s="19">
        <v>100</v>
      </c>
      <c r="V40" s="19">
        <v>100</v>
      </c>
      <c r="W40" s="19">
        <v>100</v>
      </c>
      <c r="X40" s="19">
        <v>100</v>
      </c>
      <c r="Y40" s="19">
        <v>100</v>
      </c>
      <c r="Z40" s="19">
        <v>100</v>
      </c>
      <c r="AA40" s="19">
        <v>100</v>
      </c>
    </row>
    <row r="41" spans="1:27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25">
      <c r="A42" s="6" t="s">
        <v>700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25">
      <c r="A43" s="10" t="s">
        <v>701</v>
      </c>
      <c r="B43" s="10" t="s">
        <v>702</v>
      </c>
      <c r="C43" s="13" t="s">
        <v>80</v>
      </c>
      <c r="D43" s="13" t="s">
        <v>80</v>
      </c>
      <c r="E43" s="13" t="s">
        <v>80</v>
      </c>
      <c r="F43" s="13" t="s">
        <v>80</v>
      </c>
      <c r="G43" s="13" t="s">
        <v>80</v>
      </c>
      <c r="H43" s="13" t="s">
        <v>80</v>
      </c>
      <c r="I43" s="13">
        <v>38.579120625745801</v>
      </c>
      <c r="J43" s="13">
        <v>22.243403665352499</v>
      </c>
      <c r="K43" s="13">
        <v>17.491510002856401</v>
      </c>
      <c r="L43" s="13">
        <v>19.155612149865</v>
      </c>
      <c r="M43" s="13">
        <v>17.077526568324</v>
      </c>
      <c r="N43" s="13">
        <v>17.9424067661249</v>
      </c>
      <c r="O43" s="13">
        <v>19.2414887742007</v>
      </c>
      <c r="P43" s="13">
        <v>20.557258680014801</v>
      </c>
      <c r="Q43" s="13">
        <v>29.001248251946599</v>
      </c>
      <c r="R43" s="13">
        <v>30.0605069398061</v>
      </c>
      <c r="S43" s="13">
        <v>29.0447048954065</v>
      </c>
      <c r="T43" s="13">
        <v>25.324442908538899</v>
      </c>
      <c r="U43" s="13">
        <v>26.363630609932802</v>
      </c>
      <c r="V43" s="13">
        <v>29.100164214633502</v>
      </c>
      <c r="W43" s="13">
        <v>28.5297418145649</v>
      </c>
      <c r="X43" s="13">
        <v>28.877353058251099</v>
      </c>
      <c r="Y43" s="13">
        <v>29.844618941217899</v>
      </c>
      <c r="Z43" s="13">
        <v>29.223792888420199</v>
      </c>
      <c r="AA43" s="13">
        <v>31.290667547119401</v>
      </c>
    </row>
    <row r="44" spans="1:27" x14ac:dyDescent="0.25">
      <c r="A44" s="10" t="s">
        <v>703</v>
      </c>
      <c r="B44" s="10" t="s">
        <v>704</v>
      </c>
      <c r="C44" s="13" t="s">
        <v>80</v>
      </c>
      <c r="D44" s="13" t="s">
        <v>80</v>
      </c>
      <c r="E44" s="13" t="s">
        <v>80</v>
      </c>
      <c r="F44" s="13" t="s">
        <v>80</v>
      </c>
      <c r="G44" s="13" t="s">
        <v>80</v>
      </c>
      <c r="H44" s="13" t="s">
        <v>80</v>
      </c>
      <c r="I44" s="13">
        <v>32.031243238333602</v>
      </c>
      <c r="J44" s="13">
        <v>22.9485724188727</v>
      </c>
      <c r="K44" s="13">
        <v>24.261290902743202</v>
      </c>
      <c r="L44" s="13">
        <v>23.584813007359099</v>
      </c>
      <c r="M44" s="13">
        <v>20.990573716623</v>
      </c>
      <c r="N44" s="13">
        <v>22.802395026653802</v>
      </c>
      <c r="O44" s="13">
        <v>18.287861992792902</v>
      </c>
      <c r="P44" s="13">
        <v>17.638449446347899</v>
      </c>
      <c r="Q44" s="13">
        <v>17.734940040518101</v>
      </c>
      <c r="R44" s="13">
        <v>15.134226362036999</v>
      </c>
      <c r="S44" s="13">
        <v>17.934020457158599</v>
      </c>
      <c r="T44" s="13">
        <v>20.4840570945466</v>
      </c>
      <c r="U44" s="13">
        <v>17.6549515509396</v>
      </c>
      <c r="V44" s="13">
        <v>14.906784704324201</v>
      </c>
      <c r="W44" s="13">
        <v>12.9749702708821</v>
      </c>
      <c r="X44" s="13">
        <v>13.4852797390622</v>
      </c>
      <c r="Y44" s="13">
        <v>14.954597186023401</v>
      </c>
      <c r="Z44" s="13">
        <v>14.789481585733901</v>
      </c>
      <c r="AA44" s="13">
        <v>14.979741505535699</v>
      </c>
    </row>
    <row r="45" spans="1:27" x14ac:dyDescent="0.25">
      <c r="A45" s="10" t="s">
        <v>705</v>
      </c>
      <c r="B45" s="10" t="s">
        <v>706</v>
      </c>
      <c r="C45" s="13" t="s">
        <v>80</v>
      </c>
      <c r="D45" s="13" t="s">
        <v>80</v>
      </c>
      <c r="E45" s="13" t="s">
        <v>80</v>
      </c>
      <c r="F45" s="13" t="s">
        <v>80</v>
      </c>
      <c r="G45" s="13" t="s">
        <v>80</v>
      </c>
      <c r="H45" s="13" t="s">
        <v>80</v>
      </c>
      <c r="I45" s="13">
        <v>32.031243238333602</v>
      </c>
      <c r="J45" s="13" t="s">
        <v>80</v>
      </c>
      <c r="K45" s="13">
        <v>4.72548127616206E-2</v>
      </c>
      <c r="L45" s="13">
        <v>4.43648210675327E-2</v>
      </c>
      <c r="M45" s="13">
        <v>4.1723091319305898E-2</v>
      </c>
      <c r="N45" s="13">
        <v>4.4841288025084899E-2</v>
      </c>
      <c r="O45" s="13">
        <v>2.9797732988474202E-4</v>
      </c>
      <c r="P45" s="13">
        <v>2.7322852287196001E-4</v>
      </c>
      <c r="Q45" s="13">
        <v>2.5031790373774697E-4</v>
      </c>
      <c r="R45" s="13">
        <v>0</v>
      </c>
      <c r="S45" s="13" t="s">
        <v>80</v>
      </c>
      <c r="T45" s="13" t="s">
        <v>80</v>
      </c>
      <c r="U45" s="13" t="s">
        <v>80</v>
      </c>
      <c r="V45" s="13" t="s">
        <v>80</v>
      </c>
      <c r="W45" s="13" t="s">
        <v>80</v>
      </c>
      <c r="X45" s="13" t="s">
        <v>80</v>
      </c>
      <c r="Y45" s="13" t="s">
        <v>80</v>
      </c>
      <c r="Z45" s="13" t="s">
        <v>80</v>
      </c>
      <c r="AA45" s="13" t="s">
        <v>80</v>
      </c>
    </row>
    <row r="46" spans="1:27" x14ac:dyDescent="0.25">
      <c r="A46" s="10" t="s">
        <v>707</v>
      </c>
      <c r="B46" s="10" t="s">
        <v>708</v>
      </c>
      <c r="C46" s="13" t="s">
        <v>80</v>
      </c>
      <c r="D46" s="13" t="s">
        <v>80</v>
      </c>
      <c r="E46" s="13" t="s">
        <v>80</v>
      </c>
      <c r="F46" s="13" t="s">
        <v>80</v>
      </c>
      <c r="G46" s="13" t="s">
        <v>80</v>
      </c>
      <c r="H46" s="13" t="s">
        <v>80</v>
      </c>
      <c r="I46" s="13" t="s">
        <v>80</v>
      </c>
      <c r="J46" s="13">
        <v>22.9485724188727</v>
      </c>
      <c r="K46" s="13">
        <v>24.214036089981601</v>
      </c>
      <c r="L46" s="13">
        <v>23.540448186291599</v>
      </c>
      <c r="M46" s="13">
        <v>20.948850625303699</v>
      </c>
      <c r="N46" s="13">
        <v>22.7575537386288</v>
      </c>
      <c r="O46" s="13">
        <v>18.287564015463001</v>
      </c>
      <c r="P46" s="13">
        <v>17.638176217825102</v>
      </c>
      <c r="Q46" s="13">
        <v>17.734689722614402</v>
      </c>
      <c r="R46" s="13">
        <v>15.134226362036999</v>
      </c>
      <c r="S46" s="13">
        <v>17.934020457158599</v>
      </c>
      <c r="T46" s="13">
        <v>20.4840570945466</v>
      </c>
      <c r="U46" s="13">
        <v>17.6549515509396</v>
      </c>
      <c r="V46" s="13">
        <v>14.906784704324201</v>
      </c>
      <c r="W46" s="13">
        <v>12.9749702708821</v>
      </c>
      <c r="X46" s="13">
        <v>13.4852797390622</v>
      </c>
      <c r="Y46" s="13">
        <v>14.954597186023401</v>
      </c>
      <c r="Z46" s="13">
        <v>14.789481585733901</v>
      </c>
      <c r="AA46" s="13">
        <v>14.979741505535699</v>
      </c>
    </row>
    <row r="47" spans="1:27" x14ac:dyDescent="0.25">
      <c r="A47" s="10" t="s">
        <v>709</v>
      </c>
      <c r="B47" s="10" t="s">
        <v>710</v>
      </c>
      <c r="C47" s="13" t="s">
        <v>80</v>
      </c>
      <c r="D47" s="13" t="s">
        <v>80</v>
      </c>
      <c r="E47" s="13" t="s">
        <v>80</v>
      </c>
      <c r="F47" s="13" t="s">
        <v>80</v>
      </c>
      <c r="G47" s="13" t="s">
        <v>80</v>
      </c>
      <c r="H47" s="13" t="s">
        <v>80</v>
      </c>
      <c r="I47" s="13">
        <v>0</v>
      </c>
      <c r="J47" s="13">
        <v>0</v>
      </c>
      <c r="K47" s="13">
        <v>6.7200575521301698</v>
      </c>
      <c r="L47" s="13">
        <v>6.8084760514631899</v>
      </c>
      <c r="M47" s="13">
        <v>6.5840485145494201</v>
      </c>
      <c r="N47" s="13">
        <v>5.5502822491779096</v>
      </c>
      <c r="O47" s="13">
        <v>6.5455686798015096</v>
      </c>
      <c r="P47" s="13">
        <v>7.1531227287879</v>
      </c>
      <c r="Q47" s="13">
        <v>0.11180866366952701</v>
      </c>
      <c r="R47" s="13">
        <v>0.113317441028799</v>
      </c>
      <c r="S47" s="13">
        <v>0.34412807472157803</v>
      </c>
      <c r="T47" s="13">
        <v>0.86326806420359503</v>
      </c>
      <c r="U47" s="13">
        <v>1.8349250954107901</v>
      </c>
      <c r="V47" s="13">
        <v>1.95256568585338</v>
      </c>
      <c r="W47" s="13">
        <v>1.66531685755795</v>
      </c>
      <c r="X47" s="13">
        <v>0.97846838177609297</v>
      </c>
      <c r="Y47" s="13">
        <v>1.6396181038033599</v>
      </c>
      <c r="Z47" s="13">
        <v>1.8549624900200701</v>
      </c>
      <c r="AA47" s="13">
        <v>1.5236681324204</v>
      </c>
    </row>
    <row r="48" spans="1:27" x14ac:dyDescent="0.25">
      <c r="A48" s="10" t="s">
        <v>711</v>
      </c>
      <c r="B48" s="10" t="s">
        <v>62</v>
      </c>
      <c r="C48" s="13">
        <v>71.678620218579198</v>
      </c>
      <c r="D48" s="13">
        <v>71.812816115000004</v>
      </c>
      <c r="E48" s="13">
        <v>76.198251829091305</v>
      </c>
      <c r="F48" s="13">
        <v>72.8623311769379</v>
      </c>
      <c r="G48" s="13">
        <v>72.264665828894707</v>
      </c>
      <c r="H48" s="13">
        <v>72.317083054296006</v>
      </c>
      <c r="I48" s="13">
        <v>70.610363864079403</v>
      </c>
      <c r="J48" s="13">
        <v>45.191976084225097</v>
      </c>
      <c r="K48" s="13">
        <v>48.472858457729899</v>
      </c>
      <c r="L48" s="13">
        <v>49.548901208687397</v>
      </c>
      <c r="M48" s="13">
        <v>44.652148799496402</v>
      </c>
      <c r="N48" s="13">
        <v>46.295084041956599</v>
      </c>
      <c r="O48" s="13">
        <v>44.0749194467951</v>
      </c>
      <c r="P48" s="13">
        <v>45.348830855150602</v>
      </c>
      <c r="Q48" s="13">
        <v>46.847996956134303</v>
      </c>
      <c r="R48" s="13">
        <v>45.308050742871899</v>
      </c>
      <c r="S48" s="13">
        <v>47.322853427286702</v>
      </c>
      <c r="T48" s="13">
        <v>46.671768067289101</v>
      </c>
      <c r="U48" s="13">
        <v>45.853507256283201</v>
      </c>
      <c r="V48" s="13">
        <v>45.959514604810998</v>
      </c>
      <c r="W48" s="13">
        <v>43.170028943004901</v>
      </c>
      <c r="X48" s="13">
        <v>43.341101179089399</v>
      </c>
      <c r="Y48" s="13">
        <v>46.438834231044702</v>
      </c>
      <c r="Z48" s="13">
        <v>45.868236964174201</v>
      </c>
      <c r="AA48" s="13">
        <v>47.794077185075601</v>
      </c>
    </row>
    <row r="49" spans="1:27" x14ac:dyDescent="0.25">
      <c r="A49" s="10" t="s">
        <v>712</v>
      </c>
      <c r="B49" s="10" t="s">
        <v>713</v>
      </c>
      <c r="C49" s="13">
        <v>7.17592592592593</v>
      </c>
      <c r="D49" s="13">
        <v>13.508301171932301</v>
      </c>
      <c r="E49" s="13">
        <v>8.6404692437671304</v>
      </c>
      <c r="F49" s="13">
        <v>13.119396209283799</v>
      </c>
      <c r="G49" s="13">
        <v>4.67014044072413</v>
      </c>
      <c r="H49" s="13">
        <v>2.9393824353664302</v>
      </c>
      <c r="I49" s="13">
        <v>7.8920009817444701</v>
      </c>
      <c r="J49" s="13">
        <v>37.914301806680797</v>
      </c>
      <c r="K49" s="13">
        <v>35.068713434825398</v>
      </c>
      <c r="L49" s="13">
        <v>33.309006058676701</v>
      </c>
      <c r="M49" s="13">
        <v>32.9087868106797</v>
      </c>
      <c r="N49" s="13">
        <v>29.6748952066736</v>
      </c>
      <c r="O49" s="13">
        <v>32.420827423449602</v>
      </c>
      <c r="P49" s="13">
        <v>29.858230827099199</v>
      </c>
      <c r="Q49" s="13">
        <v>27.671642986593</v>
      </c>
      <c r="R49" s="13">
        <v>26.018930400064999</v>
      </c>
      <c r="S49" s="13">
        <v>23.6223246072989</v>
      </c>
      <c r="T49" s="13">
        <v>24.386937123180299</v>
      </c>
      <c r="U49" s="13">
        <v>23.3448522477706</v>
      </c>
      <c r="V49" s="13">
        <v>18.9993981779782</v>
      </c>
      <c r="W49" s="13">
        <v>19.913835534359599</v>
      </c>
      <c r="X49" s="13">
        <v>22.424727255863601</v>
      </c>
      <c r="Y49" s="13">
        <v>21.754666992547701</v>
      </c>
      <c r="Z49" s="13">
        <v>21.622695611743101</v>
      </c>
      <c r="AA49" s="13">
        <v>21.011458584664499</v>
      </c>
    </row>
    <row r="50" spans="1:27" x14ac:dyDescent="0.25">
      <c r="A50" s="10" t="s">
        <v>714</v>
      </c>
      <c r="B50" s="10" t="s">
        <v>715</v>
      </c>
      <c r="C50" s="13">
        <v>0</v>
      </c>
      <c r="D50" s="13">
        <v>1.6074519048505601E-2</v>
      </c>
      <c r="E50" s="13">
        <v>0.100742263843956</v>
      </c>
      <c r="F50" s="13" t="s">
        <v>80</v>
      </c>
      <c r="G50" s="13" t="s">
        <v>80</v>
      </c>
      <c r="H50" s="13" t="s">
        <v>80</v>
      </c>
      <c r="I50" s="13" t="s">
        <v>80</v>
      </c>
      <c r="J50" s="13">
        <v>33.400112646765699</v>
      </c>
      <c r="K50" s="13">
        <v>32.704914853175097</v>
      </c>
      <c r="L50" s="13">
        <v>30.269338490038201</v>
      </c>
      <c r="M50" s="13">
        <v>29.397535443524902</v>
      </c>
      <c r="N50" s="13">
        <v>26.628415193232101</v>
      </c>
      <c r="O50" s="13">
        <v>30.1979165425094</v>
      </c>
      <c r="P50" s="13">
        <v>27.938162920703601</v>
      </c>
      <c r="Q50" s="13">
        <v>26.2963964234578</v>
      </c>
      <c r="R50" s="13">
        <v>24.349213283611402</v>
      </c>
      <c r="S50" s="13">
        <v>22.277345074057699</v>
      </c>
      <c r="T50" s="13">
        <v>22.7994964423902</v>
      </c>
      <c r="U50" s="13">
        <v>21.9027094765223</v>
      </c>
      <c r="V50" s="13">
        <v>17.740997279496</v>
      </c>
      <c r="W50" s="13">
        <v>18.516067230758999</v>
      </c>
      <c r="X50" s="13">
        <v>21.342301137351701</v>
      </c>
      <c r="Y50" s="13">
        <v>20.623563921983699</v>
      </c>
      <c r="Z50" s="13">
        <v>20.7245117673171</v>
      </c>
      <c r="AA50" s="13">
        <v>19.968653111234499</v>
      </c>
    </row>
    <row r="51" spans="1:27" x14ac:dyDescent="0.25">
      <c r="A51" s="10" t="s">
        <v>716</v>
      </c>
      <c r="B51" s="10" t="s">
        <v>717</v>
      </c>
      <c r="C51" s="13" t="s">
        <v>80</v>
      </c>
      <c r="D51" s="13" t="s">
        <v>80</v>
      </c>
      <c r="E51" s="13" t="s">
        <v>80</v>
      </c>
      <c r="F51" s="13" t="s">
        <v>80</v>
      </c>
      <c r="G51" s="13" t="s">
        <v>80</v>
      </c>
      <c r="H51" s="13" t="s">
        <v>80</v>
      </c>
      <c r="I51" s="13" t="s">
        <v>80</v>
      </c>
      <c r="J51" s="13" t="s">
        <v>80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 t="s">
        <v>80</v>
      </c>
      <c r="U51" s="13" t="s">
        <v>80</v>
      </c>
      <c r="V51" s="13" t="s">
        <v>80</v>
      </c>
      <c r="W51" s="13" t="s">
        <v>80</v>
      </c>
      <c r="X51" s="13" t="s">
        <v>80</v>
      </c>
      <c r="Y51" s="13" t="s">
        <v>80</v>
      </c>
      <c r="Z51" s="13" t="s">
        <v>80</v>
      </c>
      <c r="AA51" s="13" t="s">
        <v>80</v>
      </c>
    </row>
    <row r="52" spans="1:27" x14ac:dyDescent="0.25">
      <c r="A52" s="11" t="s">
        <v>718</v>
      </c>
      <c r="B52" s="11" t="s">
        <v>719</v>
      </c>
      <c r="C52" s="25" t="s">
        <v>80</v>
      </c>
      <c r="D52" s="25" t="s">
        <v>80</v>
      </c>
      <c r="E52" s="25" t="s">
        <v>80</v>
      </c>
      <c r="F52" s="25" t="s">
        <v>80</v>
      </c>
      <c r="G52" s="25" t="s">
        <v>80</v>
      </c>
      <c r="H52" s="25" t="s">
        <v>80</v>
      </c>
      <c r="I52" s="25" t="s">
        <v>80</v>
      </c>
      <c r="J52" s="25" t="s">
        <v>80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 t="s">
        <v>80</v>
      </c>
      <c r="U52" s="25" t="s">
        <v>80</v>
      </c>
      <c r="V52" s="25" t="s">
        <v>80</v>
      </c>
      <c r="W52" s="25" t="s">
        <v>80</v>
      </c>
      <c r="X52" s="25" t="s">
        <v>80</v>
      </c>
      <c r="Y52" s="25" t="s">
        <v>80</v>
      </c>
      <c r="Z52" s="25" t="s">
        <v>80</v>
      </c>
      <c r="AA52" s="25" t="s">
        <v>80</v>
      </c>
    </row>
    <row r="53" spans="1:27" x14ac:dyDescent="0.25">
      <c r="A53" s="10" t="s">
        <v>720</v>
      </c>
      <c r="B53" s="10" t="s">
        <v>721</v>
      </c>
      <c r="C53" s="13" t="s">
        <v>80</v>
      </c>
      <c r="D53" s="13" t="s">
        <v>80</v>
      </c>
      <c r="E53" s="13" t="s">
        <v>80</v>
      </c>
      <c r="F53" s="13" t="s">
        <v>80</v>
      </c>
      <c r="G53" s="13" t="s">
        <v>80</v>
      </c>
      <c r="H53" s="13" t="s">
        <v>80</v>
      </c>
      <c r="I53" s="13" t="s">
        <v>80</v>
      </c>
      <c r="J53" s="13" t="s">
        <v>80</v>
      </c>
      <c r="K53" s="13">
        <v>2.36379858165032</v>
      </c>
      <c r="L53" s="13">
        <v>3.0396675686384702</v>
      </c>
      <c r="M53" s="13">
        <v>3.5112513671547601</v>
      </c>
      <c r="N53" s="13">
        <v>3.0464800134414798</v>
      </c>
      <c r="O53" s="13">
        <v>2.2229108809401801</v>
      </c>
      <c r="P53" s="13">
        <v>1.9200679063955499</v>
      </c>
      <c r="Q53" s="13">
        <v>1.37524656313518</v>
      </c>
      <c r="R53" s="13">
        <v>1.66971711645358</v>
      </c>
      <c r="S53" s="13">
        <v>1.34497953324122</v>
      </c>
      <c r="T53" s="13">
        <v>1.58744068079014</v>
      </c>
      <c r="U53" s="13">
        <v>1.4421427712482799</v>
      </c>
      <c r="V53" s="13">
        <v>1.2584008984822499</v>
      </c>
      <c r="W53" s="13">
        <v>1.3977683036006101</v>
      </c>
      <c r="X53" s="13">
        <v>1.08242611851182</v>
      </c>
      <c r="Y53" s="13">
        <v>1.13110307056393</v>
      </c>
      <c r="Z53" s="13">
        <v>0.89818384442594701</v>
      </c>
      <c r="AA53" s="13">
        <v>1.0428054734299901</v>
      </c>
    </row>
    <row r="54" spans="1:27" x14ac:dyDescent="0.25">
      <c r="A54" s="10" t="s">
        <v>722</v>
      </c>
      <c r="B54" s="10" t="s">
        <v>723</v>
      </c>
      <c r="C54" s="13">
        <v>9.5305859137826392</v>
      </c>
      <c r="D54" s="13">
        <v>6.6296710481392296</v>
      </c>
      <c r="E54" s="13">
        <v>6.4929519277978196</v>
      </c>
      <c r="F54" s="13">
        <v>2.6160481216661</v>
      </c>
      <c r="G54" s="13">
        <v>8.4243402545915291</v>
      </c>
      <c r="H54" s="13">
        <v>9.0962604025814997</v>
      </c>
      <c r="I54" s="13">
        <v>3.83327953984542</v>
      </c>
      <c r="J54" s="13">
        <v>5.4153632858195104</v>
      </c>
      <c r="K54" s="13">
        <v>4.5368146729720102</v>
      </c>
      <c r="L54" s="13">
        <v>4.4532459131871898</v>
      </c>
      <c r="M54" s="13">
        <v>2.7581857449320299</v>
      </c>
      <c r="N54" s="13">
        <v>2.99345600862349</v>
      </c>
      <c r="O54" s="13">
        <v>2.5506859438133902</v>
      </c>
      <c r="P54" s="13">
        <v>2.3197101591829399</v>
      </c>
      <c r="Q54" s="13">
        <v>2.6647175245895598</v>
      </c>
      <c r="R54" s="13">
        <v>3.1053079403431401</v>
      </c>
      <c r="S54" s="13">
        <v>3.5575901286935601</v>
      </c>
      <c r="T54" s="13">
        <v>4.1096101748258196</v>
      </c>
      <c r="U54" s="13">
        <v>3.9445952873715999</v>
      </c>
      <c r="V54" s="13">
        <v>3.9533442511454799</v>
      </c>
      <c r="W54" s="13">
        <v>5.0889334202830101</v>
      </c>
      <c r="X54" s="13">
        <v>4.2293214921992996</v>
      </c>
      <c r="Y54" s="13">
        <v>2.9355225972247099</v>
      </c>
      <c r="Z54" s="13">
        <v>4.2234388107197702</v>
      </c>
      <c r="AA54" s="13">
        <v>3.4606641953958599</v>
      </c>
    </row>
    <row r="55" spans="1:27" x14ac:dyDescent="0.25">
      <c r="A55" s="10" t="s">
        <v>724</v>
      </c>
      <c r="B55" s="10" t="s">
        <v>725</v>
      </c>
      <c r="C55" s="13" t="s">
        <v>80</v>
      </c>
      <c r="D55" s="13" t="s">
        <v>80</v>
      </c>
      <c r="E55" s="13" t="s">
        <v>80</v>
      </c>
      <c r="F55" s="13" t="s">
        <v>80</v>
      </c>
      <c r="G55" s="13" t="s">
        <v>80</v>
      </c>
      <c r="H55" s="13" t="s">
        <v>80</v>
      </c>
      <c r="I55" s="13" t="s">
        <v>80</v>
      </c>
      <c r="J55" s="13" t="s">
        <v>80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 t="s">
        <v>80</v>
      </c>
      <c r="U55" s="13" t="s">
        <v>80</v>
      </c>
      <c r="V55" s="13" t="s">
        <v>80</v>
      </c>
      <c r="W55" s="13" t="s">
        <v>80</v>
      </c>
      <c r="X55" s="13">
        <v>0.32709007222937198</v>
      </c>
      <c r="Y55" s="13">
        <v>0.17350525900726199</v>
      </c>
      <c r="Z55" s="13">
        <v>0.18521298684166301</v>
      </c>
      <c r="AA55" s="13">
        <v>0.181516418250462</v>
      </c>
    </row>
    <row r="56" spans="1:27" x14ac:dyDescent="0.25">
      <c r="A56" s="11" t="s">
        <v>726</v>
      </c>
      <c r="B56" s="11" t="s">
        <v>727</v>
      </c>
      <c r="C56" s="25" t="s">
        <v>80</v>
      </c>
      <c r="D56" s="25" t="s">
        <v>80</v>
      </c>
      <c r="E56" s="25" t="s">
        <v>80</v>
      </c>
      <c r="F56" s="25" t="s">
        <v>80</v>
      </c>
      <c r="G56" s="25" t="s">
        <v>80</v>
      </c>
      <c r="H56" s="25" t="s">
        <v>80</v>
      </c>
      <c r="I56" s="25" t="s">
        <v>80</v>
      </c>
      <c r="J56" s="25" t="s">
        <v>80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 t="s">
        <v>80</v>
      </c>
      <c r="U56" s="25" t="s">
        <v>80</v>
      </c>
      <c r="V56" s="25" t="s">
        <v>80</v>
      </c>
      <c r="W56" s="25" t="s">
        <v>80</v>
      </c>
      <c r="X56" s="25" t="s">
        <v>80</v>
      </c>
      <c r="Y56" s="25" t="s">
        <v>80</v>
      </c>
      <c r="Z56" s="25" t="s">
        <v>80</v>
      </c>
      <c r="AA56" s="25" t="s">
        <v>80</v>
      </c>
    </row>
    <row r="57" spans="1:27" x14ac:dyDescent="0.25">
      <c r="A57" s="10" t="s">
        <v>728</v>
      </c>
      <c r="B57" s="10" t="s">
        <v>729</v>
      </c>
      <c r="C57" s="13" t="s">
        <v>80</v>
      </c>
      <c r="D57" s="13" t="s">
        <v>80</v>
      </c>
      <c r="E57" s="13" t="s">
        <v>80</v>
      </c>
      <c r="F57" s="13" t="s">
        <v>80</v>
      </c>
      <c r="G57" s="13" t="s">
        <v>80</v>
      </c>
      <c r="H57" s="13" t="s">
        <v>80</v>
      </c>
      <c r="I57" s="13" t="s">
        <v>80</v>
      </c>
      <c r="J57" s="13" t="s">
        <v>80</v>
      </c>
      <c r="K57" s="13">
        <v>4.5368146729720102</v>
      </c>
      <c r="L57" s="13">
        <v>4.4532459131871898</v>
      </c>
      <c r="M57" s="13">
        <v>2.7581857449320299</v>
      </c>
      <c r="N57" s="13">
        <v>2.99345600862349</v>
      </c>
      <c r="O57" s="13">
        <v>2.5506859438133902</v>
      </c>
      <c r="P57" s="13">
        <v>2.3197101591829399</v>
      </c>
      <c r="Q57" s="13">
        <v>2.6647175245895598</v>
      </c>
      <c r="R57" s="13">
        <v>3.1053079403431401</v>
      </c>
      <c r="S57" s="13">
        <v>3.5575901286935601</v>
      </c>
      <c r="T57" s="13">
        <v>4.1096101748258196</v>
      </c>
      <c r="U57" s="13">
        <v>3.9445952873715999</v>
      </c>
      <c r="V57" s="13">
        <v>3.9533442511454799</v>
      </c>
      <c r="W57" s="13">
        <v>5.0889334202830101</v>
      </c>
      <c r="X57" s="13">
        <v>3.9022314199699299</v>
      </c>
      <c r="Y57" s="13">
        <v>2.7620173382174502</v>
      </c>
      <c r="Z57" s="13">
        <v>4.0382258238781104</v>
      </c>
      <c r="AA57" s="13">
        <v>3.2791477771454001</v>
      </c>
    </row>
    <row r="58" spans="1:27" x14ac:dyDescent="0.25">
      <c r="A58" s="10" t="s">
        <v>730</v>
      </c>
      <c r="B58" s="10" t="s">
        <v>731</v>
      </c>
      <c r="C58" s="13" t="s">
        <v>80</v>
      </c>
      <c r="D58" s="13" t="s">
        <v>80</v>
      </c>
      <c r="E58" s="13" t="s">
        <v>80</v>
      </c>
      <c r="F58" s="13" t="s">
        <v>80</v>
      </c>
      <c r="G58" s="13" t="s">
        <v>80</v>
      </c>
      <c r="H58" s="13" t="s">
        <v>80</v>
      </c>
      <c r="I58" s="13" t="s">
        <v>80</v>
      </c>
      <c r="J58" s="13">
        <v>0</v>
      </c>
      <c r="K58" s="13">
        <v>0.488946252940201</v>
      </c>
      <c r="L58" s="13">
        <v>0.56438148327514004</v>
      </c>
      <c r="M58" s="13">
        <v>0.44520709003143699</v>
      </c>
      <c r="N58" s="13">
        <v>7.8226772540111705E-2</v>
      </c>
      <c r="O58" s="13">
        <v>2.3738860614151099E-2</v>
      </c>
      <c r="P58" s="13">
        <v>4.7268534456848997E-2</v>
      </c>
      <c r="Q58" s="13">
        <v>3.8465517874367097E-2</v>
      </c>
      <c r="R58" s="13">
        <v>3.9428476349616999E-2</v>
      </c>
      <c r="S58" s="13">
        <v>4.5194502517082701E-2</v>
      </c>
      <c r="T58" s="13">
        <v>4.4740106265466199E-2</v>
      </c>
      <c r="U58" s="13">
        <v>0.291517142296568</v>
      </c>
      <c r="V58" s="13">
        <v>0.17909238974799499</v>
      </c>
      <c r="W58" s="13">
        <v>0.18169745293992701</v>
      </c>
      <c r="X58" s="13">
        <v>0.46133661051403002</v>
      </c>
      <c r="Y58" s="13">
        <v>0.50108600137415105</v>
      </c>
      <c r="Z58" s="13">
        <v>0.51173332567176599</v>
      </c>
      <c r="AA58" s="13">
        <v>0.53431322183753704</v>
      </c>
    </row>
    <row r="59" spans="1:27" x14ac:dyDescent="0.25">
      <c r="A59" s="10" t="s">
        <v>732</v>
      </c>
      <c r="B59" s="10" t="s">
        <v>733</v>
      </c>
      <c r="C59" s="13" t="s">
        <v>80</v>
      </c>
      <c r="D59" s="13" t="s">
        <v>80</v>
      </c>
      <c r="E59" s="13" t="s">
        <v>80</v>
      </c>
      <c r="F59" s="13" t="s">
        <v>80</v>
      </c>
      <c r="G59" s="13" t="s">
        <v>80</v>
      </c>
      <c r="H59" s="13" t="s">
        <v>80</v>
      </c>
      <c r="I59" s="13" t="s">
        <v>80</v>
      </c>
      <c r="J59" s="13" t="s">
        <v>80</v>
      </c>
      <c r="K59" s="13">
        <v>0</v>
      </c>
      <c r="L59" s="13">
        <v>0</v>
      </c>
      <c r="M59" s="13">
        <v>4.7028917961067299E-3</v>
      </c>
      <c r="N59" s="13">
        <v>0.106702626979399</v>
      </c>
      <c r="O59" s="13">
        <v>1.9865155325649499E-2</v>
      </c>
      <c r="P59" s="13">
        <v>0</v>
      </c>
      <c r="Q59" s="13">
        <v>0</v>
      </c>
      <c r="R59" s="13" t="s">
        <v>80</v>
      </c>
      <c r="S59" s="13" t="s">
        <v>80</v>
      </c>
      <c r="T59" s="13" t="s">
        <v>80</v>
      </c>
      <c r="U59" s="13" t="s">
        <v>80</v>
      </c>
      <c r="V59" s="13">
        <v>9.0497028923253106E-2</v>
      </c>
      <c r="W59" s="13">
        <v>0.180778970424323</v>
      </c>
      <c r="X59" s="13" t="s">
        <v>80</v>
      </c>
      <c r="Y59" s="13" t="s">
        <v>80</v>
      </c>
      <c r="Z59" s="13" t="s">
        <v>80</v>
      </c>
      <c r="AA59" s="13" t="s">
        <v>80</v>
      </c>
    </row>
    <row r="60" spans="1:27" x14ac:dyDescent="0.25">
      <c r="A60" s="10" t="s">
        <v>734</v>
      </c>
      <c r="B60" s="10" t="s">
        <v>735</v>
      </c>
      <c r="C60" s="13" t="s">
        <v>80</v>
      </c>
      <c r="D60" s="13" t="s">
        <v>80</v>
      </c>
      <c r="E60" s="13" t="s">
        <v>80</v>
      </c>
      <c r="F60" s="13" t="s">
        <v>80</v>
      </c>
      <c r="G60" s="13" t="s">
        <v>80</v>
      </c>
      <c r="H60" s="13" t="s">
        <v>80</v>
      </c>
      <c r="I60" s="13" t="s">
        <v>80</v>
      </c>
      <c r="J60" s="13" t="s">
        <v>80</v>
      </c>
      <c r="K60" s="13">
        <v>1.4767128988006399</v>
      </c>
      <c r="L60" s="13">
        <v>1.81811100687824</v>
      </c>
      <c r="M60" s="13">
        <v>2.5592172458659799</v>
      </c>
      <c r="N60" s="13">
        <v>2.4262300805397499</v>
      </c>
      <c r="O60" s="13">
        <v>1.8203435082658901</v>
      </c>
      <c r="P60" s="13">
        <v>1.9391028268223001</v>
      </c>
      <c r="Q60" s="13">
        <v>2.0813099302781199</v>
      </c>
      <c r="R60" s="13">
        <v>3.9251048206043802</v>
      </c>
      <c r="S60" s="13">
        <v>2.73301199943581</v>
      </c>
      <c r="T60" s="13">
        <v>2.1332082667374301</v>
      </c>
      <c r="U60" s="13">
        <v>1.5805596167112901</v>
      </c>
      <c r="V60" s="13">
        <v>2.7455053515177501</v>
      </c>
      <c r="W60" s="13">
        <v>1.56752548383768</v>
      </c>
      <c r="X60" s="13">
        <v>1.4067143558291699</v>
      </c>
      <c r="Y60" s="13">
        <v>0.94660811944828205</v>
      </c>
      <c r="Z60" s="13">
        <v>0.895513086914138</v>
      </c>
      <c r="AA60" s="13">
        <v>0.31874082941881998</v>
      </c>
    </row>
    <row r="61" spans="1:27" x14ac:dyDescent="0.25">
      <c r="A61" s="10" t="s">
        <v>736</v>
      </c>
      <c r="B61" s="10" t="s">
        <v>737</v>
      </c>
      <c r="C61" s="13">
        <v>2.2616879174256201</v>
      </c>
      <c r="D61" s="13">
        <v>2.03937792052339</v>
      </c>
      <c r="E61" s="13">
        <v>1.93215386673026</v>
      </c>
      <c r="F61" s="13">
        <v>2.1132675065259301</v>
      </c>
      <c r="G61" s="13">
        <v>3.3498609263514298</v>
      </c>
      <c r="H61" s="13">
        <v>3.9149110421989701</v>
      </c>
      <c r="I61" s="13">
        <v>5.5775274234607704</v>
      </c>
      <c r="J61" s="13">
        <v>4.5902690524674004</v>
      </c>
      <c r="K61" s="13">
        <v>2.0259619351903799</v>
      </c>
      <c r="L61" s="13">
        <v>1.8013472004443301</v>
      </c>
      <c r="M61" s="13">
        <v>7.3766666626471</v>
      </c>
      <c r="N61" s="13">
        <v>8.7688175210513997</v>
      </c>
      <c r="O61" s="13">
        <v>8.29380167423529</v>
      </c>
      <c r="P61" s="13">
        <v>9.1322079961237996</v>
      </c>
      <c r="Q61" s="13">
        <v>9.2353121798016797</v>
      </c>
      <c r="R61" s="13">
        <v>10.3502116126326</v>
      </c>
      <c r="S61" s="13">
        <v>11.8203562833282</v>
      </c>
      <c r="T61" s="13">
        <v>11.8874770899801</v>
      </c>
      <c r="U61" s="13">
        <v>12.580110252466801</v>
      </c>
      <c r="V61" s="13">
        <v>15.4822630297824</v>
      </c>
      <c r="W61" s="13">
        <v>17.079506547969899</v>
      </c>
      <c r="X61" s="13">
        <v>16.589761129081499</v>
      </c>
      <c r="Y61" s="13">
        <v>16.468537170875202</v>
      </c>
      <c r="Z61" s="13">
        <v>16.825489062236301</v>
      </c>
      <c r="AA61" s="13">
        <v>17.175255121576001</v>
      </c>
    </row>
    <row r="62" spans="1:27" x14ac:dyDescent="0.25">
      <c r="A62" s="6" t="s">
        <v>120</v>
      </c>
      <c r="B62" s="6" t="s">
        <v>121</v>
      </c>
      <c r="C62" s="19">
        <v>90.646819975713399</v>
      </c>
      <c r="D62" s="19">
        <v>93.9901662555949</v>
      </c>
      <c r="E62" s="19">
        <v>93.263826867386499</v>
      </c>
      <c r="F62" s="19">
        <v>90.711043014413804</v>
      </c>
      <c r="G62" s="19">
        <v>88.709007450561799</v>
      </c>
      <c r="H62" s="19">
        <v>88.267636934442905</v>
      </c>
      <c r="I62" s="19">
        <v>87.913171809130105</v>
      </c>
      <c r="J62" s="19">
        <v>93.111910229192802</v>
      </c>
      <c r="K62" s="19">
        <v>92.0700076524585</v>
      </c>
      <c r="L62" s="19">
        <v>91.494992871148995</v>
      </c>
      <c r="M62" s="19">
        <v>90.704915245448703</v>
      </c>
      <c r="N62" s="19">
        <v>90.343412258364395</v>
      </c>
      <c r="O62" s="19">
        <v>89.204182012499203</v>
      </c>
      <c r="P62" s="19">
        <v>88.645351198835698</v>
      </c>
      <c r="Q62" s="19">
        <v>88.539445095271006</v>
      </c>
      <c r="R62" s="19">
        <v>88.747033992866605</v>
      </c>
      <c r="S62" s="19">
        <v>89.101330948560204</v>
      </c>
      <c r="T62" s="19">
        <v>89.233740828278201</v>
      </c>
      <c r="U62" s="19">
        <v>87.595141802900002</v>
      </c>
      <c r="V62" s="19">
        <v>87.409614833906105</v>
      </c>
      <c r="W62" s="19">
        <v>87.182306352819396</v>
      </c>
      <c r="X62" s="19">
        <v>88.452962022576997</v>
      </c>
      <c r="Y62" s="19">
        <v>89.045255112514695</v>
      </c>
      <c r="Z62" s="19">
        <v>89.947106861459304</v>
      </c>
      <c r="AA62" s="19">
        <v>90.294509137968305</v>
      </c>
    </row>
    <row r="63" spans="1:27" x14ac:dyDescent="0.25">
      <c r="A63" s="10" t="s">
        <v>738</v>
      </c>
      <c r="B63" s="10" t="s">
        <v>174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</row>
    <row r="64" spans="1:27" x14ac:dyDescent="0.25">
      <c r="A64" s="10" t="s">
        <v>739</v>
      </c>
      <c r="B64" s="10" t="s">
        <v>740</v>
      </c>
      <c r="C64" s="13">
        <v>5.9283925318761401</v>
      </c>
      <c r="D64" s="13">
        <v>3.3125102019467199</v>
      </c>
      <c r="E64" s="13">
        <v>3.2432264631200298</v>
      </c>
      <c r="F64" s="13">
        <v>4.1374418340710504</v>
      </c>
      <c r="G64" s="13">
        <v>6.7491468922691897</v>
      </c>
      <c r="H64" s="13">
        <v>5.7047309085169999</v>
      </c>
      <c r="I64" s="13">
        <v>4.8214436619918901</v>
      </c>
      <c r="J64" s="13">
        <v>2.3238161258177699</v>
      </c>
      <c r="K64" s="13">
        <v>2.3770228762664498</v>
      </c>
      <c r="L64" s="13">
        <v>2.3103573230741099</v>
      </c>
      <c r="M64" s="13">
        <v>3.7449489133305298</v>
      </c>
      <c r="N64" s="13">
        <v>3.4249579408356801</v>
      </c>
      <c r="O64" s="13">
        <v>4.9534758062273303</v>
      </c>
      <c r="P64" s="13">
        <v>4.6296751677167798</v>
      </c>
      <c r="Q64" s="13">
        <v>4.2579075425790798</v>
      </c>
      <c r="R64" s="13">
        <v>4.0217834446136402</v>
      </c>
      <c r="S64" s="13">
        <v>3.70587535917445</v>
      </c>
      <c r="T64" s="13">
        <v>3.8794917523928198</v>
      </c>
      <c r="U64" s="13">
        <v>3.9854811045499701</v>
      </c>
      <c r="V64" s="13">
        <v>3.5341942296678099</v>
      </c>
      <c r="W64" s="13">
        <v>3.4172412134990999</v>
      </c>
      <c r="X64" s="13">
        <v>3.06245386633895</v>
      </c>
      <c r="Y64" s="13">
        <v>2.75340141960447</v>
      </c>
      <c r="Z64" s="13">
        <v>2.5441797921584102</v>
      </c>
      <c r="AA64" s="13">
        <v>2.1862780976217402</v>
      </c>
    </row>
    <row r="65" spans="1:27" x14ac:dyDescent="0.25">
      <c r="A65" s="10" t="s">
        <v>741</v>
      </c>
      <c r="B65" s="10" t="s">
        <v>742</v>
      </c>
      <c r="C65" s="13" t="s">
        <v>80</v>
      </c>
      <c r="D65" s="13" t="s">
        <v>80</v>
      </c>
      <c r="E65" s="13" t="s">
        <v>80</v>
      </c>
      <c r="F65" s="13" t="s">
        <v>80</v>
      </c>
      <c r="G65" s="13" t="s">
        <v>80</v>
      </c>
      <c r="H65" s="13" t="s">
        <v>80</v>
      </c>
      <c r="I65" s="13" t="s">
        <v>80</v>
      </c>
      <c r="J65" s="13" t="s">
        <v>80</v>
      </c>
      <c r="K65" s="13">
        <v>2.1081288857385698</v>
      </c>
      <c r="L65" s="13">
        <v>2.0270659274787599</v>
      </c>
      <c r="M65" s="13">
        <v>1.57365994715879</v>
      </c>
      <c r="N65" s="13">
        <v>1.4261929855569599</v>
      </c>
      <c r="O65" s="13">
        <v>1.45532127915708</v>
      </c>
      <c r="P65" s="13">
        <v>1.3326265822208401</v>
      </c>
      <c r="Q65" s="13">
        <v>1.21871443399784</v>
      </c>
      <c r="R65" s="13">
        <v>1.1492612286386401</v>
      </c>
      <c r="S65" s="13">
        <v>1.07750487945548</v>
      </c>
      <c r="T65" s="13">
        <v>0.92331237233642105</v>
      </c>
      <c r="U65" s="13">
        <v>0.94885475408383502</v>
      </c>
      <c r="V65" s="13">
        <v>0.83444077534364303</v>
      </c>
      <c r="W65" s="13">
        <v>0.80810252858236598</v>
      </c>
      <c r="X65" s="13">
        <v>0.722438639815427</v>
      </c>
      <c r="Y65" s="13">
        <v>0.65885402128219805</v>
      </c>
      <c r="Z65" s="13">
        <v>0.59529566297306302</v>
      </c>
      <c r="AA65" s="13">
        <v>0.56467498863838805</v>
      </c>
    </row>
    <row r="66" spans="1:27" x14ac:dyDescent="0.25">
      <c r="A66" s="10" t="s">
        <v>743</v>
      </c>
      <c r="B66" s="10" t="s">
        <v>744</v>
      </c>
      <c r="C66" s="13" t="s">
        <v>80</v>
      </c>
      <c r="D66" s="13" t="s">
        <v>80</v>
      </c>
      <c r="E66" s="13" t="s">
        <v>80</v>
      </c>
      <c r="F66" s="13" t="s">
        <v>80</v>
      </c>
      <c r="G66" s="13" t="s">
        <v>80</v>
      </c>
      <c r="H66" s="13" t="s">
        <v>80</v>
      </c>
      <c r="I66" s="13" t="s">
        <v>80</v>
      </c>
      <c r="J66" s="13" t="s">
        <v>80</v>
      </c>
      <c r="K66" s="13">
        <v>0.26889399052787899</v>
      </c>
      <c r="L66" s="13">
        <v>0.28329139559535199</v>
      </c>
      <c r="M66" s="13">
        <v>2.1712889661717401</v>
      </c>
      <c r="N66" s="13">
        <v>1.9987649552787301</v>
      </c>
      <c r="O66" s="13">
        <v>3.4981545270702501</v>
      </c>
      <c r="P66" s="13">
        <v>3.2970485854959399</v>
      </c>
      <c r="Q66" s="13">
        <v>3.0391931085812298</v>
      </c>
      <c r="R66" s="13">
        <v>2.8725222159750001</v>
      </c>
      <c r="S66" s="13">
        <v>2.6283704797189702</v>
      </c>
      <c r="T66" s="13">
        <v>2.9561793800563998</v>
      </c>
      <c r="U66" s="13">
        <v>3.0366263504661402</v>
      </c>
      <c r="V66" s="13">
        <v>2.6997534543241701</v>
      </c>
      <c r="W66" s="13">
        <v>2.6091386849167302</v>
      </c>
      <c r="X66" s="13">
        <v>2.3400152265235201</v>
      </c>
      <c r="Y66" s="13">
        <v>2.0945473983222702</v>
      </c>
      <c r="Z66" s="13">
        <v>1.94888412918535</v>
      </c>
      <c r="AA66" s="13">
        <v>1.62160310898335</v>
      </c>
    </row>
    <row r="67" spans="1:27" x14ac:dyDescent="0.25">
      <c r="A67" s="10" t="s">
        <v>745</v>
      </c>
      <c r="B67" s="10" t="s">
        <v>746</v>
      </c>
      <c r="C67" s="13" t="s">
        <v>80</v>
      </c>
      <c r="D67" s="13" t="s">
        <v>80</v>
      </c>
      <c r="E67" s="13" t="s">
        <v>80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</row>
    <row r="68" spans="1:27" x14ac:dyDescent="0.25">
      <c r="A68" s="10" t="s">
        <v>747</v>
      </c>
      <c r="B68" s="10" t="s">
        <v>748</v>
      </c>
      <c r="C68" s="13" t="s">
        <v>80</v>
      </c>
      <c r="D68" s="13">
        <v>5.7673712363462304</v>
      </c>
      <c r="E68" s="13">
        <v>6.3950264452136496</v>
      </c>
      <c r="F68" s="13" t="s">
        <v>80</v>
      </c>
      <c r="G68" s="13" t="s">
        <v>80</v>
      </c>
      <c r="H68" s="13" t="s">
        <v>80</v>
      </c>
      <c r="I68" s="13">
        <v>9.7904223261372998</v>
      </c>
      <c r="J68" s="13">
        <v>4.1504267579394298</v>
      </c>
      <c r="K68" s="13">
        <v>4.6787554351850904</v>
      </c>
      <c r="L68" s="13">
        <v>5.4519623813410396</v>
      </c>
      <c r="M68" s="13">
        <v>4.7137446233285099</v>
      </c>
      <c r="N68" s="13">
        <v>5.2949814852394699</v>
      </c>
      <c r="O68" s="13">
        <v>5.2454935895143802</v>
      </c>
      <c r="P68" s="13">
        <v>5.9777846995670201</v>
      </c>
      <c r="Q68" s="13">
        <v>6.6724740420333797</v>
      </c>
      <c r="R68" s="13">
        <v>6.9236404469927502</v>
      </c>
      <c r="S68" s="13">
        <v>7.0304036415544298</v>
      </c>
      <c r="T68" s="13">
        <v>6.6960820009009696</v>
      </c>
      <c r="U68" s="13">
        <v>8.0133670040062999</v>
      </c>
      <c r="V68" s="13">
        <v>8.3494975121706805</v>
      </c>
      <c r="W68" s="13">
        <v>8.92138275921873</v>
      </c>
      <c r="X68" s="13">
        <v>7.0151183147252896</v>
      </c>
      <c r="Y68" s="13">
        <v>6.8544028443081499</v>
      </c>
      <c r="Z68" s="13">
        <v>6.8921325553605497</v>
      </c>
      <c r="AA68" s="13">
        <v>6.3623486385114196</v>
      </c>
    </row>
    <row r="69" spans="1:27" x14ac:dyDescent="0.25">
      <c r="A69" s="10" t="s">
        <v>749</v>
      </c>
      <c r="B69" s="10" t="s">
        <v>750</v>
      </c>
      <c r="C69" s="13">
        <v>2.6705752884031599</v>
      </c>
      <c r="D69" s="13">
        <v>-3.4787285075480701</v>
      </c>
      <c r="E69" s="13">
        <v>-3.3200188156297399</v>
      </c>
      <c r="F69" s="13">
        <v>4.6555442061059997</v>
      </c>
      <c r="G69" s="13">
        <v>4.02708912806869</v>
      </c>
      <c r="H69" s="13">
        <v>5.4270443658637504</v>
      </c>
      <c r="I69" s="13">
        <v>-3.1039569561703799</v>
      </c>
      <c r="J69" s="13">
        <v>7.6946406134916198E-2</v>
      </c>
      <c r="K69" s="13">
        <v>0.23803730309025301</v>
      </c>
      <c r="L69" s="13">
        <v>4.6735460361217701E-2</v>
      </c>
      <c r="M69" s="13">
        <v>8.4772639299052099E-2</v>
      </c>
      <c r="N69" s="13">
        <v>0.21351435684937001</v>
      </c>
      <c r="O69" s="13">
        <v>0.39481996209728398</v>
      </c>
      <c r="P69" s="13">
        <v>0.58780562887187604</v>
      </c>
      <c r="Q69" s="13">
        <v>0.37163864774930799</v>
      </c>
      <c r="R69" s="13">
        <v>0.15337677300001001</v>
      </c>
      <c r="S69" s="13">
        <v>2.7101932064982601E-2</v>
      </c>
      <c r="T69" s="13">
        <v>5.5847994717581902E-2</v>
      </c>
      <c r="U69" s="13">
        <v>0.261643913646116</v>
      </c>
      <c r="V69" s="13">
        <v>0.546617715492554</v>
      </c>
      <c r="W69" s="13">
        <v>0.31666035435055501</v>
      </c>
      <c r="X69" s="13">
        <v>1.3250746833926501</v>
      </c>
      <c r="Y69" s="13">
        <v>1.3534465213008799</v>
      </c>
      <c r="Z69" s="13">
        <v>0.65627795949270196</v>
      </c>
      <c r="AA69" s="13">
        <v>1.0366869424777301</v>
      </c>
    </row>
    <row r="70" spans="1:27" x14ac:dyDescent="0.25">
      <c r="A70" s="6" t="s">
        <v>751</v>
      </c>
      <c r="B70" s="6" t="s">
        <v>752</v>
      </c>
      <c r="C70" s="19">
        <v>8.5989678202793005</v>
      </c>
      <c r="D70" s="19">
        <v>5.6011529307448802</v>
      </c>
      <c r="E70" s="19">
        <v>6.31823409270394</v>
      </c>
      <c r="F70" s="19">
        <v>8.7929860401770501</v>
      </c>
      <c r="G70" s="19">
        <v>10.776236020337899</v>
      </c>
      <c r="H70" s="19">
        <v>11.1317752743808</v>
      </c>
      <c r="I70" s="19">
        <v>11.5079090319588</v>
      </c>
      <c r="J70" s="19">
        <v>6.55118928989212</v>
      </c>
      <c r="K70" s="19">
        <v>7.2938156145417903</v>
      </c>
      <c r="L70" s="19">
        <v>7.8090551647763604</v>
      </c>
      <c r="M70" s="19">
        <v>8.5434661759580894</v>
      </c>
      <c r="N70" s="19">
        <v>8.9334537829245306</v>
      </c>
      <c r="O70" s="19">
        <v>10.593789357839</v>
      </c>
      <c r="P70" s="19">
        <v>11.195265496155701</v>
      </c>
      <c r="Q70" s="19">
        <v>11.3020202323618</v>
      </c>
      <c r="R70" s="19">
        <v>11.098800664606401</v>
      </c>
      <c r="S70" s="19">
        <v>10.763380932793901</v>
      </c>
      <c r="T70" s="19">
        <v>10.6314217480114</v>
      </c>
      <c r="U70" s="19">
        <v>12.260492022202399</v>
      </c>
      <c r="V70" s="19">
        <v>12.430309457330999</v>
      </c>
      <c r="W70" s="19">
        <v>12.655284327068401</v>
      </c>
      <c r="X70" s="19">
        <v>11.4026468644569</v>
      </c>
      <c r="Y70" s="19">
        <v>10.961250785213499</v>
      </c>
      <c r="Z70" s="19">
        <v>10.092590307011699</v>
      </c>
      <c r="AA70" s="19">
        <v>9.5853136786108806</v>
      </c>
    </row>
    <row r="71" spans="1:27" x14ac:dyDescent="0.25">
      <c r="A71" s="10" t="s">
        <v>753</v>
      </c>
      <c r="B71" s="10" t="s">
        <v>176</v>
      </c>
      <c r="C71" s="13">
        <v>0.75421220400728595</v>
      </c>
      <c r="D71" s="13">
        <v>0.40868081366015802</v>
      </c>
      <c r="E71" s="13">
        <v>0.41793903990951198</v>
      </c>
      <c r="F71" s="13">
        <v>0.49597094540914799</v>
      </c>
      <c r="G71" s="13">
        <v>0.514756529100307</v>
      </c>
      <c r="H71" s="13">
        <v>0.60058779117630801</v>
      </c>
      <c r="I71" s="13">
        <v>0.57891915891111301</v>
      </c>
      <c r="J71" s="13">
        <v>0.33690048091503799</v>
      </c>
      <c r="K71" s="13">
        <v>0.63617673299972799</v>
      </c>
      <c r="L71" s="13">
        <v>0.69595196407465498</v>
      </c>
      <c r="M71" s="13">
        <v>0.75161857859315995</v>
      </c>
      <c r="N71" s="13">
        <v>0.72313395871110198</v>
      </c>
      <c r="O71" s="13">
        <v>0.202028629661855</v>
      </c>
      <c r="P71" s="13">
        <v>0.15938330500864301</v>
      </c>
      <c r="Q71" s="13">
        <v>0.15853467236724</v>
      </c>
      <c r="R71" s="13">
        <v>0.15416534252700301</v>
      </c>
      <c r="S71" s="13">
        <v>0.13528811864590801</v>
      </c>
      <c r="T71" s="13">
        <v>0.134837423710405</v>
      </c>
      <c r="U71" s="13">
        <v>0.14436617489762699</v>
      </c>
      <c r="V71" s="13">
        <v>0.16007570876288699</v>
      </c>
      <c r="W71" s="13">
        <v>0.162409320112228</v>
      </c>
      <c r="X71" s="13">
        <v>0.14439111296611901</v>
      </c>
      <c r="Y71" s="13">
        <v>-6.5058977281668897E-3</v>
      </c>
      <c r="Z71" s="13">
        <v>-3.9697168470979198E-2</v>
      </c>
      <c r="AA71" s="13">
        <v>0.12017718342085899</v>
      </c>
    </row>
    <row r="72" spans="1:27" x14ac:dyDescent="0.25">
      <c r="A72" s="6" t="s">
        <v>122</v>
      </c>
      <c r="B72" s="6" t="s">
        <v>123</v>
      </c>
      <c r="C72" s="19">
        <v>9.3531800242865799</v>
      </c>
      <c r="D72" s="19">
        <v>6.0098337444050403</v>
      </c>
      <c r="E72" s="19">
        <v>6.7361731326134597</v>
      </c>
      <c r="F72" s="19">
        <v>9.2889569855862</v>
      </c>
      <c r="G72" s="19">
        <v>11.290992549438201</v>
      </c>
      <c r="H72" s="19">
        <v>11.732363065557101</v>
      </c>
      <c r="I72" s="19">
        <v>12.0868281908699</v>
      </c>
      <c r="J72" s="19">
        <v>6.8880897708071602</v>
      </c>
      <c r="K72" s="19">
        <v>7.9299923475415204</v>
      </c>
      <c r="L72" s="19">
        <v>8.5050071288510196</v>
      </c>
      <c r="M72" s="19">
        <v>9.2950847545512492</v>
      </c>
      <c r="N72" s="19">
        <v>9.6565877416356294</v>
      </c>
      <c r="O72" s="19">
        <v>10.795817987500801</v>
      </c>
      <c r="P72" s="19">
        <v>11.3546488011643</v>
      </c>
      <c r="Q72" s="19">
        <v>11.460554904728999</v>
      </c>
      <c r="R72" s="19">
        <v>11.2529660071334</v>
      </c>
      <c r="S72" s="19">
        <v>10.8986690514398</v>
      </c>
      <c r="T72" s="19">
        <v>10.766259171721799</v>
      </c>
      <c r="U72" s="19">
        <v>12.404858197099999</v>
      </c>
      <c r="V72" s="19">
        <v>12.590385166093901</v>
      </c>
      <c r="W72" s="19">
        <v>12.817693647180599</v>
      </c>
      <c r="X72" s="19">
        <v>11.547037977423001</v>
      </c>
      <c r="Y72" s="19">
        <v>10.954744887485299</v>
      </c>
      <c r="Z72" s="19">
        <v>10.0528931385407</v>
      </c>
      <c r="AA72" s="19">
        <v>9.7054908620317395</v>
      </c>
    </row>
    <row r="73" spans="1:27" x14ac:dyDescent="0.25">
      <c r="A73" s="6" t="s">
        <v>754</v>
      </c>
      <c r="B73" s="6" t="s">
        <v>755</v>
      </c>
      <c r="C73" s="19">
        <v>100</v>
      </c>
      <c r="D73" s="19">
        <v>100</v>
      </c>
      <c r="E73" s="19">
        <v>100</v>
      </c>
      <c r="F73" s="19">
        <v>100</v>
      </c>
      <c r="G73" s="19">
        <v>100</v>
      </c>
      <c r="H73" s="19">
        <v>100</v>
      </c>
      <c r="I73" s="19">
        <v>100</v>
      </c>
      <c r="J73" s="19">
        <v>100</v>
      </c>
      <c r="K73" s="19">
        <v>100</v>
      </c>
      <c r="L73" s="19">
        <v>100</v>
      </c>
      <c r="M73" s="19">
        <v>100</v>
      </c>
      <c r="N73" s="19">
        <v>100</v>
      </c>
      <c r="O73" s="19">
        <v>100</v>
      </c>
      <c r="P73" s="19">
        <v>100</v>
      </c>
      <c r="Q73" s="19">
        <v>100</v>
      </c>
      <c r="R73" s="19">
        <v>100</v>
      </c>
      <c r="S73" s="19">
        <v>100</v>
      </c>
      <c r="T73" s="19">
        <v>100</v>
      </c>
      <c r="U73" s="19">
        <v>100</v>
      </c>
      <c r="V73" s="19">
        <v>100</v>
      </c>
      <c r="W73" s="19">
        <v>100</v>
      </c>
      <c r="X73" s="19">
        <v>100</v>
      </c>
      <c r="Y73" s="19">
        <v>100</v>
      </c>
      <c r="Z73" s="19">
        <v>100</v>
      </c>
      <c r="AA73" s="19">
        <v>100</v>
      </c>
    </row>
    <row r="74" spans="1:27" x14ac:dyDescent="0.25">
      <c r="A74" s="6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x14ac:dyDescent="0.25">
      <c r="A75" s="6" t="s">
        <v>1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x14ac:dyDescent="0.25">
      <c r="A76" s="10" t="s">
        <v>353</v>
      </c>
      <c r="B76" s="10" t="s">
        <v>354</v>
      </c>
      <c r="C76" s="12" t="s">
        <v>355</v>
      </c>
      <c r="D76" s="12" t="s">
        <v>355</v>
      </c>
      <c r="E76" s="12" t="s">
        <v>355</v>
      </c>
      <c r="F76" s="12" t="s">
        <v>355</v>
      </c>
      <c r="G76" s="12" t="s">
        <v>355</v>
      </c>
      <c r="H76" s="12" t="s">
        <v>355</v>
      </c>
      <c r="I76" s="12" t="s">
        <v>355</v>
      </c>
      <c r="J76" s="12" t="s">
        <v>355</v>
      </c>
      <c r="K76" s="12" t="s">
        <v>355</v>
      </c>
      <c r="L76" s="12" t="s">
        <v>355</v>
      </c>
      <c r="M76" s="12" t="s">
        <v>355</v>
      </c>
      <c r="N76" s="12" t="s">
        <v>355</v>
      </c>
      <c r="O76" s="12" t="s">
        <v>355</v>
      </c>
      <c r="P76" s="12" t="s">
        <v>355</v>
      </c>
      <c r="Q76" s="12" t="s">
        <v>355</v>
      </c>
      <c r="R76" s="12" t="s">
        <v>355</v>
      </c>
      <c r="S76" s="12" t="s">
        <v>355</v>
      </c>
      <c r="T76" s="12" t="s">
        <v>355</v>
      </c>
      <c r="U76" s="12" t="s">
        <v>355</v>
      </c>
      <c r="V76" s="12" t="s">
        <v>355</v>
      </c>
      <c r="W76" s="12" t="s">
        <v>355</v>
      </c>
      <c r="X76" s="12" t="s">
        <v>355</v>
      </c>
      <c r="Y76" s="12" t="s">
        <v>355</v>
      </c>
      <c r="Z76" s="12" t="s">
        <v>355</v>
      </c>
      <c r="AA76" s="12" t="s">
        <v>355</v>
      </c>
    </row>
    <row r="77" spans="1:27" x14ac:dyDescent="0.25">
      <c r="A77" s="10" t="s">
        <v>756</v>
      </c>
      <c r="B77" s="10" t="s">
        <v>125</v>
      </c>
      <c r="C77" s="13">
        <v>1.8978521895871301</v>
      </c>
      <c r="D77" s="13">
        <v>1.00225392904509</v>
      </c>
      <c r="E77" s="13">
        <v>0.94668596162611396</v>
      </c>
      <c r="F77" s="13">
        <v>1.1453569538077399</v>
      </c>
      <c r="G77" s="13">
        <v>1.0611135230063</v>
      </c>
      <c r="H77" s="13">
        <v>0.860828271987783</v>
      </c>
      <c r="I77" s="13">
        <v>0.700973163164477</v>
      </c>
      <c r="J77" s="13">
        <v>0.34903124613318298</v>
      </c>
      <c r="K77" s="13">
        <v>0.35579480620236997</v>
      </c>
      <c r="L77" s="13">
        <v>0.34176957182867701</v>
      </c>
      <c r="M77" s="13">
        <v>0.278898076637842</v>
      </c>
      <c r="N77" s="13">
        <v>0.25381696462666098</v>
      </c>
      <c r="O77" s="13">
        <v>0.27550284300170402</v>
      </c>
      <c r="P77" s="13">
        <v>0.25222124898222398</v>
      </c>
      <c r="Q77" s="13">
        <v>0.230164329698717</v>
      </c>
      <c r="R77" s="13">
        <v>0.21679511544263599</v>
      </c>
      <c r="S77" s="13">
        <v>0.204830051685674</v>
      </c>
      <c r="T77" s="13">
        <v>0.176429487864632</v>
      </c>
      <c r="U77" s="13">
        <v>0.18148766976158401</v>
      </c>
      <c r="V77" s="13">
        <v>0.15922802644884701</v>
      </c>
      <c r="W77" s="13">
        <v>0.15438278331538699</v>
      </c>
      <c r="X77" s="13">
        <v>0.138019377152099</v>
      </c>
      <c r="Y77" s="13">
        <v>0.126004127640438</v>
      </c>
      <c r="Z77" s="13">
        <v>0.11279383479908001</v>
      </c>
      <c r="AA77" s="13">
        <v>0.108253998075164</v>
      </c>
    </row>
    <row r="78" spans="1:27" x14ac:dyDescent="0.25">
      <c r="A78" s="10" t="s">
        <v>757</v>
      </c>
      <c r="B78" s="10" t="s">
        <v>758</v>
      </c>
      <c r="C78" s="13" t="s">
        <v>80</v>
      </c>
      <c r="D78" s="13" t="s">
        <v>80</v>
      </c>
      <c r="E78" s="13" t="s">
        <v>80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</row>
    <row r="79" spans="1:27" x14ac:dyDescent="0.25">
      <c r="A79" s="10" t="s">
        <v>759</v>
      </c>
      <c r="B79" s="10" t="s">
        <v>760</v>
      </c>
      <c r="C79" s="13" t="s">
        <v>80</v>
      </c>
      <c r="D79" s="13" t="s">
        <v>80</v>
      </c>
      <c r="E79" s="13" t="s">
        <v>80</v>
      </c>
      <c r="F79" s="13" t="s">
        <v>80</v>
      </c>
      <c r="G79" s="13" t="s">
        <v>80</v>
      </c>
      <c r="H79" s="13" t="s">
        <v>80</v>
      </c>
      <c r="I79" s="13" t="s">
        <v>80</v>
      </c>
      <c r="J79" s="13" t="s">
        <v>80</v>
      </c>
      <c r="K79" s="13">
        <v>0.488946252940201</v>
      </c>
      <c r="L79" s="13">
        <v>0.56438148327514004</v>
      </c>
      <c r="M79" s="13">
        <v>0.44520709003143699</v>
      </c>
      <c r="N79" s="13">
        <v>7.8226772540111705E-2</v>
      </c>
      <c r="O79" s="13">
        <v>2.3738860614151099E-2</v>
      </c>
      <c r="P79" s="13">
        <v>4.7268534456848997E-2</v>
      </c>
      <c r="Q79" s="13">
        <v>3.8465517874367097E-2</v>
      </c>
      <c r="R79" s="13">
        <v>3.9428476349616999E-2</v>
      </c>
      <c r="S79" s="13">
        <v>4.5194502517082701E-2</v>
      </c>
      <c r="T79" s="13">
        <v>4.4740106265466199E-2</v>
      </c>
      <c r="U79" s="13">
        <v>0.291517142296568</v>
      </c>
      <c r="V79" s="13">
        <v>0.17909238974799499</v>
      </c>
      <c r="W79" s="13">
        <v>0.18169745293992701</v>
      </c>
      <c r="X79" s="13">
        <v>0.46133661051403002</v>
      </c>
      <c r="Y79" s="13">
        <v>0.50108600137415105</v>
      </c>
      <c r="Z79" s="13">
        <v>0.51173332567176599</v>
      </c>
      <c r="AA79" s="13">
        <v>0.53431322183753704</v>
      </c>
    </row>
    <row r="80" spans="1:27" x14ac:dyDescent="0.25">
      <c r="A80" s="10" t="s">
        <v>761</v>
      </c>
      <c r="B80" s="10" t="s">
        <v>762</v>
      </c>
      <c r="C80" s="13" t="s">
        <v>80</v>
      </c>
      <c r="D80" s="13" t="s">
        <v>80</v>
      </c>
      <c r="E80" s="13" t="s">
        <v>80</v>
      </c>
      <c r="F80" s="13" t="s">
        <v>80</v>
      </c>
      <c r="G80" s="13" t="s">
        <v>80</v>
      </c>
      <c r="H80" s="13" t="s">
        <v>80</v>
      </c>
      <c r="I80" s="13" t="s">
        <v>80</v>
      </c>
      <c r="J80" s="13" t="s">
        <v>80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1.35380476034731</v>
      </c>
      <c r="U80" s="13">
        <v>1.65252118657477</v>
      </c>
      <c r="V80" s="13">
        <v>1.4189799899770901</v>
      </c>
      <c r="W80" s="13">
        <v>1.81384088316956</v>
      </c>
      <c r="X80" s="13" t="s">
        <v>80</v>
      </c>
      <c r="Y80" s="13" t="s">
        <v>80</v>
      </c>
      <c r="Z80" s="13" t="s">
        <v>80</v>
      </c>
      <c r="AA80" s="13" t="s">
        <v>80</v>
      </c>
    </row>
    <row r="81" spans="1:27" x14ac:dyDescent="0.25">
      <c r="A81" s="10" t="s">
        <v>763</v>
      </c>
      <c r="B81" s="10" t="s">
        <v>764</v>
      </c>
      <c r="C81" s="13" t="s">
        <v>80</v>
      </c>
      <c r="D81" s="13" t="s">
        <v>80</v>
      </c>
      <c r="E81" s="13" t="s">
        <v>80</v>
      </c>
      <c r="F81" s="13" t="s">
        <v>80</v>
      </c>
      <c r="G81" s="13" t="s">
        <v>80</v>
      </c>
      <c r="H81" s="13" t="s">
        <v>80</v>
      </c>
      <c r="I81" s="13" t="s">
        <v>80</v>
      </c>
      <c r="J81" s="13" t="s">
        <v>80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 t="s">
        <v>80</v>
      </c>
      <c r="U81" s="13" t="s">
        <v>80</v>
      </c>
      <c r="V81" s="13" t="s">
        <v>80</v>
      </c>
      <c r="W81" s="13" t="s">
        <v>80</v>
      </c>
      <c r="X81" s="13" t="s">
        <v>80</v>
      </c>
      <c r="Y81" s="13" t="s">
        <v>80</v>
      </c>
      <c r="Z81" s="13" t="s">
        <v>80</v>
      </c>
      <c r="AA81" s="13" t="s">
        <v>80</v>
      </c>
    </row>
    <row r="82" spans="1:27" x14ac:dyDescent="0.25">
      <c r="A82" s="10" t="s">
        <v>134</v>
      </c>
      <c r="B82" s="10" t="s">
        <v>135</v>
      </c>
      <c r="C82" s="13">
        <v>4.2984346539162097E-3</v>
      </c>
      <c r="D82" s="13">
        <v>2.8009904574132901E-3</v>
      </c>
      <c r="E82" s="13">
        <v>3.1306166612456699E-3</v>
      </c>
      <c r="F82" s="13">
        <v>4.3565259334922297E-3</v>
      </c>
      <c r="G82" s="13">
        <v>5.3397929406321203E-3</v>
      </c>
      <c r="H82" s="13">
        <v>5.5159680425871296E-3</v>
      </c>
      <c r="I82" s="13">
        <v>5.70178336491597E-3</v>
      </c>
      <c r="J82" s="13">
        <v>3.2528289068931202E-3</v>
      </c>
      <c r="K82" s="13">
        <v>3.6146514604911001E-3</v>
      </c>
      <c r="L82" s="13">
        <v>3.8690338628889999E-3</v>
      </c>
      <c r="M82" s="13">
        <v>3.6939325460612102E-3</v>
      </c>
      <c r="N82" s="13">
        <v>3.84003345094625E-3</v>
      </c>
      <c r="O82" s="13">
        <v>3.8193302860185102E-3</v>
      </c>
      <c r="P82" s="13">
        <v>4.0425695503205003E-3</v>
      </c>
      <c r="Q82" s="13">
        <v>4.0972147126851098E-3</v>
      </c>
      <c r="R82" s="13">
        <v>4.0370724671738197E-3</v>
      </c>
      <c r="S82" s="13">
        <v>3.8805137108452801E-3</v>
      </c>
      <c r="T82" s="13">
        <v>3.71859756737243E-3</v>
      </c>
      <c r="U82" s="13">
        <v>4.2756381288726001E-3</v>
      </c>
      <c r="V82" s="13">
        <v>4.3663468508376296E-3</v>
      </c>
      <c r="W82" s="13">
        <v>4.4288911916986499E-3</v>
      </c>
      <c r="X82" s="13">
        <v>3.9909855792455498E-3</v>
      </c>
      <c r="Y82" s="13">
        <v>3.8240261923925801E-3</v>
      </c>
      <c r="Z82" s="13">
        <v>3.6208272549994799E-3</v>
      </c>
      <c r="AA82" s="13">
        <v>3.4073160698405301E-3</v>
      </c>
    </row>
    <row r="83" spans="1:27" x14ac:dyDescent="0.25">
      <c r="A83" s="10" t="s">
        <v>138</v>
      </c>
      <c r="B83" s="10" t="s">
        <v>139</v>
      </c>
      <c r="C83" s="13" t="s">
        <v>80</v>
      </c>
      <c r="D83" s="13" t="s">
        <v>80</v>
      </c>
      <c r="E83" s="13" t="s">
        <v>80</v>
      </c>
      <c r="F83" s="13">
        <v>201.65928952445799</v>
      </c>
      <c r="G83" s="13">
        <v>210.86930231824499</v>
      </c>
      <c r="H83" s="13">
        <v>224.17835068696499</v>
      </c>
      <c r="I83" s="13" t="s">
        <v>80</v>
      </c>
      <c r="J83" s="13" t="s">
        <v>80</v>
      </c>
      <c r="K83" s="13" t="s">
        <v>80</v>
      </c>
      <c r="L83" s="13" t="s">
        <v>80</v>
      </c>
      <c r="M83" s="13" t="s">
        <v>80</v>
      </c>
      <c r="N83" s="13" t="s">
        <v>80</v>
      </c>
      <c r="O83" s="13" t="s">
        <v>80</v>
      </c>
      <c r="P83" s="13" t="s">
        <v>80</v>
      </c>
      <c r="Q83" s="13">
        <v>175.68687232785601</v>
      </c>
      <c r="R83" s="13">
        <v>172.29274224264401</v>
      </c>
      <c r="S83" s="13">
        <v>178.95553436960699</v>
      </c>
      <c r="T83" s="13">
        <v>160.88437305226299</v>
      </c>
      <c r="U83" s="13">
        <v>175.41686445022501</v>
      </c>
      <c r="V83" s="13">
        <v>166.43807497494299</v>
      </c>
      <c r="W83" s="13">
        <v>169.90813553992501</v>
      </c>
      <c r="X83" s="13">
        <v>155.26319857473601</v>
      </c>
      <c r="Y83" s="13">
        <v>173.98005766511201</v>
      </c>
      <c r="Z83" s="13">
        <v>181.93240636465799</v>
      </c>
      <c r="AA83" s="13">
        <v>199.97471776832899</v>
      </c>
    </row>
    <row r="84" spans="1:27" x14ac:dyDescent="0.25">
      <c r="A84" s="10" t="s">
        <v>765</v>
      </c>
      <c r="B84" s="10" t="s">
        <v>143</v>
      </c>
      <c r="C84" s="13">
        <v>4.2862021857923498</v>
      </c>
      <c r="D84" s="13" t="s">
        <v>80</v>
      </c>
      <c r="E84" s="13" t="s">
        <v>80</v>
      </c>
      <c r="F84" s="13">
        <v>1.02372034956305</v>
      </c>
      <c r="G84" s="13">
        <v>0.97325264082192797</v>
      </c>
      <c r="H84" s="13">
        <v>0.878274333829558</v>
      </c>
      <c r="I84" s="13">
        <v>1.00511139780905</v>
      </c>
      <c r="J84" s="13">
        <v>0.85750184134136298</v>
      </c>
      <c r="K84" s="13">
        <v>1.0850974542351199</v>
      </c>
      <c r="L84" s="13">
        <v>1.12842430379404</v>
      </c>
      <c r="M84" s="13">
        <v>0.83795884849091395</v>
      </c>
      <c r="N84" s="13">
        <v>0.92530161494098595</v>
      </c>
      <c r="O84" s="13">
        <v>1.3562934798587201</v>
      </c>
      <c r="P84" s="13">
        <v>1.3017517591363099</v>
      </c>
      <c r="Q84" s="13">
        <v>0.99317800273013401</v>
      </c>
      <c r="R84" s="13">
        <v>0.81317289623450195</v>
      </c>
      <c r="S84" s="13">
        <v>0.92176107911474903</v>
      </c>
      <c r="T84" s="13">
        <v>0.81846624744672802</v>
      </c>
      <c r="U84" s="13">
        <v>0.81050119935949805</v>
      </c>
      <c r="V84" s="13">
        <v>0.499523464347079</v>
      </c>
      <c r="W84" s="13">
        <v>0.45956542810199902</v>
      </c>
      <c r="X84" s="13">
        <v>0.481770682372401</v>
      </c>
      <c r="Y84" s="13">
        <v>0.47871098824146902</v>
      </c>
      <c r="Z84" s="13">
        <v>0.45018450483144101</v>
      </c>
      <c r="AA84" s="13">
        <v>0.68646838778248698</v>
      </c>
    </row>
    <row r="85" spans="1:27" x14ac:dyDescent="0.25">
      <c r="A85" s="10" t="s">
        <v>116</v>
      </c>
      <c r="B85" s="10" t="s">
        <v>117</v>
      </c>
      <c r="C85" s="13">
        <v>88.6118700667881</v>
      </c>
      <c r="D85" s="13">
        <v>84.526268105736406</v>
      </c>
      <c r="E85" s="13">
        <v>81.370481867028104</v>
      </c>
      <c r="F85" s="13">
        <v>71.471456134377505</v>
      </c>
      <c r="G85" s="13">
        <v>74.387313538780205</v>
      </c>
      <c r="H85" s="13">
        <v>72.3849051131008</v>
      </c>
      <c r="I85" s="13">
        <v>75.915989552453993</v>
      </c>
      <c r="J85" s="13">
        <v>84.669121788484006</v>
      </c>
      <c r="K85" s="13">
        <v>83.155775137620793</v>
      </c>
      <c r="L85" s="13">
        <v>82.932074410980803</v>
      </c>
      <c r="M85" s="13">
        <v>83.929374623919401</v>
      </c>
      <c r="N85" s="13">
        <v>83.646785937946603</v>
      </c>
      <c r="O85" s="13">
        <v>84.802758872771605</v>
      </c>
      <c r="P85" s="13">
        <v>83.740170603889695</v>
      </c>
      <c r="Q85" s="13">
        <v>81.153231270380005</v>
      </c>
      <c r="R85" s="13">
        <v>81.687996158089305</v>
      </c>
      <c r="S85" s="13">
        <v>83.617583615368204</v>
      </c>
      <c r="T85" s="13">
        <v>85.938215456009701</v>
      </c>
      <c r="U85" s="13">
        <v>86.238125075157797</v>
      </c>
      <c r="V85" s="13">
        <v>82.834704771620807</v>
      </c>
      <c r="W85" s="13">
        <v>85.833271650929106</v>
      </c>
      <c r="X85" s="13">
        <v>86.525734370591906</v>
      </c>
      <c r="Y85" s="13">
        <v>89.055365629254396</v>
      </c>
      <c r="Z85" s="13">
        <v>88.183314321046893</v>
      </c>
      <c r="AA85" s="13">
        <v>89.134027767355704</v>
      </c>
    </row>
    <row r="86" spans="1:27" x14ac:dyDescent="0.25">
      <c r="A86" s="10" t="s">
        <v>766</v>
      </c>
      <c r="B86" s="10" t="s">
        <v>155</v>
      </c>
      <c r="C86" s="13">
        <v>1.3685109289617501E-3</v>
      </c>
      <c r="D86" s="13">
        <v>6.6268096915276099E-4</v>
      </c>
      <c r="E86" s="13">
        <v>5.0429578374096003E-4</v>
      </c>
      <c r="F86" s="13">
        <v>7.6390364317330598E-4</v>
      </c>
      <c r="G86" s="13">
        <v>1.6407924831876E-3</v>
      </c>
      <c r="H86" s="13">
        <v>1.1972163097122E-3</v>
      </c>
      <c r="I86" s="13">
        <v>9.0559772863439897E-4</v>
      </c>
      <c r="J86" s="13">
        <v>2.81066158312032E-4</v>
      </c>
      <c r="K86" s="13">
        <v>1.8042892558777599E-4</v>
      </c>
      <c r="L86" s="13">
        <v>1.9614246187504001E-4</v>
      </c>
      <c r="M86" s="13">
        <v>1.4467023684486599E-4</v>
      </c>
      <c r="N86" s="13">
        <v>1.3608469002777799E-4</v>
      </c>
      <c r="O86" s="13">
        <v>1.39515965625335E-4</v>
      </c>
      <c r="P86" s="13">
        <v>1.3178713312240101E-4</v>
      </c>
      <c r="Q86" s="13">
        <v>1.24320136573448E-4</v>
      </c>
      <c r="R86" s="13">
        <v>1.2345521201086E-4</v>
      </c>
      <c r="S86" s="13">
        <v>1.3465753718023201E-4</v>
      </c>
      <c r="T86" s="13">
        <v>1.32598196819441E-4</v>
      </c>
      <c r="U86" s="13">
        <v>1.4447111094233601E-4</v>
      </c>
      <c r="V86" s="13">
        <v>1.01330104972079E-4</v>
      </c>
      <c r="W86" s="13">
        <v>1.04078008340902E-4</v>
      </c>
      <c r="X86" s="13">
        <v>1.1188852368420001E-4</v>
      </c>
      <c r="Y86" s="13">
        <v>1.06065255033389E-4</v>
      </c>
      <c r="Z86" s="13">
        <v>9.5814275522628802E-5</v>
      </c>
      <c r="AA86" s="13">
        <v>8.9242506627446494E-5</v>
      </c>
    </row>
    <row r="87" spans="1:27" x14ac:dyDescent="0.25">
      <c r="A87" s="10" t="s">
        <v>767</v>
      </c>
      <c r="B87" s="10" t="s">
        <v>768</v>
      </c>
      <c r="C87" s="13">
        <v>0.67452185792349695</v>
      </c>
      <c r="D87" s="13">
        <v>-0.40562499105356198</v>
      </c>
      <c r="E87" s="13">
        <v>-0.455071299910497</v>
      </c>
      <c r="F87" s="13" t="s">
        <v>80</v>
      </c>
      <c r="G87" s="13" t="s">
        <v>80</v>
      </c>
      <c r="H87" s="13" t="s">
        <v>80</v>
      </c>
      <c r="I87" s="13">
        <v>-7.4502232646237704E-2</v>
      </c>
      <c r="J87" s="13">
        <v>-8.1625579480958402E-2</v>
      </c>
      <c r="K87" s="13">
        <v>-0.248793062711368</v>
      </c>
      <c r="L87" s="13">
        <v>-0.22690404668127401</v>
      </c>
      <c r="M87" s="13">
        <v>4.7028917961067299E-3</v>
      </c>
      <c r="N87" s="13">
        <v>0.106702626979399</v>
      </c>
      <c r="O87" s="13">
        <v>1.9865155325649499E-2</v>
      </c>
      <c r="P87" s="13">
        <v>-0.21047703878570001</v>
      </c>
      <c r="Q87" s="13">
        <v>-0.232378453969875</v>
      </c>
      <c r="R87" s="13">
        <v>-0.31495466908074099</v>
      </c>
      <c r="S87" s="13">
        <v>-0.21777547046221701</v>
      </c>
      <c r="T87" s="13">
        <v>-0.26646590186797697</v>
      </c>
      <c r="U87" s="13">
        <v>-3.9620002405048101E-2</v>
      </c>
      <c r="V87" s="13">
        <v>9.0497028923253106E-2</v>
      </c>
      <c r="W87" s="13">
        <v>0.180778970424323</v>
      </c>
      <c r="X87" s="13">
        <v>0</v>
      </c>
      <c r="Y87" s="13">
        <v>0</v>
      </c>
      <c r="Z87" s="13">
        <v>0</v>
      </c>
      <c r="AA87" s="13">
        <v>-0.13226032001840901</v>
      </c>
    </row>
    <row r="88" spans="1:27" x14ac:dyDescent="0.25">
      <c r="A88" s="10" t="s">
        <v>769</v>
      </c>
      <c r="B88" s="10" t="s">
        <v>770</v>
      </c>
      <c r="C88" s="13">
        <v>88.385132058287795</v>
      </c>
      <c r="D88" s="13">
        <v>91.950788335071607</v>
      </c>
      <c r="E88" s="13">
        <v>91.331673000656295</v>
      </c>
      <c r="F88" s="13">
        <v>88.597775507887903</v>
      </c>
      <c r="G88" s="13">
        <v>85.359146524210402</v>
      </c>
      <c r="H88" s="13">
        <v>84.352725892243996</v>
      </c>
      <c r="I88" s="13">
        <v>82.335644385669298</v>
      </c>
      <c r="J88" s="13">
        <v>88.521641176725396</v>
      </c>
      <c r="K88" s="13">
        <v>70.586876562670795</v>
      </c>
      <c r="L88" s="13">
        <v>68.155541030686194</v>
      </c>
      <c r="M88" s="13">
        <v>63.241594786784098</v>
      </c>
      <c r="N88" s="13">
        <v>61.021028491128803</v>
      </c>
      <c r="O88" s="13">
        <v>59.804944039857403</v>
      </c>
      <c r="P88" s="13">
        <v>56.969513161418</v>
      </c>
      <c r="Q88" s="13">
        <v>48.183109215370202</v>
      </c>
      <c r="R88" s="13">
        <v>44.371782143473901</v>
      </c>
      <c r="S88" s="13">
        <v>45.458063267872703</v>
      </c>
      <c r="T88" s="13">
        <v>49.843872456756401</v>
      </c>
      <c r="U88" s="13">
        <v>46.779324181492498</v>
      </c>
      <c r="V88" s="13">
        <v>39.812092819301299</v>
      </c>
      <c r="W88" s="13">
        <v>39.643056083082698</v>
      </c>
      <c r="X88" s="13">
        <v>41.117796868901202</v>
      </c>
      <c r="Y88" s="13">
        <v>41.284404879599101</v>
      </c>
      <c r="Z88" s="13">
        <v>42.490578498216898</v>
      </c>
      <c r="AA88" s="13">
        <v>40.975532418016499</v>
      </c>
    </row>
    <row r="89" spans="1:27" x14ac:dyDescent="0.25">
      <c r="A89" s="10" t="s">
        <v>771</v>
      </c>
      <c r="B89" s="10" t="s">
        <v>772</v>
      </c>
      <c r="C89" s="13">
        <v>12.3055176077717</v>
      </c>
      <c r="D89" s="13">
        <v>8.3470533770664002</v>
      </c>
      <c r="E89" s="13">
        <v>0.71264518965317902</v>
      </c>
      <c r="F89" s="13">
        <v>-6.6031097491771602</v>
      </c>
      <c r="G89" s="13">
        <v>-7.3001835036043499</v>
      </c>
      <c r="H89" s="13">
        <v>-6.47807300042229</v>
      </c>
      <c r="I89" s="13">
        <v>-2.7261948325993601</v>
      </c>
      <c r="J89" s="13">
        <v>33.901650708374902</v>
      </c>
      <c r="K89" s="13">
        <v>29.154456234637799</v>
      </c>
      <c r="L89" s="13">
        <v>27.080828640031999</v>
      </c>
      <c r="M89" s="13">
        <v>28.6972869137815</v>
      </c>
      <c r="N89" s="13">
        <v>24.575644307120299</v>
      </c>
      <c r="O89" s="13">
        <v>28.7954365765186</v>
      </c>
      <c r="P89" s="13">
        <v>25.373731081201701</v>
      </c>
      <c r="Q89" s="13">
        <v>21.2964631748988</v>
      </c>
      <c r="R89" s="13">
        <v>23.928669154866402</v>
      </c>
      <c r="S89" s="13">
        <v>21.058644297849501</v>
      </c>
      <c r="T89" s="13">
        <v>23.288613797231701</v>
      </c>
      <c r="U89" s="13">
        <v>22.8473237511155</v>
      </c>
      <c r="V89" s="13">
        <v>15.9884982638889</v>
      </c>
      <c r="W89" s="13">
        <v>18.830296307862401</v>
      </c>
      <c r="X89" s="13">
        <v>19.4387924671219</v>
      </c>
      <c r="Y89" s="13">
        <v>17.3302169497099</v>
      </c>
      <c r="Z89" s="13">
        <v>20.099433111485101</v>
      </c>
      <c r="AA89" s="13">
        <v>18.6242309987867</v>
      </c>
    </row>
    <row r="90" spans="1:27" x14ac:dyDescent="0.25">
      <c r="A90" s="10" t="s">
        <v>773</v>
      </c>
      <c r="B90" s="10" t="s">
        <v>157</v>
      </c>
      <c r="C90" s="13">
        <v>1.72240057680631E-2</v>
      </c>
      <c r="D90" s="13">
        <v>9.9839864269952797E-3</v>
      </c>
      <c r="E90" s="13">
        <v>8.4449517892525305E-3</v>
      </c>
      <c r="F90" s="13">
        <v>1.02700811485643E-2</v>
      </c>
      <c r="G90" s="13">
        <v>1.6704578125739399E-2</v>
      </c>
      <c r="H90" s="13">
        <v>1.09110332413399E-2</v>
      </c>
      <c r="I90" s="13">
        <v>7.9865050701305902E-3</v>
      </c>
      <c r="J90" s="13">
        <v>3.4271350461418499E-3</v>
      </c>
      <c r="K90" s="13">
        <v>2.6076200148817401E-3</v>
      </c>
      <c r="L90" s="13">
        <v>2.5956285411424499E-3</v>
      </c>
      <c r="M90" s="13">
        <v>1.75613287236955E-3</v>
      </c>
      <c r="N90" s="13">
        <v>1.5555716664157301E-3</v>
      </c>
      <c r="O90" s="13">
        <v>1.42325961374192E-3</v>
      </c>
      <c r="P90" s="13">
        <v>1.20821853181564E-3</v>
      </c>
      <c r="Q90" s="13">
        <v>1.10497156388614E-3</v>
      </c>
      <c r="R90" s="13">
        <v>1.1025206624930299E-3</v>
      </c>
      <c r="S90" s="13">
        <v>1.23249691503212E-3</v>
      </c>
      <c r="T90" s="13">
        <v>1.24022117040118E-3</v>
      </c>
      <c r="U90" s="13">
        <v>1.2633384598831701E-3</v>
      </c>
      <c r="V90" s="13">
        <v>8.2044410661870001E-4</v>
      </c>
      <c r="W90" s="13">
        <v>8.2965445066911399E-4</v>
      </c>
      <c r="X90" s="13">
        <v>9.3287441209774404E-4</v>
      </c>
      <c r="Y90" s="13">
        <v>9.4942301918492504E-4</v>
      </c>
      <c r="Z90" s="13">
        <v>9.11739436041225E-4</v>
      </c>
      <c r="AA90" s="13">
        <v>9.0762076498568703E-4</v>
      </c>
    </row>
    <row r="91" spans="1:27" x14ac:dyDescent="0.25">
      <c r="A91" s="10" t="s">
        <v>774</v>
      </c>
      <c r="B91" s="10" t="s">
        <v>161</v>
      </c>
      <c r="C91" s="13" t="s">
        <v>80</v>
      </c>
      <c r="D91" s="13" t="s">
        <v>80</v>
      </c>
      <c r="E91" s="13" t="s">
        <v>80</v>
      </c>
      <c r="F91" s="13" t="s">
        <v>80</v>
      </c>
      <c r="G91" s="13" t="s">
        <v>80</v>
      </c>
      <c r="H91" s="13" t="s">
        <v>80</v>
      </c>
      <c r="I91" s="13" t="s">
        <v>80</v>
      </c>
      <c r="J91" s="13">
        <v>9.8300714873705603E-4</v>
      </c>
      <c r="K91" s="13">
        <v>1.19562152421456E-3</v>
      </c>
      <c r="L91" s="13">
        <v>1.2439462339008201E-3</v>
      </c>
      <c r="M91" s="13">
        <v>8.1756083914060103E-4</v>
      </c>
      <c r="N91" s="13">
        <v>7.4481946744697097E-4</v>
      </c>
      <c r="O91" s="13">
        <v>8.5047557181849604E-4</v>
      </c>
      <c r="P91" s="13">
        <v>8.3351184263494305E-4</v>
      </c>
      <c r="Q91" s="13">
        <v>7.6041722988194995E-4</v>
      </c>
      <c r="R91" s="13">
        <v>7.2665893342817203E-4</v>
      </c>
      <c r="S91" s="13">
        <v>7.3273462925369296E-4</v>
      </c>
      <c r="T91" s="13">
        <v>5.0073108419162397E-4</v>
      </c>
      <c r="U91" s="13">
        <v>6.8052284479212105E-4</v>
      </c>
      <c r="V91" s="13">
        <v>6.2093579968499398E-4</v>
      </c>
      <c r="W91" s="13">
        <v>6.1458847390888295E-4</v>
      </c>
      <c r="X91" s="13">
        <v>4.5609688938355798E-4</v>
      </c>
      <c r="Y91" s="13">
        <v>4.0447526637914699E-4</v>
      </c>
      <c r="Z91" s="13">
        <v>3.4403330515549299E-4</v>
      </c>
      <c r="AA91" s="13">
        <v>3.1575013766694599E-4</v>
      </c>
    </row>
    <row r="92" spans="1:27" x14ac:dyDescent="0.25">
      <c r="A92" s="10" t="s">
        <v>775</v>
      </c>
      <c r="B92" s="10" t="s">
        <v>163</v>
      </c>
      <c r="C92" s="13" t="s">
        <v>80</v>
      </c>
      <c r="D92" s="13" t="s">
        <v>80</v>
      </c>
      <c r="E92" s="13" t="s">
        <v>80</v>
      </c>
      <c r="F92" s="13" t="s">
        <v>80</v>
      </c>
      <c r="G92" s="13" t="s">
        <v>80</v>
      </c>
      <c r="H92" s="13" t="s">
        <v>80</v>
      </c>
      <c r="I92" s="13" t="s">
        <v>80</v>
      </c>
      <c r="J92" s="13" t="s">
        <v>80</v>
      </c>
      <c r="K92" s="13" t="s">
        <v>80</v>
      </c>
      <c r="L92" s="13">
        <v>3.2898533251602699E-3</v>
      </c>
      <c r="M92" s="13">
        <v>1.7041692944576999E-3</v>
      </c>
      <c r="N92" s="13">
        <v>1.6912332554338699E-3</v>
      </c>
      <c r="O92" s="13">
        <v>1.8836861384919201E-3</v>
      </c>
      <c r="P92" s="13">
        <v>1.7978101644653599E-3</v>
      </c>
      <c r="Q92" s="13">
        <v>1.45822578007403E-3</v>
      </c>
      <c r="R92" s="13">
        <v>1.4070874263377501E-3</v>
      </c>
      <c r="S92" s="13">
        <v>1.5596094072504701E-3</v>
      </c>
      <c r="T92" s="13">
        <v>1.0559827087203101E-3</v>
      </c>
      <c r="U92" s="13">
        <v>1.3211222080872899E-3</v>
      </c>
      <c r="V92" s="13">
        <v>1.17110840403064E-3</v>
      </c>
      <c r="W92" s="13">
        <v>1.3039106284095301E-3</v>
      </c>
      <c r="X92" s="13">
        <v>1.0833798534543701E-3</v>
      </c>
      <c r="Y92" s="13">
        <v>9.5319622007342E-4</v>
      </c>
      <c r="Z92" s="13">
        <v>8.1461907916327602E-4</v>
      </c>
      <c r="AA92" s="13">
        <v>7.7216853435785999E-4</v>
      </c>
    </row>
    <row r="93" spans="1:27" x14ac:dyDescent="0.25">
      <c r="A93" s="10" t="s">
        <v>776</v>
      </c>
      <c r="B93" s="10" t="s">
        <v>84</v>
      </c>
      <c r="C93" s="13" t="s">
        <v>80</v>
      </c>
      <c r="D93" s="13" t="s">
        <v>80</v>
      </c>
      <c r="E93" s="13" t="s">
        <v>80</v>
      </c>
      <c r="F93" s="13">
        <v>9.1930547043468404E-3</v>
      </c>
      <c r="G93" s="13">
        <v>8.4653525214657098E-3</v>
      </c>
      <c r="H93" s="13">
        <v>7.4220366239117503E-3</v>
      </c>
      <c r="I93" s="13">
        <v>5.5569393106236096E-3</v>
      </c>
      <c r="J93" s="13">
        <v>1.6290455352887701E-3</v>
      </c>
      <c r="K93" s="13" t="s">
        <v>80</v>
      </c>
      <c r="L93" s="13" t="s">
        <v>80</v>
      </c>
      <c r="M93" s="13">
        <v>1.2975157878489299E-3</v>
      </c>
      <c r="N93" s="13">
        <v>1.2808679353150799E-3</v>
      </c>
      <c r="O93" s="13">
        <v>1.26441713647759E-3</v>
      </c>
      <c r="P93" s="13">
        <v>1.24774358778195E-3</v>
      </c>
      <c r="Q93" s="13">
        <v>1.1013987764460899E-3</v>
      </c>
      <c r="R93" s="13">
        <v>9.9990616022628803E-4</v>
      </c>
      <c r="S93" s="13">
        <v>1.11657006218675E-3</v>
      </c>
      <c r="T93" s="13">
        <v>9.3985078403179304E-4</v>
      </c>
      <c r="U93" s="13">
        <v>1.10442338972538E-3</v>
      </c>
      <c r="V93" s="13">
        <v>1.0761204180985101E-3</v>
      </c>
      <c r="W93" s="13">
        <v>1.28479495418123E-3</v>
      </c>
      <c r="X93" s="13">
        <v>1.08546949091626E-3</v>
      </c>
      <c r="Y93" s="13">
        <v>8.9895681446630301E-4</v>
      </c>
      <c r="Z93" s="13">
        <v>8.7244745385760595E-4</v>
      </c>
      <c r="AA93" s="13">
        <v>7.5654288378293E-4</v>
      </c>
    </row>
    <row r="94" spans="1:27" x14ac:dyDescent="0.25">
      <c r="A94" s="10" t="s">
        <v>777</v>
      </c>
      <c r="B94" s="10" t="s">
        <v>86</v>
      </c>
      <c r="C94" s="13" t="s">
        <v>80</v>
      </c>
      <c r="D94" s="13" t="s">
        <v>80</v>
      </c>
      <c r="E94" s="13" t="s">
        <v>80</v>
      </c>
      <c r="F94" s="13">
        <v>1.1803426966292101E-2</v>
      </c>
      <c r="G94" s="13">
        <v>1.1146924342883601E-2</v>
      </c>
      <c r="H94" s="13">
        <v>1.0237291895050699E-2</v>
      </c>
      <c r="I94" s="13">
        <v>4.7928601554128704E-3</v>
      </c>
      <c r="J94" s="13">
        <v>2.4782288462371601E-3</v>
      </c>
      <c r="K94" s="13">
        <v>4.3058303270103598E-3</v>
      </c>
      <c r="L94" s="13">
        <v>4.0097670338899803E-3</v>
      </c>
      <c r="M94" s="13">
        <v>1.55557190178915E-3</v>
      </c>
      <c r="N94" s="13">
        <v>1.5983573468795499E-3</v>
      </c>
      <c r="O94" s="13">
        <v>1.5018057426191E-3</v>
      </c>
      <c r="P94" s="13">
        <v>1.24774358778195E-3</v>
      </c>
      <c r="Q94" s="13">
        <v>1.1013987764460899E-3</v>
      </c>
      <c r="R94" s="13">
        <v>9.9990616022628803E-4</v>
      </c>
      <c r="S94" s="13">
        <v>1.27238770975382E-3</v>
      </c>
      <c r="T94" s="13">
        <v>1.0595691373490399E-3</v>
      </c>
      <c r="U94" s="13">
        <v>1.17404320225821E-3</v>
      </c>
      <c r="V94" s="13">
        <v>1.12981457617411E-3</v>
      </c>
      <c r="W94" s="13">
        <v>1.3339607829577201E-3</v>
      </c>
      <c r="X94" s="13">
        <v>1.10430941532468E-3</v>
      </c>
      <c r="Y94" s="13">
        <v>9.0950691889035804E-4</v>
      </c>
      <c r="Z94" s="13">
        <v>8.8134997889696904E-4</v>
      </c>
      <c r="AA94" s="13">
        <v>7.7193541448044602E-4</v>
      </c>
    </row>
    <row r="95" spans="1:27" x14ac:dyDescent="0.25">
      <c r="A95" s="10" t="s">
        <v>778</v>
      </c>
      <c r="B95" s="10" t="s">
        <v>779</v>
      </c>
      <c r="C95" s="13">
        <v>11174</v>
      </c>
      <c r="D95" s="13">
        <v>15084</v>
      </c>
      <c r="E95" s="13">
        <v>15863</v>
      </c>
      <c r="F95" s="13" t="s">
        <v>80</v>
      </c>
      <c r="G95" s="13" t="s">
        <v>80</v>
      </c>
      <c r="H95" s="13" t="s">
        <v>80</v>
      </c>
      <c r="I95" s="13">
        <v>17361</v>
      </c>
      <c r="J95" s="13">
        <v>19997</v>
      </c>
      <c r="K95" s="13" t="s">
        <v>80</v>
      </c>
      <c r="L95" s="13">
        <v>19759</v>
      </c>
      <c r="M95" s="13">
        <v>23898</v>
      </c>
      <c r="N95" s="13" t="s">
        <v>80</v>
      </c>
      <c r="O95" s="13" t="s">
        <v>80</v>
      </c>
      <c r="P95" s="13">
        <v>27943</v>
      </c>
      <c r="Q95" s="13">
        <v>27594</v>
      </c>
      <c r="R95" s="13">
        <v>27913</v>
      </c>
      <c r="S95" s="13" t="s">
        <v>80</v>
      </c>
      <c r="T95" s="13">
        <v>30548</v>
      </c>
      <c r="U95" s="13" t="s">
        <v>80</v>
      </c>
      <c r="V95" s="13" t="s">
        <v>80</v>
      </c>
      <c r="W95" s="13" t="s">
        <v>80</v>
      </c>
      <c r="X95" s="13" t="s">
        <v>80</v>
      </c>
      <c r="Y95" s="13">
        <v>30941</v>
      </c>
      <c r="Z95" s="13" t="s">
        <v>80</v>
      </c>
      <c r="AA95" s="13" t="s">
        <v>80</v>
      </c>
    </row>
    <row r="96" spans="1:27" x14ac:dyDescent="0.25">
      <c r="A96" s="7" t="s">
        <v>87</v>
      </c>
      <c r="B96" s="7"/>
      <c r="C96" s="7" t="s">
        <v>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74"/>
  <sheetViews>
    <sheetView topLeftCell="M1" workbookViewId="0">
      <selection activeCell="R15" sqref="R15:R16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637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263</v>
      </c>
    </row>
    <row r="5" spans="1:27" x14ac:dyDescent="0.25">
      <c r="A5" s="9" t="s">
        <v>31</v>
      </c>
      <c r="B5" s="9"/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</row>
    <row r="6" spans="1:27" x14ac:dyDescent="0.25">
      <c r="A6" s="6" t="s">
        <v>1129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21"/>
    </row>
    <row r="7" spans="1:27" x14ac:dyDescent="0.25">
      <c r="A7" s="10" t="s">
        <v>1130</v>
      </c>
      <c r="B7" s="10" t="s">
        <v>1131</v>
      </c>
      <c r="C7" s="13">
        <v>2015.8630000000001</v>
      </c>
      <c r="D7" s="13">
        <v>2218.4899999999998</v>
      </c>
      <c r="E7" s="13">
        <v>2621</v>
      </c>
      <c r="F7" s="13">
        <v>5717</v>
      </c>
      <c r="G7" s="13">
        <v>5959</v>
      </c>
      <c r="H7" s="13">
        <v>6810.2650000000003</v>
      </c>
      <c r="I7" s="13">
        <v>7014</v>
      </c>
      <c r="J7" s="13">
        <v>5854</v>
      </c>
      <c r="K7" s="13">
        <v>6705</v>
      </c>
      <c r="L7" s="13">
        <v>8517</v>
      </c>
      <c r="M7" s="13">
        <v>10888</v>
      </c>
      <c r="N7" s="13">
        <v>13508</v>
      </c>
      <c r="O7" s="13">
        <v>15228</v>
      </c>
      <c r="P7" s="13">
        <v>17108</v>
      </c>
      <c r="Q7" s="13">
        <v>19308</v>
      </c>
      <c r="R7" s="13">
        <v>23908</v>
      </c>
      <c r="S7" s="13">
        <v>31958</v>
      </c>
      <c r="T7" s="13">
        <v>36528</v>
      </c>
      <c r="U7" s="13">
        <v>30508</v>
      </c>
      <c r="V7" s="13">
        <v>35048</v>
      </c>
      <c r="W7" s="13">
        <v>45408</v>
      </c>
      <c r="X7" s="13">
        <v>52418</v>
      </c>
      <c r="Y7" s="13">
        <v>56188</v>
      </c>
      <c r="Z7" s="13">
        <v>58788</v>
      </c>
      <c r="AA7" s="16">
        <v>58958</v>
      </c>
    </row>
    <row r="8" spans="1:27" x14ac:dyDescent="0.25">
      <c r="A8" s="10" t="s">
        <v>1132</v>
      </c>
      <c r="B8" s="10" t="s">
        <v>1133</v>
      </c>
      <c r="C8" s="13">
        <v>1589.3440000000001</v>
      </c>
      <c r="D8" s="13">
        <v>1751.4839999999999</v>
      </c>
      <c r="E8" s="13">
        <v>2264</v>
      </c>
      <c r="F8" s="13">
        <v>2393</v>
      </c>
      <c r="G8" s="13">
        <v>2418</v>
      </c>
      <c r="H8" s="13">
        <v>980.70600000000002</v>
      </c>
      <c r="I8" s="13">
        <v>1099</v>
      </c>
      <c r="J8" s="13">
        <v>954</v>
      </c>
      <c r="K8" s="13">
        <v>1181</v>
      </c>
      <c r="L8" s="13">
        <v>1616</v>
      </c>
      <c r="M8" s="13">
        <v>1148</v>
      </c>
      <c r="N8" s="13">
        <v>1216</v>
      </c>
      <c r="O8" s="13">
        <v>1262</v>
      </c>
      <c r="P8" s="13">
        <v>1325</v>
      </c>
      <c r="Q8" s="13">
        <v>1170</v>
      </c>
      <c r="R8" s="13">
        <v>1688</v>
      </c>
      <c r="S8" s="13">
        <v>2217</v>
      </c>
      <c r="T8" s="13">
        <v>2087</v>
      </c>
      <c r="U8" s="13">
        <v>2287</v>
      </c>
      <c r="V8" s="13">
        <v>2590</v>
      </c>
      <c r="W8" s="13">
        <v>4368</v>
      </c>
      <c r="X8" s="13">
        <v>4485</v>
      </c>
      <c r="Y8" s="13">
        <v>5251</v>
      </c>
      <c r="Z8" s="13">
        <v>5524</v>
      </c>
      <c r="AA8" s="16">
        <v>5565</v>
      </c>
    </row>
    <row r="9" spans="1:27" x14ac:dyDescent="0.25">
      <c r="A9" s="10" t="s">
        <v>1134</v>
      </c>
      <c r="B9" s="10" t="s">
        <v>1135</v>
      </c>
      <c r="C9" s="13" t="s">
        <v>80</v>
      </c>
      <c r="D9" s="13" t="s">
        <v>80</v>
      </c>
      <c r="E9" s="13" t="s">
        <v>80</v>
      </c>
      <c r="F9" s="13">
        <v>1446</v>
      </c>
      <c r="G9" s="13">
        <v>1530</v>
      </c>
      <c r="H9" s="13">
        <v>2645.4769999999999</v>
      </c>
      <c r="I9" s="13">
        <v>6896</v>
      </c>
      <c r="J9" s="13">
        <v>8468</v>
      </c>
      <c r="K9" s="13">
        <v>7053</v>
      </c>
      <c r="L9" s="13">
        <v>5438</v>
      </c>
      <c r="M9" s="13">
        <v>6172</v>
      </c>
      <c r="N9" s="13">
        <v>8942</v>
      </c>
      <c r="O9" s="13">
        <v>11196</v>
      </c>
      <c r="P9" s="13">
        <v>10687</v>
      </c>
      <c r="Q9" s="13">
        <v>13313</v>
      </c>
      <c r="R9" s="13">
        <v>15213</v>
      </c>
      <c r="S9" s="13">
        <v>16079</v>
      </c>
      <c r="T9" s="13">
        <v>15347</v>
      </c>
      <c r="U9" s="13">
        <v>21930</v>
      </c>
      <c r="V9" s="13">
        <v>11351</v>
      </c>
      <c r="W9" s="13">
        <v>11881</v>
      </c>
      <c r="X9" s="13">
        <v>15942</v>
      </c>
      <c r="Y9" s="13">
        <v>18122</v>
      </c>
      <c r="Z9" s="13">
        <v>21589</v>
      </c>
      <c r="AA9" s="16">
        <v>23069</v>
      </c>
    </row>
    <row r="10" spans="1:27" x14ac:dyDescent="0.25">
      <c r="A10" s="10" t="s">
        <v>1136</v>
      </c>
      <c r="B10" s="10" t="s">
        <v>1137</v>
      </c>
      <c r="C10" s="13">
        <v>352.72300000000001</v>
      </c>
      <c r="D10" s="13">
        <v>-354.899</v>
      </c>
      <c r="E10" s="13">
        <v>399</v>
      </c>
      <c r="F10" s="13">
        <v>1711</v>
      </c>
      <c r="G10" s="13">
        <v>-1779</v>
      </c>
      <c r="H10" s="13">
        <v>1723.1469999999999</v>
      </c>
      <c r="I10" s="13">
        <v>-404</v>
      </c>
      <c r="J10" s="13">
        <v>1867</v>
      </c>
      <c r="K10" s="13">
        <v>3369</v>
      </c>
      <c r="L10" s="13">
        <v>8939</v>
      </c>
      <c r="M10" s="13">
        <v>5691</v>
      </c>
      <c r="N10" s="13">
        <v>-714</v>
      </c>
      <c r="O10" s="13">
        <v>682</v>
      </c>
      <c r="P10" s="13">
        <v>-7019</v>
      </c>
      <c r="Q10" s="13">
        <v>-4790</v>
      </c>
      <c r="R10" s="13">
        <v>7176</v>
      </c>
      <c r="S10" s="13">
        <v>-1294</v>
      </c>
      <c r="T10" s="13">
        <v>3192</v>
      </c>
      <c r="U10" s="13">
        <v>-3985</v>
      </c>
      <c r="V10" s="13">
        <v>17099</v>
      </c>
      <c r="W10" s="13">
        <v>9270</v>
      </c>
      <c r="X10" s="13">
        <v>7199</v>
      </c>
      <c r="Y10" s="13">
        <v>10294</v>
      </c>
      <c r="Z10" s="13">
        <v>10080</v>
      </c>
      <c r="AA10" s="16">
        <v>12973</v>
      </c>
    </row>
    <row r="11" spans="1:27" x14ac:dyDescent="0.25">
      <c r="A11" s="10" t="s">
        <v>1138</v>
      </c>
      <c r="B11" s="10" t="s">
        <v>1139</v>
      </c>
      <c r="C11" s="13" t="s">
        <v>80</v>
      </c>
      <c r="D11" s="13" t="s">
        <v>80</v>
      </c>
      <c r="E11" s="13" t="s">
        <v>80</v>
      </c>
      <c r="F11" s="13" t="s">
        <v>80</v>
      </c>
      <c r="G11" s="13" t="s">
        <v>80</v>
      </c>
      <c r="H11" s="13">
        <v>-487.28800000000001</v>
      </c>
      <c r="I11" s="13">
        <v>-257</v>
      </c>
      <c r="J11" s="13" t="s">
        <v>80</v>
      </c>
      <c r="K11" s="13" t="s">
        <v>80</v>
      </c>
      <c r="L11" s="13" t="s">
        <v>80</v>
      </c>
      <c r="M11" s="13" t="s">
        <v>80</v>
      </c>
      <c r="N11" s="13" t="s">
        <v>80</v>
      </c>
      <c r="O11" s="13" t="s">
        <v>80</v>
      </c>
      <c r="P11" s="13" t="s">
        <v>80</v>
      </c>
      <c r="Q11" s="13" t="s">
        <v>80</v>
      </c>
      <c r="R11" s="13" t="s">
        <v>80</v>
      </c>
      <c r="S11" s="13" t="s">
        <v>80</v>
      </c>
      <c r="T11" s="13" t="s">
        <v>80</v>
      </c>
      <c r="U11" s="13" t="s">
        <v>80</v>
      </c>
      <c r="V11" s="13" t="s">
        <v>80</v>
      </c>
      <c r="W11" s="13" t="s">
        <v>80</v>
      </c>
      <c r="X11" s="13" t="s">
        <v>80</v>
      </c>
      <c r="Y11" s="13" t="s">
        <v>80</v>
      </c>
      <c r="Z11" s="13" t="s">
        <v>80</v>
      </c>
      <c r="AA11" s="16"/>
    </row>
    <row r="12" spans="1:27" x14ac:dyDescent="0.25">
      <c r="A12" s="10" t="s">
        <v>1140</v>
      </c>
      <c r="B12" s="10" t="s">
        <v>1141</v>
      </c>
      <c r="C12" s="13">
        <v>352.72300000000001</v>
      </c>
      <c r="D12" s="13">
        <v>-354.899</v>
      </c>
      <c r="E12" s="13">
        <v>399</v>
      </c>
      <c r="F12" s="13">
        <v>1711</v>
      </c>
      <c r="G12" s="13">
        <v>-1779</v>
      </c>
      <c r="H12" s="13">
        <v>2210.4349999999999</v>
      </c>
      <c r="I12" s="13">
        <v>-147</v>
      </c>
      <c r="J12" s="13">
        <v>1867</v>
      </c>
      <c r="K12" s="13">
        <v>3369</v>
      </c>
      <c r="L12" s="13">
        <v>8939</v>
      </c>
      <c r="M12" s="13">
        <v>5691</v>
      </c>
      <c r="N12" s="13">
        <v>-714</v>
      </c>
      <c r="O12" s="13">
        <v>682</v>
      </c>
      <c r="P12" s="13">
        <v>-7019</v>
      </c>
      <c r="Q12" s="13">
        <v>-4790</v>
      </c>
      <c r="R12" s="13">
        <v>7176</v>
      </c>
      <c r="S12" s="13">
        <v>-1294</v>
      </c>
      <c r="T12" s="13">
        <v>3192</v>
      </c>
      <c r="U12" s="13">
        <v>-3985</v>
      </c>
      <c r="V12" s="13">
        <v>17099</v>
      </c>
      <c r="W12" s="13">
        <v>9270</v>
      </c>
      <c r="X12" s="13">
        <v>7199</v>
      </c>
      <c r="Y12" s="13">
        <v>10294</v>
      </c>
      <c r="Z12" s="13">
        <v>10080</v>
      </c>
      <c r="AA12" s="16">
        <v>12973</v>
      </c>
    </row>
    <row r="13" spans="1:27" x14ac:dyDescent="0.25">
      <c r="A13" s="10" t="s">
        <v>1142</v>
      </c>
      <c r="B13" s="10" t="s">
        <v>1143</v>
      </c>
      <c r="C13" s="13">
        <v>15745.266</v>
      </c>
      <c r="D13" s="13">
        <v>-15621.191999999999</v>
      </c>
      <c r="E13" s="13">
        <v>1327</v>
      </c>
      <c r="F13" s="13">
        <v>-9916</v>
      </c>
      <c r="G13" s="13">
        <v>-5103</v>
      </c>
      <c r="H13" s="13">
        <v>-10634.198</v>
      </c>
      <c r="I13" s="13">
        <v>-11721</v>
      </c>
      <c r="J13" s="13">
        <v>-14718</v>
      </c>
      <c r="K13" s="13">
        <v>1463</v>
      </c>
      <c r="L13" s="13">
        <v>-11555</v>
      </c>
      <c r="M13" s="13">
        <v>-11796</v>
      </c>
      <c r="N13" s="13">
        <v>-22333</v>
      </c>
      <c r="O13" s="13">
        <v>-18726</v>
      </c>
      <c r="P13" s="13">
        <v>1140</v>
      </c>
      <c r="Q13" s="13">
        <v>-36741</v>
      </c>
      <c r="R13" s="13">
        <v>-49007</v>
      </c>
      <c r="S13" s="13">
        <v>-24369</v>
      </c>
      <c r="T13" s="13">
        <v>-32906</v>
      </c>
      <c r="U13" s="13">
        <v>-61371</v>
      </c>
      <c r="V13" s="13">
        <v>-12116</v>
      </c>
      <c r="W13" s="13">
        <v>9068</v>
      </c>
      <c r="X13" s="13">
        <v>-74740</v>
      </c>
      <c r="Y13" s="13">
        <v>14236</v>
      </c>
      <c r="Z13" s="13">
        <v>-17824</v>
      </c>
      <c r="AA13" s="16">
        <v>-54760</v>
      </c>
    </row>
    <row r="14" spans="1:27" x14ac:dyDescent="0.25">
      <c r="A14" s="10" t="s">
        <v>1144</v>
      </c>
      <c r="B14" s="10" t="s">
        <v>1145</v>
      </c>
      <c r="C14" s="13" t="s">
        <v>80</v>
      </c>
      <c r="D14" s="13" t="s">
        <v>80</v>
      </c>
      <c r="E14" s="13" t="s">
        <v>80</v>
      </c>
      <c r="F14" s="13" t="s">
        <v>80</v>
      </c>
      <c r="G14" s="13" t="s">
        <v>80</v>
      </c>
      <c r="H14" s="13" t="s">
        <v>80</v>
      </c>
      <c r="I14" s="13" t="s">
        <v>80</v>
      </c>
      <c r="J14" s="13">
        <v>12312</v>
      </c>
      <c r="K14" s="13">
        <v>7626</v>
      </c>
      <c r="L14" s="13">
        <v>-111093</v>
      </c>
      <c r="M14" s="13">
        <v>-15296</v>
      </c>
      <c r="N14" s="13">
        <v>-69906</v>
      </c>
      <c r="O14" s="13">
        <v>-15802</v>
      </c>
      <c r="P14" s="13">
        <v>-8709</v>
      </c>
      <c r="Q14" s="13">
        <v>-24797</v>
      </c>
      <c r="R14" s="13">
        <v>-44085</v>
      </c>
      <c r="S14" s="13">
        <v>-90564</v>
      </c>
      <c r="T14" s="13">
        <v>12984</v>
      </c>
      <c r="U14" s="13">
        <v>-74742</v>
      </c>
      <c r="V14" s="13">
        <v>-88276</v>
      </c>
      <c r="W14" s="13">
        <v>-66690</v>
      </c>
      <c r="X14" s="13">
        <v>-82540</v>
      </c>
      <c r="Y14" s="13">
        <v>-81891</v>
      </c>
      <c r="Z14" s="13">
        <v>-43467</v>
      </c>
      <c r="AA14" s="16">
        <v>-87328</v>
      </c>
    </row>
    <row r="15" spans="1:27" x14ac:dyDescent="0.25">
      <c r="A15" s="10" t="s">
        <v>1146</v>
      </c>
      <c r="B15" s="10" t="s">
        <v>1147</v>
      </c>
      <c r="C15" s="13" t="s">
        <v>80</v>
      </c>
      <c r="D15" s="13" t="s">
        <v>80</v>
      </c>
      <c r="E15" s="13" t="s">
        <v>80</v>
      </c>
      <c r="F15" s="13" t="s">
        <v>80</v>
      </c>
      <c r="G15" s="13" t="s">
        <v>80</v>
      </c>
      <c r="H15" s="13" t="s">
        <v>80</v>
      </c>
      <c r="I15" s="13" t="s">
        <v>80</v>
      </c>
      <c r="J15" s="13" t="s">
        <v>80</v>
      </c>
      <c r="K15" s="13" t="s">
        <v>80</v>
      </c>
      <c r="L15" s="13" t="s">
        <v>80</v>
      </c>
      <c r="M15" s="13" t="s">
        <v>80</v>
      </c>
      <c r="N15" s="13" t="s">
        <v>80</v>
      </c>
      <c r="O15" s="13" t="s">
        <v>80</v>
      </c>
      <c r="P15" s="13" t="s">
        <v>80</v>
      </c>
      <c r="Q15" s="13" t="s">
        <v>80</v>
      </c>
      <c r="R15" s="13">
        <v>-679</v>
      </c>
      <c r="S15" s="13">
        <v>-343</v>
      </c>
      <c r="T15" s="13">
        <v>-2048</v>
      </c>
      <c r="U15" s="13">
        <v>-966</v>
      </c>
      <c r="V15" s="13">
        <v>-450</v>
      </c>
      <c r="W15" s="13" t="s">
        <v>80</v>
      </c>
      <c r="X15" s="13" t="s">
        <v>80</v>
      </c>
      <c r="Y15" s="13" t="s">
        <v>80</v>
      </c>
      <c r="Z15" s="13" t="s">
        <v>80</v>
      </c>
      <c r="AA15" s="16"/>
    </row>
    <row r="16" spans="1:27" x14ac:dyDescent="0.25">
      <c r="A16" s="10" t="s">
        <v>1148</v>
      </c>
      <c r="B16" s="10" t="s">
        <v>1149</v>
      </c>
      <c r="C16" s="13" t="s">
        <v>80</v>
      </c>
      <c r="D16" s="13" t="s">
        <v>80</v>
      </c>
      <c r="E16" s="13" t="s">
        <v>80</v>
      </c>
      <c r="F16" s="13" t="s">
        <v>80</v>
      </c>
      <c r="G16" s="13" t="s">
        <v>80</v>
      </c>
      <c r="H16" s="13" t="s">
        <v>80</v>
      </c>
      <c r="I16" s="13" t="s">
        <v>80</v>
      </c>
      <c r="J16" s="13">
        <v>-6944</v>
      </c>
      <c r="K16" s="13">
        <v>-7471</v>
      </c>
      <c r="L16" s="13">
        <v>61765</v>
      </c>
      <c r="M16" s="13">
        <v>-1594</v>
      </c>
      <c r="N16" s="13">
        <v>65483</v>
      </c>
      <c r="O16" s="13">
        <v>1911</v>
      </c>
      <c r="P16" s="13">
        <v>8932</v>
      </c>
      <c r="Q16" s="13">
        <v>-5885</v>
      </c>
      <c r="R16" s="13">
        <v>-7112</v>
      </c>
      <c r="S16" s="13">
        <v>67793</v>
      </c>
      <c r="T16" s="13">
        <v>-23499</v>
      </c>
      <c r="U16" s="13">
        <v>7136</v>
      </c>
      <c r="V16" s="13">
        <v>23974</v>
      </c>
      <c r="W16" s="13">
        <v>235329</v>
      </c>
      <c r="X16" s="13">
        <v>-7006</v>
      </c>
      <c r="Y16" s="13">
        <v>116032</v>
      </c>
      <c r="Z16" s="13">
        <v>-4244</v>
      </c>
      <c r="AA16" s="16">
        <v>25104</v>
      </c>
    </row>
    <row r="17" spans="1:27" x14ac:dyDescent="0.25">
      <c r="A17" s="10" t="s">
        <v>1150</v>
      </c>
      <c r="B17" s="10" t="s">
        <v>1151</v>
      </c>
      <c r="C17" s="13" t="s">
        <v>80</v>
      </c>
      <c r="D17" s="13" t="s">
        <v>80</v>
      </c>
      <c r="E17" s="13" t="s">
        <v>80</v>
      </c>
      <c r="F17" s="13" t="s">
        <v>80</v>
      </c>
      <c r="G17" s="13" t="s">
        <v>80</v>
      </c>
      <c r="H17" s="13" t="s">
        <v>80</v>
      </c>
      <c r="I17" s="13" t="s">
        <v>80</v>
      </c>
      <c r="J17" s="13">
        <v>-20086</v>
      </c>
      <c r="K17" s="13">
        <v>1308</v>
      </c>
      <c r="L17" s="13">
        <v>37773</v>
      </c>
      <c r="M17" s="13">
        <v>5094</v>
      </c>
      <c r="N17" s="13">
        <v>-17910</v>
      </c>
      <c r="O17" s="13">
        <v>-4835</v>
      </c>
      <c r="P17" s="13">
        <v>917</v>
      </c>
      <c r="Q17" s="13">
        <v>-6059</v>
      </c>
      <c r="R17" s="13">
        <v>2869</v>
      </c>
      <c r="S17" s="13">
        <v>-1255</v>
      </c>
      <c r="T17" s="13">
        <v>-20343</v>
      </c>
      <c r="U17" s="13">
        <v>7201</v>
      </c>
      <c r="V17" s="13">
        <v>52636</v>
      </c>
      <c r="W17" s="13">
        <v>-159571</v>
      </c>
      <c r="X17" s="13">
        <v>14806</v>
      </c>
      <c r="Y17" s="13">
        <v>-19905</v>
      </c>
      <c r="Z17" s="13">
        <v>29887</v>
      </c>
      <c r="AA17" s="16">
        <v>7464</v>
      </c>
    </row>
    <row r="18" spans="1:27" x14ac:dyDescent="0.25">
      <c r="A18" s="10" t="s">
        <v>1152</v>
      </c>
      <c r="B18" s="10" t="s">
        <v>1153</v>
      </c>
      <c r="C18" s="13" t="s">
        <v>80</v>
      </c>
      <c r="D18" s="13" t="s">
        <v>80</v>
      </c>
      <c r="E18" s="13" t="s">
        <v>80</v>
      </c>
      <c r="F18" s="13" t="s">
        <v>80</v>
      </c>
      <c r="G18" s="13" t="s">
        <v>80</v>
      </c>
      <c r="H18" s="13" t="s">
        <v>80</v>
      </c>
      <c r="I18" s="13" t="s">
        <v>80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243</v>
      </c>
      <c r="R18" s="13">
        <v>89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 t="s">
        <v>80</v>
      </c>
      <c r="Y18" s="13">
        <v>0</v>
      </c>
      <c r="Z18" s="13">
        <v>-4551</v>
      </c>
      <c r="AA18" s="16">
        <v>-4372</v>
      </c>
    </row>
    <row r="19" spans="1:27" x14ac:dyDescent="0.25">
      <c r="A19" s="6" t="s">
        <v>1129</v>
      </c>
      <c r="B19" s="6" t="s">
        <v>127</v>
      </c>
      <c r="C19" s="19">
        <v>19703.196</v>
      </c>
      <c r="D19" s="19">
        <v>-12006.117</v>
      </c>
      <c r="E19" s="19">
        <v>6611</v>
      </c>
      <c r="F19" s="19">
        <v>-93</v>
      </c>
      <c r="G19" s="19">
        <v>3025</v>
      </c>
      <c r="H19" s="19">
        <v>1525.3969999999999</v>
      </c>
      <c r="I19" s="19">
        <v>2884</v>
      </c>
      <c r="J19" s="19">
        <v>2425</v>
      </c>
      <c r="K19" s="19">
        <v>19771</v>
      </c>
      <c r="L19" s="19">
        <v>12955</v>
      </c>
      <c r="M19" s="19">
        <v>12103</v>
      </c>
      <c r="N19" s="19">
        <v>619</v>
      </c>
      <c r="O19" s="19">
        <v>9642</v>
      </c>
      <c r="P19" s="19">
        <v>23241</v>
      </c>
      <c r="Q19" s="19">
        <v>-7497</v>
      </c>
      <c r="R19" s="19">
        <v>-933</v>
      </c>
      <c r="S19" s="19">
        <v>24591</v>
      </c>
      <c r="T19" s="19">
        <v>24248</v>
      </c>
      <c r="U19" s="19">
        <v>-10631</v>
      </c>
      <c r="V19" s="19">
        <v>53972</v>
      </c>
      <c r="W19" s="19">
        <v>79995</v>
      </c>
      <c r="X19" s="19">
        <v>5304</v>
      </c>
      <c r="Y19" s="19">
        <v>104091</v>
      </c>
      <c r="Z19" s="19">
        <v>73606</v>
      </c>
      <c r="AA19" s="22">
        <v>41433</v>
      </c>
    </row>
    <row r="20" spans="1:27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21"/>
    </row>
    <row r="21" spans="1:27" x14ac:dyDescent="0.25">
      <c r="A21" s="6" t="s">
        <v>1154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1"/>
    </row>
    <row r="22" spans="1:27" x14ac:dyDescent="0.25">
      <c r="A22" s="10" t="s">
        <v>1155</v>
      </c>
      <c r="B22" s="10" t="s">
        <v>1156</v>
      </c>
      <c r="C22" s="13">
        <v>-2312.1060000000002</v>
      </c>
      <c r="D22" s="13">
        <v>-235.74799999999999</v>
      </c>
      <c r="E22" s="13">
        <v>-633</v>
      </c>
      <c r="F22" s="13">
        <v>-170</v>
      </c>
      <c r="G22" s="13">
        <v>-1327</v>
      </c>
      <c r="H22" s="13">
        <v>-1961.1020000000001</v>
      </c>
      <c r="I22" s="13">
        <v>-1308</v>
      </c>
      <c r="J22" s="13">
        <v>-1188</v>
      </c>
      <c r="K22" s="13">
        <v>-1911</v>
      </c>
      <c r="L22" s="13">
        <v>-4023</v>
      </c>
      <c r="M22" s="13">
        <v>-1463</v>
      </c>
      <c r="N22" s="13">
        <v>-1258</v>
      </c>
      <c r="O22" s="13">
        <v>-2004</v>
      </c>
      <c r="P22" s="13">
        <v>-2911</v>
      </c>
      <c r="Q22" s="13">
        <v>-3050</v>
      </c>
      <c r="R22" s="13">
        <v>-4038</v>
      </c>
      <c r="S22" s="13">
        <v>-952</v>
      </c>
      <c r="T22" s="13">
        <v>-3172</v>
      </c>
      <c r="U22" s="13">
        <v>-4551</v>
      </c>
      <c r="V22" s="13">
        <v>-3004</v>
      </c>
      <c r="W22" s="13">
        <v>-10829</v>
      </c>
      <c r="X22" s="13">
        <v>-5124</v>
      </c>
      <c r="Y22" s="13">
        <v>-5367</v>
      </c>
      <c r="Z22" s="13">
        <v>-7720</v>
      </c>
      <c r="AA22" s="16">
        <v>-5558</v>
      </c>
    </row>
    <row r="23" spans="1:27" x14ac:dyDescent="0.25">
      <c r="A23" s="10" t="s">
        <v>1157</v>
      </c>
      <c r="B23" s="10" t="s">
        <v>1158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259</v>
      </c>
      <c r="K23" s="13">
        <v>304</v>
      </c>
      <c r="L23" s="13">
        <v>240</v>
      </c>
      <c r="M23" s="13">
        <v>1335</v>
      </c>
      <c r="N23" s="13">
        <v>2681</v>
      </c>
      <c r="O23" s="13">
        <v>2002</v>
      </c>
      <c r="P23" s="13">
        <v>1003</v>
      </c>
      <c r="Q23" s="13">
        <v>1033</v>
      </c>
      <c r="R23" s="13">
        <v>742</v>
      </c>
      <c r="S23" s="13">
        <v>3549</v>
      </c>
      <c r="T23" s="13">
        <v>1406</v>
      </c>
      <c r="U23" s="13">
        <v>2884</v>
      </c>
      <c r="V23" s="13">
        <v>1519</v>
      </c>
      <c r="W23" s="13">
        <v>962</v>
      </c>
      <c r="X23" s="13">
        <v>3940</v>
      </c>
      <c r="Y23" s="13">
        <v>2905</v>
      </c>
      <c r="Z23" s="13">
        <v>3386</v>
      </c>
      <c r="AA23" s="16">
        <v>4935</v>
      </c>
    </row>
    <row r="24" spans="1:27" x14ac:dyDescent="0.25">
      <c r="A24" s="10" t="s">
        <v>1159</v>
      </c>
      <c r="B24" s="10" t="s">
        <v>1160</v>
      </c>
      <c r="C24" s="13">
        <v>-2312.1060000000002</v>
      </c>
      <c r="D24" s="13">
        <v>-235.74799999999999</v>
      </c>
      <c r="E24" s="13">
        <v>-633</v>
      </c>
      <c r="F24" s="13">
        <v>-170</v>
      </c>
      <c r="G24" s="13">
        <v>-1327</v>
      </c>
      <c r="H24" s="13">
        <v>-1961.1020000000001</v>
      </c>
      <c r="I24" s="13">
        <v>-1308</v>
      </c>
      <c r="J24" s="13">
        <v>-1447</v>
      </c>
      <c r="K24" s="13">
        <v>-2215</v>
      </c>
      <c r="L24" s="13">
        <v>-4263</v>
      </c>
      <c r="M24" s="13">
        <v>-2798</v>
      </c>
      <c r="N24" s="13">
        <v>-3939</v>
      </c>
      <c r="O24" s="13">
        <v>-4006</v>
      </c>
      <c r="P24" s="13">
        <v>-3914</v>
      </c>
      <c r="Q24" s="13">
        <v>-4083</v>
      </c>
      <c r="R24" s="13">
        <v>-4780</v>
      </c>
      <c r="S24" s="13">
        <v>-4501</v>
      </c>
      <c r="T24" s="13">
        <v>-4578</v>
      </c>
      <c r="U24" s="13">
        <v>-7435</v>
      </c>
      <c r="V24" s="13">
        <v>-4523</v>
      </c>
      <c r="W24" s="13">
        <v>-11791</v>
      </c>
      <c r="X24" s="13">
        <v>-9064</v>
      </c>
      <c r="Y24" s="13">
        <v>-8272</v>
      </c>
      <c r="Z24" s="13">
        <v>-11106</v>
      </c>
      <c r="AA24" s="16">
        <v>-10493</v>
      </c>
    </row>
    <row r="25" spans="1:27" x14ac:dyDescent="0.25">
      <c r="A25" s="10" t="s">
        <v>1161</v>
      </c>
      <c r="B25" s="10" t="s">
        <v>1162</v>
      </c>
      <c r="C25" s="13">
        <v>433.04</v>
      </c>
      <c r="D25" s="13">
        <v>-630.60199999999998</v>
      </c>
      <c r="E25" s="13">
        <v>-673</v>
      </c>
      <c r="F25" s="13">
        <v>-644</v>
      </c>
      <c r="G25" s="13">
        <v>-348</v>
      </c>
      <c r="H25" s="13">
        <v>353.33199999999999</v>
      </c>
      <c r="I25" s="13">
        <v>-644</v>
      </c>
      <c r="J25" s="13" t="s">
        <v>80</v>
      </c>
      <c r="K25" s="13" t="s">
        <v>80</v>
      </c>
      <c r="L25" s="13" t="s">
        <v>80</v>
      </c>
      <c r="M25" s="13" t="s">
        <v>80</v>
      </c>
      <c r="N25" s="13" t="s">
        <v>80</v>
      </c>
      <c r="O25" s="13" t="s">
        <v>80</v>
      </c>
      <c r="P25" s="13" t="s">
        <v>80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6">
        <v>0</v>
      </c>
    </row>
    <row r="26" spans="1:27" x14ac:dyDescent="0.25">
      <c r="A26" s="10" t="s">
        <v>1163</v>
      </c>
      <c r="B26" s="10" t="s">
        <v>1164</v>
      </c>
      <c r="C26" s="13">
        <v>433.04</v>
      </c>
      <c r="D26" s="13">
        <v>0</v>
      </c>
      <c r="E26" s="13">
        <v>0</v>
      </c>
      <c r="F26" s="13">
        <v>0</v>
      </c>
      <c r="G26" s="13">
        <v>0</v>
      </c>
      <c r="H26" s="13">
        <v>353.33199999999999</v>
      </c>
      <c r="I26" s="13">
        <v>0</v>
      </c>
      <c r="J26" s="13" t="s">
        <v>80</v>
      </c>
      <c r="K26" s="13" t="s">
        <v>80</v>
      </c>
      <c r="L26" s="13" t="s">
        <v>80</v>
      </c>
      <c r="M26" s="13" t="s">
        <v>80</v>
      </c>
      <c r="N26" s="13" t="s">
        <v>80</v>
      </c>
      <c r="O26" s="13" t="s">
        <v>80</v>
      </c>
      <c r="P26" s="13" t="s">
        <v>80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6">
        <v>0</v>
      </c>
    </row>
    <row r="27" spans="1:27" x14ac:dyDescent="0.25">
      <c r="A27" s="11" t="s">
        <v>1165</v>
      </c>
      <c r="B27" s="11" t="s">
        <v>1166</v>
      </c>
      <c r="C27" s="25" t="s">
        <v>80</v>
      </c>
      <c r="D27" s="25" t="s">
        <v>80</v>
      </c>
      <c r="E27" s="25" t="s">
        <v>80</v>
      </c>
      <c r="F27" s="25" t="s">
        <v>80</v>
      </c>
      <c r="G27" s="25" t="s">
        <v>80</v>
      </c>
      <c r="H27" s="25" t="s">
        <v>80</v>
      </c>
      <c r="I27" s="25" t="s">
        <v>80</v>
      </c>
      <c r="J27" s="25" t="s">
        <v>80</v>
      </c>
      <c r="K27" s="25" t="s">
        <v>80</v>
      </c>
      <c r="L27" s="25" t="s">
        <v>80</v>
      </c>
      <c r="M27" s="25" t="s">
        <v>80</v>
      </c>
      <c r="N27" s="25" t="s">
        <v>80</v>
      </c>
      <c r="O27" s="25" t="s">
        <v>80</v>
      </c>
      <c r="P27" s="25" t="s">
        <v>80</v>
      </c>
      <c r="Q27" s="25" t="s">
        <v>80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7">
        <v>0</v>
      </c>
    </row>
    <row r="28" spans="1:27" x14ac:dyDescent="0.25">
      <c r="A28" s="11" t="s">
        <v>1167</v>
      </c>
      <c r="B28" s="11" t="s">
        <v>1168</v>
      </c>
      <c r="C28" s="25" t="s">
        <v>80</v>
      </c>
      <c r="D28" s="25" t="s">
        <v>80</v>
      </c>
      <c r="E28" s="25" t="s">
        <v>80</v>
      </c>
      <c r="F28" s="25" t="s">
        <v>80</v>
      </c>
      <c r="G28" s="25" t="s">
        <v>80</v>
      </c>
      <c r="H28" s="25" t="s">
        <v>80</v>
      </c>
      <c r="I28" s="25" t="s">
        <v>80</v>
      </c>
      <c r="J28" s="25" t="s">
        <v>80</v>
      </c>
      <c r="K28" s="25" t="s">
        <v>80</v>
      </c>
      <c r="L28" s="25" t="s">
        <v>80</v>
      </c>
      <c r="M28" s="25" t="s">
        <v>80</v>
      </c>
      <c r="N28" s="25" t="s">
        <v>80</v>
      </c>
      <c r="O28" s="25" t="s">
        <v>80</v>
      </c>
      <c r="P28" s="25" t="s">
        <v>80</v>
      </c>
      <c r="Q28" s="25" t="s">
        <v>80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7">
        <v>0</v>
      </c>
    </row>
    <row r="29" spans="1:27" x14ac:dyDescent="0.25">
      <c r="A29" s="11" t="s">
        <v>1169</v>
      </c>
      <c r="B29" s="11" t="s">
        <v>1170</v>
      </c>
      <c r="C29" s="25" t="s">
        <v>80</v>
      </c>
      <c r="D29" s="25" t="s">
        <v>80</v>
      </c>
      <c r="E29" s="25" t="s">
        <v>80</v>
      </c>
      <c r="F29" s="25" t="s">
        <v>80</v>
      </c>
      <c r="G29" s="25" t="s">
        <v>80</v>
      </c>
      <c r="H29" s="25" t="s">
        <v>80</v>
      </c>
      <c r="I29" s="25" t="s">
        <v>80</v>
      </c>
      <c r="J29" s="25" t="s">
        <v>80</v>
      </c>
      <c r="K29" s="25" t="s">
        <v>80</v>
      </c>
      <c r="L29" s="25" t="s">
        <v>80</v>
      </c>
      <c r="M29" s="25" t="s">
        <v>80</v>
      </c>
      <c r="N29" s="25" t="s">
        <v>80</v>
      </c>
      <c r="O29" s="25" t="s">
        <v>80</v>
      </c>
      <c r="P29" s="25" t="s">
        <v>80</v>
      </c>
      <c r="Q29" s="25" t="s">
        <v>80</v>
      </c>
      <c r="R29" s="25">
        <v>0</v>
      </c>
      <c r="S29" s="25">
        <v>0</v>
      </c>
      <c r="T29" s="25" t="s">
        <v>80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7">
        <v>0</v>
      </c>
    </row>
    <row r="30" spans="1:27" x14ac:dyDescent="0.25">
      <c r="A30" s="10" t="s">
        <v>1171</v>
      </c>
      <c r="B30" s="10" t="s">
        <v>1172</v>
      </c>
      <c r="C30" s="13">
        <v>0</v>
      </c>
      <c r="D30" s="13">
        <v>-630.60199999999998</v>
      </c>
      <c r="E30" s="13">
        <v>-673</v>
      </c>
      <c r="F30" s="13">
        <v>-644</v>
      </c>
      <c r="G30" s="13">
        <v>-348</v>
      </c>
      <c r="H30" s="13">
        <v>0</v>
      </c>
      <c r="I30" s="13">
        <v>-644</v>
      </c>
      <c r="J30" s="13" t="s">
        <v>80</v>
      </c>
      <c r="K30" s="13" t="s">
        <v>80</v>
      </c>
      <c r="L30" s="13" t="s">
        <v>80</v>
      </c>
      <c r="M30" s="13" t="s">
        <v>80</v>
      </c>
      <c r="N30" s="13" t="s">
        <v>80</v>
      </c>
      <c r="O30" s="13" t="s">
        <v>80</v>
      </c>
      <c r="P30" s="13" t="s">
        <v>80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6">
        <v>0</v>
      </c>
    </row>
    <row r="31" spans="1:27" x14ac:dyDescent="0.25">
      <c r="A31" s="11" t="s">
        <v>1173</v>
      </c>
      <c r="B31" s="11" t="s">
        <v>1174</v>
      </c>
      <c r="C31" s="25" t="s">
        <v>80</v>
      </c>
      <c r="D31" s="25" t="s">
        <v>80</v>
      </c>
      <c r="E31" s="25" t="s">
        <v>80</v>
      </c>
      <c r="F31" s="25" t="s">
        <v>80</v>
      </c>
      <c r="G31" s="25" t="s">
        <v>80</v>
      </c>
      <c r="H31" s="25" t="s">
        <v>80</v>
      </c>
      <c r="I31" s="25" t="s">
        <v>80</v>
      </c>
      <c r="J31" s="25" t="s">
        <v>80</v>
      </c>
      <c r="K31" s="25" t="s">
        <v>80</v>
      </c>
      <c r="L31" s="25" t="s">
        <v>80</v>
      </c>
      <c r="M31" s="25" t="s">
        <v>80</v>
      </c>
      <c r="N31" s="25" t="s">
        <v>80</v>
      </c>
      <c r="O31" s="25" t="s">
        <v>80</v>
      </c>
      <c r="P31" s="25" t="s">
        <v>80</v>
      </c>
      <c r="Q31" s="25" t="s">
        <v>80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7">
        <v>0</v>
      </c>
    </row>
    <row r="32" spans="1:27" x14ac:dyDescent="0.25">
      <c r="A32" s="11" t="s">
        <v>1175</v>
      </c>
      <c r="B32" s="11" t="s">
        <v>1176</v>
      </c>
      <c r="C32" s="25" t="s">
        <v>80</v>
      </c>
      <c r="D32" s="25" t="s">
        <v>80</v>
      </c>
      <c r="E32" s="25" t="s">
        <v>80</v>
      </c>
      <c r="F32" s="25" t="s">
        <v>80</v>
      </c>
      <c r="G32" s="25" t="s">
        <v>80</v>
      </c>
      <c r="H32" s="25" t="s">
        <v>80</v>
      </c>
      <c r="I32" s="25" t="s">
        <v>80</v>
      </c>
      <c r="J32" s="25" t="s">
        <v>80</v>
      </c>
      <c r="K32" s="25" t="s">
        <v>80</v>
      </c>
      <c r="L32" s="25" t="s">
        <v>80</v>
      </c>
      <c r="M32" s="25" t="s">
        <v>80</v>
      </c>
      <c r="N32" s="25" t="s">
        <v>80</v>
      </c>
      <c r="O32" s="25" t="s">
        <v>80</v>
      </c>
      <c r="P32" s="25" t="s">
        <v>80</v>
      </c>
      <c r="Q32" s="25" t="s">
        <v>80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7">
        <v>0</v>
      </c>
    </row>
    <row r="33" spans="1:27" x14ac:dyDescent="0.25">
      <c r="A33" s="11" t="s">
        <v>1177</v>
      </c>
      <c r="B33" s="11" t="s">
        <v>1178</v>
      </c>
      <c r="C33" s="25" t="s">
        <v>80</v>
      </c>
      <c r="D33" s="25" t="s">
        <v>80</v>
      </c>
      <c r="E33" s="25" t="s">
        <v>80</v>
      </c>
      <c r="F33" s="25" t="s">
        <v>80</v>
      </c>
      <c r="G33" s="25" t="s">
        <v>80</v>
      </c>
      <c r="H33" s="25" t="s">
        <v>80</v>
      </c>
      <c r="I33" s="25" t="s">
        <v>80</v>
      </c>
      <c r="J33" s="25" t="s">
        <v>80</v>
      </c>
      <c r="K33" s="25" t="s">
        <v>80</v>
      </c>
      <c r="L33" s="25" t="s">
        <v>80</v>
      </c>
      <c r="M33" s="25" t="s">
        <v>80</v>
      </c>
      <c r="N33" s="25" t="s">
        <v>80</v>
      </c>
      <c r="O33" s="25" t="s">
        <v>80</v>
      </c>
      <c r="P33" s="25" t="s">
        <v>80</v>
      </c>
      <c r="Q33" s="25" t="s">
        <v>80</v>
      </c>
      <c r="R33" s="25">
        <v>0</v>
      </c>
      <c r="S33" s="25">
        <v>0</v>
      </c>
      <c r="T33" s="25" t="s">
        <v>80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7">
        <v>0</v>
      </c>
    </row>
    <row r="34" spans="1:27" x14ac:dyDescent="0.25">
      <c r="A34" s="10" t="s">
        <v>1179</v>
      </c>
      <c r="B34" s="10" t="s">
        <v>1180</v>
      </c>
      <c r="C34" s="13">
        <v>-66315.948000000004</v>
      </c>
      <c r="D34" s="13">
        <v>5965.6540000000005</v>
      </c>
      <c r="E34" s="13">
        <v>0</v>
      </c>
      <c r="F34" s="13" t="s">
        <v>80</v>
      </c>
      <c r="G34" s="13" t="s">
        <v>80</v>
      </c>
      <c r="H34" s="13" t="s">
        <v>80</v>
      </c>
      <c r="I34" s="13">
        <v>-52095</v>
      </c>
      <c r="J34" s="13">
        <v>-8167</v>
      </c>
      <c r="K34" s="13">
        <v>-32062</v>
      </c>
      <c r="L34" s="13">
        <v>-84641</v>
      </c>
      <c r="M34" s="13">
        <v>-51380</v>
      </c>
      <c r="N34" s="13">
        <v>-26132</v>
      </c>
      <c r="O34" s="13">
        <v>-44888</v>
      </c>
      <c r="P34" s="13">
        <v>-43178</v>
      </c>
      <c r="Q34" s="13">
        <v>-62669</v>
      </c>
      <c r="R34" s="13">
        <v>-49202</v>
      </c>
      <c r="S34" s="13">
        <v>-49629</v>
      </c>
      <c r="T34" s="13">
        <v>13802</v>
      </c>
      <c r="U34" s="13">
        <v>-33257</v>
      </c>
      <c r="V34" s="13">
        <v>-22022</v>
      </c>
      <c r="W34" s="13">
        <v>-99739</v>
      </c>
      <c r="X34" s="13">
        <v>-111664</v>
      </c>
      <c r="Y34" s="13">
        <v>-148443</v>
      </c>
      <c r="Z34" s="13">
        <v>-99120</v>
      </c>
      <c r="AA34" s="16">
        <v>-76993</v>
      </c>
    </row>
    <row r="35" spans="1:27" x14ac:dyDescent="0.25">
      <c r="A35" s="10" t="s">
        <v>1181</v>
      </c>
      <c r="B35" s="10" t="s">
        <v>1182</v>
      </c>
      <c r="C35" s="13" t="s">
        <v>80</v>
      </c>
      <c r="D35" s="13" t="s">
        <v>80</v>
      </c>
      <c r="E35" s="13" t="s">
        <v>80</v>
      </c>
      <c r="F35" s="13" t="s">
        <v>80</v>
      </c>
      <c r="G35" s="13" t="s">
        <v>80</v>
      </c>
      <c r="H35" s="13" t="s">
        <v>80</v>
      </c>
      <c r="I35" s="13" t="s">
        <v>80</v>
      </c>
      <c r="J35" s="13">
        <v>-8167</v>
      </c>
      <c r="K35" s="13">
        <v>-32062</v>
      </c>
      <c r="L35" s="13">
        <v>-84641</v>
      </c>
      <c r="M35" s="13">
        <v>-51380</v>
      </c>
      <c r="N35" s="13">
        <v>-26132</v>
      </c>
      <c r="O35" s="13">
        <v>-44888</v>
      </c>
      <c r="P35" s="13">
        <v>-43178</v>
      </c>
      <c r="Q35" s="13">
        <v>-62669</v>
      </c>
      <c r="R35" s="13">
        <v>-49202</v>
      </c>
      <c r="S35" s="13">
        <v>-49629</v>
      </c>
      <c r="T35" s="13">
        <v>13802</v>
      </c>
      <c r="U35" s="13">
        <v>-33257</v>
      </c>
      <c r="V35" s="13">
        <v>-22022</v>
      </c>
      <c r="W35" s="13">
        <v>-99739</v>
      </c>
      <c r="X35" s="13">
        <v>-111664</v>
      </c>
      <c r="Y35" s="13">
        <v>-148443</v>
      </c>
      <c r="Z35" s="13">
        <v>-99120</v>
      </c>
      <c r="AA35" s="16">
        <v>-76993</v>
      </c>
    </row>
    <row r="36" spans="1:27" x14ac:dyDescent="0.25">
      <c r="A36" s="10" t="s">
        <v>1183</v>
      </c>
      <c r="B36" s="10" t="s">
        <v>1184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 t="s">
        <v>80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 t="s">
        <v>80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</row>
    <row r="37" spans="1:27" x14ac:dyDescent="0.25">
      <c r="A37" s="10" t="s">
        <v>1185</v>
      </c>
      <c r="B37" s="10" t="s">
        <v>1186</v>
      </c>
      <c r="C37" s="13" t="s">
        <v>80</v>
      </c>
      <c r="D37" s="13" t="s">
        <v>80</v>
      </c>
      <c r="E37" s="13" t="s">
        <v>80</v>
      </c>
      <c r="F37" s="13" t="s">
        <v>80</v>
      </c>
      <c r="G37" s="13" t="s">
        <v>80</v>
      </c>
      <c r="H37" s="13" t="s">
        <v>80</v>
      </c>
      <c r="I37" s="13" t="s">
        <v>80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 t="s">
        <v>80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6">
        <v>0</v>
      </c>
    </row>
    <row r="38" spans="1:27" x14ac:dyDescent="0.25">
      <c r="A38" s="10" t="s">
        <v>1187</v>
      </c>
      <c r="B38" s="10" t="s">
        <v>1188</v>
      </c>
      <c r="C38" s="13" t="s">
        <v>80</v>
      </c>
      <c r="D38" s="13" t="s">
        <v>80</v>
      </c>
      <c r="E38" s="13" t="s">
        <v>80</v>
      </c>
      <c r="F38" s="13" t="s">
        <v>80</v>
      </c>
      <c r="G38" s="13" t="s">
        <v>80</v>
      </c>
      <c r="H38" s="13" t="s">
        <v>80</v>
      </c>
      <c r="I38" s="13" t="s">
        <v>80</v>
      </c>
      <c r="J38" s="13">
        <v>-183</v>
      </c>
      <c r="K38" s="13">
        <v>-102</v>
      </c>
      <c r="L38" s="13">
        <v>-3000</v>
      </c>
      <c r="M38" s="13">
        <v>-2042</v>
      </c>
      <c r="N38" s="13">
        <v>-26308</v>
      </c>
      <c r="O38" s="13">
        <v>409</v>
      </c>
      <c r="P38" s="13">
        <v>-71</v>
      </c>
      <c r="Q38" s="13">
        <v>0</v>
      </c>
      <c r="R38" s="13">
        <v>3195</v>
      </c>
      <c r="S38" s="13">
        <v>-1</v>
      </c>
      <c r="T38" s="13">
        <v>-33</v>
      </c>
      <c r="U38" s="13">
        <v>-139</v>
      </c>
      <c r="V38" s="13">
        <v>4</v>
      </c>
      <c r="W38" s="13">
        <v>-914</v>
      </c>
      <c r="X38" s="13">
        <v>-94</v>
      </c>
      <c r="Y38" s="13">
        <v>-3251</v>
      </c>
      <c r="Z38" s="13">
        <v>-921</v>
      </c>
      <c r="AA38" s="16">
        <v>-921</v>
      </c>
    </row>
    <row r="39" spans="1:27" x14ac:dyDescent="0.25">
      <c r="A39" s="10" t="s">
        <v>1189</v>
      </c>
      <c r="B39" s="10" t="s">
        <v>1190</v>
      </c>
      <c r="C39" s="13" t="s">
        <v>80</v>
      </c>
      <c r="D39" s="13" t="s">
        <v>80</v>
      </c>
      <c r="E39" s="13" t="s">
        <v>80</v>
      </c>
      <c r="F39" s="13" t="s">
        <v>80</v>
      </c>
      <c r="G39" s="13" t="s">
        <v>80</v>
      </c>
      <c r="H39" s="13" t="s">
        <v>80</v>
      </c>
      <c r="I39" s="13" t="s">
        <v>80</v>
      </c>
      <c r="J39" s="13">
        <v>0</v>
      </c>
      <c r="K39" s="13">
        <v>69</v>
      </c>
      <c r="L39" s="13">
        <v>0</v>
      </c>
      <c r="M39" s="13">
        <v>0</v>
      </c>
      <c r="N39" s="13">
        <v>1037</v>
      </c>
      <c r="O39" s="13">
        <v>409</v>
      </c>
      <c r="P39" s="13">
        <v>0</v>
      </c>
      <c r="Q39" s="13" t="s">
        <v>80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6">
        <v>0</v>
      </c>
    </row>
    <row r="40" spans="1:27" x14ac:dyDescent="0.25">
      <c r="A40" s="10" t="s">
        <v>1191</v>
      </c>
      <c r="B40" s="10" t="s">
        <v>1192</v>
      </c>
      <c r="C40" s="13" t="s">
        <v>80</v>
      </c>
      <c r="D40" s="13" t="s">
        <v>80</v>
      </c>
      <c r="E40" s="13" t="s">
        <v>80</v>
      </c>
      <c r="F40" s="13" t="s">
        <v>80</v>
      </c>
      <c r="G40" s="13" t="s">
        <v>80</v>
      </c>
      <c r="H40" s="13" t="s">
        <v>80</v>
      </c>
      <c r="I40" s="13" t="s">
        <v>80</v>
      </c>
      <c r="J40" s="13">
        <v>-183</v>
      </c>
      <c r="K40" s="13">
        <v>-171</v>
      </c>
      <c r="L40" s="13">
        <v>-3000</v>
      </c>
      <c r="M40" s="13">
        <v>-2042</v>
      </c>
      <c r="N40" s="13">
        <v>-27345</v>
      </c>
      <c r="O40" s="13">
        <v>0</v>
      </c>
      <c r="P40" s="13">
        <v>-71</v>
      </c>
      <c r="Q40" s="13">
        <v>-2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-3248</v>
      </c>
      <c r="Z40" s="13">
        <v>-901</v>
      </c>
      <c r="AA40" s="16">
        <v>-901</v>
      </c>
    </row>
    <row r="41" spans="1:27" x14ac:dyDescent="0.25">
      <c r="A41" s="10" t="s">
        <v>1193</v>
      </c>
      <c r="B41" s="10" t="s">
        <v>1194</v>
      </c>
      <c r="C41" s="13" t="s">
        <v>80</v>
      </c>
      <c r="D41" s="13" t="s">
        <v>80</v>
      </c>
      <c r="E41" s="13" t="s">
        <v>80</v>
      </c>
      <c r="F41" s="13" t="s">
        <v>80</v>
      </c>
      <c r="G41" s="13" t="s">
        <v>80</v>
      </c>
      <c r="H41" s="13" t="s">
        <v>80</v>
      </c>
      <c r="I41" s="13" t="s">
        <v>80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2</v>
      </c>
      <c r="R41" s="13">
        <v>3195</v>
      </c>
      <c r="S41" s="13">
        <v>-1</v>
      </c>
      <c r="T41" s="13">
        <v>-33</v>
      </c>
      <c r="U41" s="13">
        <v>-139</v>
      </c>
      <c r="V41" s="13">
        <v>4</v>
      </c>
      <c r="W41" s="13">
        <v>-914</v>
      </c>
      <c r="X41" s="13">
        <v>-94</v>
      </c>
      <c r="Y41" s="13">
        <v>-3</v>
      </c>
      <c r="Z41" s="13">
        <v>-20</v>
      </c>
      <c r="AA41" s="16">
        <v>-20</v>
      </c>
    </row>
    <row r="42" spans="1:27" x14ac:dyDescent="0.25">
      <c r="A42" s="10" t="s">
        <v>1195</v>
      </c>
      <c r="B42" s="10" t="s">
        <v>1196</v>
      </c>
      <c r="C42" s="13">
        <v>-271.53500000000003</v>
      </c>
      <c r="D42" s="13">
        <v>-237.66900000000001</v>
      </c>
      <c r="E42" s="13">
        <v>404</v>
      </c>
      <c r="F42" s="13">
        <v>28</v>
      </c>
      <c r="G42" s="13">
        <v>-4238</v>
      </c>
      <c r="H42" s="13">
        <v>-929.00099999999998</v>
      </c>
      <c r="I42" s="13">
        <v>-4333</v>
      </c>
      <c r="J42" s="13">
        <v>0</v>
      </c>
      <c r="K42" s="13">
        <v>1</v>
      </c>
      <c r="L42" s="13">
        <v>131</v>
      </c>
      <c r="M42" s="13">
        <v>0</v>
      </c>
      <c r="N42" s="13">
        <v>-1</v>
      </c>
      <c r="O42" s="13">
        <v>0</v>
      </c>
      <c r="P42" s="13">
        <v>0</v>
      </c>
      <c r="Q42" s="13">
        <v>-10</v>
      </c>
      <c r="R42" s="13">
        <v>0</v>
      </c>
      <c r="S42" s="13">
        <v>15254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6">
        <v>0</v>
      </c>
    </row>
    <row r="43" spans="1:27" x14ac:dyDescent="0.25">
      <c r="A43" s="10" t="s">
        <v>1152</v>
      </c>
      <c r="B43" s="10" t="s">
        <v>1197</v>
      </c>
      <c r="C43" s="13" t="s">
        <v>80</v>
      </c>
      <c r="D43" s="13" t="s">
        <v>80</v>
      </c>
      <c r="E43" s="13" t="s">
        <v>80</v>
      </c>
      <c r="F43" s="13" t="s">
        <v>80</v>
      </c>
      <c r="G43" s="13" t="s">
        <v>80</v>
      </c>
      <c r="H43" s="13" t="s">
        <v>80</v>
      </c>
      <c r="I43" s="13" t="s">
        <v>80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 t="s">
        <v>80</v>
      </c>
      <c r="R43" s="13" t="s">
        <v>80</v>
      </c>
      <c r="S43" s="13" t="s">
        <v>80</v>
      </c>
      <c r="T43" s="13" t="s">
        <v>80</v>
      </c>
      <c r="U43" s="13" t="s">
        <v>80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6">
        <v>0</v>
      </c>
    </row>
    <row r="44" spans="1:27" x14ac:dyDescent="0.25">
      <c r="A44" s="6" t="s">
        <v>1154</v>
      </c>
      <c r="B44" s="6" t="s">
        <v>129</v>
      </c>
      <c r="C44" s="19">
        <v>-68466.548999999999</v>
      </c>
      <c r="D44" s="19">
        <v>4861.6350000000002</v>
      </c>
      <c r="E44" s="19">
        <v>-902</v>
      </c>
      <c r="F44" s="19">
        <v>-786</v>
      </c>
      <c r="G44" s="19">
        <v>-5913</v>
      </c>
      <c r="H44" s="19">
        <v>-2536.7710000000002</v>
      </c>
      <c r="I44" s="19">
        <v>-58380</v>
      </c>
      <c r="J44" s="19">
        <v>-9538</v>
      </c>
      <c r="K44" s="19">
        <v>-34074</v>
      </c>
      <c r="L44" s="19">
        <v>-91533</v>
      </c>
      <c r="M44" s="19">
        <v>-54885</v>
      </c>
      <c r="N44" s="19">
        <v>-53699</v>
      </c>
      <c r="O44" s="19">
        <v>-46483</v>
      </c>
      <c r="P44" s="19">
        <v>-46160</v>
      </c>
      <c r="Q44" s="19">
        <v>-65729</v>
      </c>
      <c r="R44" s="19">
        <v>-50045</v>
      </c>
      <c r="S44" s="19">
        <v>-35328</v>
      </c>
      <c r="T44" s="19">
        <v>10597</v>
      </c>
      <c r="U44" s="19">
        <v>-37947</v>
      </c>
      <c r="V44" s="19">
        <v>-25022</v>
      </c>
      <c r="W44" s="19">
        <v>-111482</v>
      </c>
      <c r="X44" s="19">
        <v>-116882</v>
      </c>
      <c r="Y44" s="19">
        <v>-157061</v>
      </c>
      <c r="Z44" s="19">
        <v>-107761</v>
      </c>
      <c r="AA44" s="22">
        <v>-83472</v>
      </c>
    </row>
    <row r="45" spans="1:27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1"/>
    </row>
    <row r="46" spans="1:27" x14ac:dyDescent="0.25">
      <c r="A46" s="6" t="s">
        <v>1198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1"/>
    </row>
    <row r="47" spans="1:27" x14ac:dyDescent="0.25">
      <c r="A47" s="10" t="s">
        <v>1199</v>
      </c>
      <c r="B47" s="10" t="s">
        <v>1200</v>
      </c>
      <c r="C47" s="13">
        <v>-509.25400000000002</v>
      </c>
      <c r="D47" s="13">
        <v>-357.577</v>
      </c>
      <c r="E47" s="13">
        <v>-512</v>
      </c>
      <c r="F47" s="13">
        <v>-637</v>
      </c>
      <c r="G47" s="13">
        <v>-763</v>
      </c>
      <c r="H47" s="13" t="s">
        <v>80</v>
      </c>
      <c r="I47" s="13">
        <v>-949</v>
      </c>
      <c r="J47" s="13">
        <v>-364</v>
      </c>
      <c r="K47" s="13">
        <v>-1029</v>
      </c>
      <c r="L47" s="13">
        <v>-1157</v>
      </c>
      <c r="M47" s="13">
        <v>-1240</v>
      </c>
      <c r="N47" s="13">
        <v>-2911</v>
      </c>
      <c r="O47" s="13">
        <v>-1218</v>
      </c>
      <c r="P47" s="13">
        <v>-2787</v>
      </c>
      <c r="Q47" s="13">
        <v>-7229</v>
      </c>
      <c r="R47" s="13">
        <v>-14645</v>
      </c>
      <c r="S47" s="13">
        <v>-9563</v>
      </c>
      <c r="T47" s="13">
        <v>-15954</v>
      </c>
      <c r="U47" s="13">
        <v>0</v>
      </c>
      <c r="V47" s="13">
        <v>-16759</v>
      </c>
      <c r="W47" s="13">
        <v>-34283</v>
      </c>
      <c r="X47" s="13">
        <v>-37704</v>
      </c>
      <c r="Y47" s="13">
        <v>-35938</v>
      </c>
      <c r="Z47" s="13">
        <v>-47750</v>
      </c>
      <c r="AA47" s="16">
        <v>-47750</v>
      </c>
    </row>
    <row r="48" spans="1:27" x14ac:dyDescent="0.25">
      <c r="A48" s="10" t="s">
        <v>1201</v>
      </c>
      <c r="B48" s="10" t="s">
        <v>1202</v>
      </c>
      <c r="C48" s="13">
        <v>1176.1759999999999</v>
      </c>
      <c r="D48" s="13">
        <v>43.942999999999998</v>
      </c>
      <c r="E48" s="13">
        <v>1730</v>
      </c>
      <c r="F48" s="13">
        <v>-190</v>
      </c>
      <c r="G48" s="13">
        <v>6622</v>
      </c>
      <c r="H48" s="13">
        <v>3681.02</v>
      </c>
      <c r="I48" s="13">
        <v>10403</v>
      </c>
      <c r="J48" s="13">
        <v>-2481</v>
      </c>
      <c r="K48" s="13">
        <v>-350</v>
      </c>
      <c r="L48" s="13">
        <v>-1293</v>
      </c>
      <c r="M48" s="13">
        <v>2933</v>
      </c>
      <c r="N48" s="13">
        <v>-1457</v>
      </c>
      <c r="O48" s="13">
        <v>-1567</v>
      </c>
      <c r="P48" s="13">
        <v>865</v>
      </c>
      <c r="Q48" s="13">
        <v>4464</v>
      </c>
      <c r="R48" s="13">
        <v>10952</v>
      </c>
      <c r="S48" s="13">
        <v>0</v>
      </c>
      <c r="T48" s="13">
        <v>0</v>
      </c>
      <c r="U48" s="13">
        <v>0</v>
      </c>
      <c r="V48" s="13">
        <v>0</v>
      </c>
      <c r="W48" s="13">
        <v>-15693</v>
      </c>
      <c r="X48" s="13">
        <v>-13090</v>
      </c>
      <c r="Y48" s="13">
        <v>27693</v>
      </c>
      <c r="Z48" s="13">
        <v>-14800</v>
      </c>
      <c r="AA48" s="16">
        <v>-1703</v>
      </c>
    </row>
    <row r="49" spans="1:27" x14ac:dyDescent="0.25">
      <c r="A49" s="10" t="s">
        <v>1203</v>
      </c>
      <c r="B49" s="10" t="s">
        <v>1204</v>
      </c>
      <c r="C49" s="13" t="s">
        <v>80</v>
      </c>
      <c r="D49" s="13" t="s">
        <v>80</v>
      </c>
      <c r="E49" s="13" t="s">
        <v>80</v>
      </c>
      <c r="F49" s="13" t="s">
        <v>80</v>
      </c>
      <c r="G49" s="13" t="s">
        <v>80</v>
      </c>
      <c r="H49" s="13" t="s">
        <v>80</v>
      </c>
      <c r="I49" s="13" t="s">
        <v>80</v>
      </c>
      <c r="J49" s="13" t="s">
        <v>80</v>
      </c>
      <c r="K49" s="13" t="s">
        <v>80</v>
      </c>
      <c r="L49" s="13" t="s">
        <v>80</v>
      </c>
      <c r="M49" s="13" t="s">
        <v>80</v>
      </c>
      <c r="N49" s="13" t="s">
        <v>80</v>
      </c>
      <c r="O49" s="13" t="s">
        <v>80</v>
      </c>
      <c r="P49" s="13" t="s">
        <v>80</v>
      </c>
      <c r="Q49" s="13" t="s">
        <v>80</v>
      </c>
      <c r="R49" s="13" t="s">
        <v>80</v>
      </c>
      <c r="S49" s="13">
        <v>0</v>
      </c>
      <c r="T49" s="13">
        <v>0</v>
      </c>
      <c r="U49" s="13">
        <v>0</v>
      </c>
      <c r="V49" s="13" t="s">
        <v>80</v>
      </c>
      <c r="W49" s="13" t="s">
        <v>80</v>
      </c>
      <c r="X49" s="13" t="s">
        <v>80</v>
      </c>
      <c r="Y49" s="13" t="s">
        <v>80</v>
      </c>
      <c r="Z49" s="13" t="s">
        <v>80</v>
      </c>
      <c r="AA49" s="16"/>
    </row>
    <row r="50" spans="1:27" x14ac:dyDescent="0.25">
      <c r="A50" s="10" t="s">
        <v>1205</v>
      </c>
      <c r="B50" s="10" t="s">
        <v>1206</v>
      </c>
      <c r="C50" s="13" t="s">
        <v>80</v>
      </c>
      <c r="D50" s="13" t="s">
        <v>80</v>
      </c>
      <c r="E50" s="13" t="s">
        <v>80</v>
      </c>
      <c r="F50" s="13" t="s">
        <v>80</v>
      </c>
      <c r="G50" s="13" t="s">
        <v>80</v>
      </c>
      <c r="H50" s="13" t="s">
        <v>80</v>
      </c>
      <c r="I50" s="13" t="s">
        <v>80</v>
      </c>
      <c r="J50" s="13" t="s">
        <v>80</v>
      </c>
      <c r="K50" s="13" t="s">
        <v>80</v>
      </c>
      <c r="L50" s="13" t="s">
        <v>80</v>
      </c>
      <c r="M50" s="13" t="s">
        <v>80</v>
      </c>
      <c r="N50" s="13" t="s">
        <v>80</v>
      </c>
      <c r="O50" s="13" t="s">
        <v>80</v>
      </c>
      <c r="P50" s="13" t="s">
        <v>80</v>
      </c>
      <c r="Q50" s="13" t="s">
        <v>80</v>
      </c>
      <c r="R50" s="13" t="s">
        <v>80</v>
      </c>
      <c r="S50" s="13">
        <v>0</v>
      </c>
      <c r="T50" s="13">
        <v>0</v>
      </c>
      <c r="U50" s="13">
        <v>0</v>
      </c>
      <c r="V50" s="13" t="s">
        <v>80</v>
      </c>
      <c r="W50" s="13" t="s">
        <v>80</v>
      </c>
      <c r="X50" s="13" t="s">
        <v>80</v>
      </c>
      <c r="Y50" s="13" t="s">
        <v>80</v>
      </c>
      <c r="Z50" s="13" t="s">
        <v>80</v>
      </c>
      <c r="AA50" s="16"/>
    </row>
    <row r="51" spans="1:27" x14ac:dyDescent="0.25">
      <c r="A51" s="10" t="s">
        <v>1207</v>
      </c>
      <c r="B51" s="10" t="s">
        <v>1208</v>
      </c>
      <c r="C51" s="13" t="s">
        <v>80</v>
      </c>
      <c r="D51" s="13" t="s">
        <v>80</v>
      </c>
      <c r="E51" s="13" t="s">
        <v>80</v>
      </c>
      <c r="F51" s="13" t="s">
        <v>80</v>
      </c>
      <c r="G51" s="13" t="s">
        <v>80</v>
      </c>
      <c r="H51" s="13" t="s">
        <v>80</v>
      </c>
      <c r="I51" s="13" t="s">
        <v>80</v>
      </c>
      <c r="J51" s="13" t="s">
        <v>80</v>
      </c>
      <c r="K51" s="13" t="s">
        <v>80</v>
      </c>
      <c r="L51" s="13" t="s">
        <v>80</v>
      </c>
      <c r="M51" s="13" t="s">
        <v>80</v>
      </c>
      <c r="N51" s="13" t="s">
        <v>80</v>
      </c>
      <c r="O51" s="13" t="s">
        <v>80</v>
      </c>
      <c r="P51" s="13" t="s">
        <v>80</v>
      </c>
      <c r="Q51" s="13" t="s">
        <v>80</v>
      </c>
      <c r="R51" s="13" t="s">
        <v>80</v>
      </c>
      <c r="S51" s="13">
        <v>0</v>
      </c>
      <c r="T51" s="13">
        <v>0</v>
      </c>
      <c r="U51" s="13">
        <v>0</v>
      </c>
      <c r="V51" s="13" t="s">
        <v>80</v>
      </c>
      <c r="W51" s="13" t="s">
        <v>80</v>
      </c>
      <c r="X51" s="13" t="s">
        <v>80</v>
      </c>
      <c r="Y51" s="13" t="s">
        <v>80</v>
      </c>
      <c r="Z51" s="13" t="s">
        <v>80</v>
      </c>
      <c r="AA51" s="16"/>
    </row>
    <row r="52" spans="1:27" x14ac:dyDescent="0.25">
      <c r="A52" s="10" t="s">
        <v>1209</v>
      </c>
      <c r="B52" s="10" t="s">
        <v>1210</v>
      </c>
      <c r="C52" s="13" t="s">
        <v>80</v>
      </c>
      <c r="D52" s="13" t="s">
        <v>80</v>
      </c>
      <c r="E52" s="13" t="s">
        <v>80</v>
      </c>
      <c r="F52" s="13" t="s">
        <v>80</v>
      </c>
      <c r="G52" s="13" t="s">
        <v>80</v>
      </c>
      <c r="H52" s="13" t="s">
        <v>80</v>
      </c>
      <c r="I52" s="13" t="s">
        <v>80</v>
      </c>
      <c r="J52" s="13" t="s">
        <v>80</v>
      </c>
      <c r="K52" s="13" t="s">
        <v>80</v>
      </c>
      <c r="L52" s="13" t="s">
        <v>80</v>
      </c>
      <c r="M52" s="13" t="s">
        <v>80</v>
      </c>
      <c r="N52" s="13" t="s">
        <v>80</v>
      </c>
      <c r="O52" s="13" t="s">
        <v>80</v>
      </c>
      <c r="P52" s="13" t="s">
        <v>80</v>
      </c>
      <c r="Q52" s="13" t="s">
        <v>80</v>
      </c>
      <c r="R52" s="13" t="s">
        <v>80</v>
      </c>
      <c r="S52" s="13">
        <v>0</v>
      </c>
      <c r="T52" s="13">
        <v>0</v>
      </c>
      <c r="U52" s="13">
        <v>0</v>
      </c>
      <c r="V52" s="13" t="s">
        <v>80</v>
      </c>
      <c r="W52" s="13" t="s">
        <v>80</v>
      </c>
      <c r="X52" s="13" t="s">
        <v>80</v>
      </c>
      <c r="Y52" s="13" t="s">
        <v>80</v>
      </c>
      <c r="Z52" s="13" t="s">
        <v>80</v>
      </c>
      <c r="AA52" s="16"/>
    </row>
    <row r="53" spans="1:27" x14ac:dyDescent="0.25">
      <c r="A53" s="10" t="s">
        <v>1211</v>
      </c>
      <c r="B53" s="10" t="s">
        <v>1212</v>
      </c>
      <c r="C53" s="13">
        <v>6.5810000000000004</v>
      </c>
      <c r="D53" s="13">
        <v>86.302999999999997</v>
      </c>
      <c r="E53" s="13" t="s">
        <v>80</v>
      </c>
      <c r="F53" s="13">
        <v>-16</v>
      </c>
      <c r="G53" s="13">
        <v>30</v>
      </c>
      <c r="H53" s="13" t="s">
        <v>80</v>
      </c>
      <c r="I53" s="13">
        <v>103</v>
      </c>
      <c r="J53" s="13">
        <v>-451</v>
      </c>
      <c r="K53" s="13">
        <v>69</v>
      </c>
      <c r="L53" s="13">
        <v>461</v>
      </c>
      <c r="M53" s="13">
        <v>33</v>
      </c>
      <c r="N53" s="13">
        <v>31637</v>
      </c>
      <c r="O53" s="13">
        <v>-549</v>
      </c>
      <c r="P53" s="13">
        <v>-1551</v>
      </c>
      <c r="Q53" s="13">
        <v>-1394</v>
      </c>
      <c r="R53" s="13">
        <v>-1181</v>
      </c>
      <c r="S53" s="13">
        <v>-855</v>
      </c>
      <c r="T53" s="13">
        <v>108</v>
      </c>
      <c r="U53" s="13">
        <v>-2146</v>
      </c>
      <c r="V53" s="13">
        <v>0</v>
      </c>
      <c r="W53" s="13">
        <v>-5810</v>
      </c>
      <c r="X53" s="13">
        <v>-3988</v>
      </c>
      <c r="Y53" s="13">
        <v>-16541</v>
      </c>
      <c r="Z53" s="13">
        <v>-8861</v>
      </c>
      <c r="AA53" s="16">
        <v>-8861</v>
      </c>
    </row>
    <row r="54" spans="1:27" x14ac:dyDescent="0.25">
      <c r="A54" s="10" t="s">
        <v>1213</v>
      </c>
      <c r="B54" s="10" t="s">
        <v>1214</v>
      </c>
      <c r="C54" s="13">
        <v>6.5810000000000004</v>
      </c>
      <c r="D54" s="13">
        <v>86.302999999999997</v>
      </c>
      <c r="E54" s="13" t="s">
        <v>80</v>
      </c>
      <c r="F54" s="13" t="s">
        <v>80</v>
      </c>
      <c r="G54" s="13">
        <v>30</v>
      </c>
      <c r="H54" s="13" t="s">
        <v>80</v>
      </c>
      <c r="I54" s="13">
        <v>103</v>
      </c>
      <c r="J54" s="13">
        <v>0</v>
      </c>
      <c r="K54" s="13">
        <v>69</v>
      </c>
      <c r="L54" s="13">
        <v>461</v>
      </c>
      <c r="M54" s="13">
        <v>33</v>
      </c>
      <c r="N54" s="13">
        <v>31637</v>
      </c>
      <c r="O54" s="13">
        <v>0</v>
      </c>
      <c r="P54" s="13">
        <v>0</v>
      </c>
      <c r="Q54" s="13">
        <v>0</v>
      </c>
      <c r="R54" s="13" t="s">
        <v>80</v>
      </c>
      <c r="S54" s="13">
        <v>0</v>
      </c>
      <c r="T54" s="13">
        <v>108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6">
        <v>0</v>
      </c>
    </row>
    <row r="55" spans="1:27" x14ac:dyDescent="0.25">
      <c r="A55" s="10" t="s">
        <v>1215</v>
      </c>
      <c r="B55" s="10" t="s">
        <v>1216</v>
      </c>
      <c r="C55" s="13">
        <v>0</v>
      </c>
      <c r="D55" s="13">
        <v>0</v>
      </c>
      <c r="E55" s="13" t="s">
        <v>80</v>
      </c>
      <c r="F55" s="13">
        <v>-16</v>
      </c>
      <c r="G55" s="13" t="s">
        <v>80</v>
      </c>
      <c r="H55" s="13" t="s">
        <v>80</v>
      </c>
      <c r="I55" s="13">
        <v>0</v>
      </c>
      <c r="J55" s="13">
        <v>-451</v>
      </c>
      <c r="K55" s="13">
        <v>0</v>
      </c>
      <c r="L55" s="13">
        <v>0</v>
      </c>
      <c r="M55" s="13">
        <v>0</v>
      </c>
      <c r="N55" s="13">
        <v>0</v>
      </c>
      <c r="O55" s="13">
        <v>-549</v>
      </c>
      <c r="P55" s="13">
        <v>-1551</v>
      </c>
      <c r="Q55" s="13">
        <v>-1394</v>
      </c>
      <c r="R55" s="13">
        <v>-1181</v>
      </c>
      <c r="S55" s="13">
        <v>-855</v>
      </c>
      <c r="T55" s="13">
        <v>0</v>
      </c>
      <c r="U55" s="13">
        <v>-2146</v>
      </c>
      <c r="V55" s="13">
        <v>0</v>
      </c>
      <c r="W55" s="13">
        <v>-5810</v>
      </c>
      <c r="X55" s="13">
        <v>-3988</v>
      </c>
      <c r="Y55" s="13">
        <v>-16541</v>
      </c>
      <c r="Z55" s="13">
        <v>-8861</v>
      </c>
      <c r="AA55" s="16">
        <v>-8861</v>
      </c>
    </row>
    <row r="56" spans="1:27" x14ac:dyDescent="0.25">
      <c r="A56" s="10" t="s">
        <v>1217</v>
      </c>
      <c r="B56" s="10" t="s">
        <v>1218</v>
      </c>
      <c r="C56" s="13">
        <v>63509.885999999999</v>
      </c>
      <c r="D56" s="13">
        <v>13556.388000000001</v>
      </c>
      <c r="E56" s="13" t="s">
        <v>80</v>
      </c>
      <c r="F56" s="13" t="s">
        <v>80</v>
      </c>
      <c r="G56" s="13" t="s">
        <v>80</v>
      </c>
      <c r="H56" s="13" t="s">
        <v>80</v>
      </c>
      <c r="I56" s="13">
        <v>57462</v>
      </c>
      <c r="J56" s="13">
        <v>15344</v>
      </c>
      <c r="K56" s="13">
        <v>18975</v>
      </c>
      <c r="L56" s="13">
        <v>75036</v>
      </c>
      <c r="M56" s="13">
        <v>55653</v>
      </c>
      <c r="N56" s="13">
        <v>19295</v>
      </c>
      <c r="O56" s="13">
        <v>51799</v>
      </c>
      <c r="P56" s="13">
        <v>60141</v>
      </c>
      <c r="Q56" s="13">
        <v>35268</v>
      </c>
      <c r="R56" s="13">
        <v>66262</v>
      </c>
      <c r="S56" s="13">
        <v>20524</v>
      </c>
      <c r="T56" s="13">
        <v>-31811</v>
      </c>
      <c r="U56" s="13">
        <v>97222</v>
      </c>
      <c r="V56" s="13">
        <v>-22687</v>
      </c>
      <c r="W56" s="13">
        <v>98166</v>
      </c>
      <c r="X56" s="13">
        <v>159226</v>
      </c>
      <c r="Y56" s="13">
        <v>77083</v>
      </c>
      <c r="Z56" s="13">
        <v>108508</v>
      </c>
      <c r="AA56" s="16">
        <v>66105</v>
      </c>
    </row>
    <row r="57" spans="1:27" x14ac:dyDescent="0.25">
      <c r="A57" s="10" t="s">
        <v>1219</v>
      </c>
      <c r="B57" s="10" t="s">
        <v>1220</v>
      </c>
      <c r="C57" s="13">
        <v>0</v>
      </c>
      <c r="D57" s="13">
        <v>0</v>
      </c>
      <c r="E57" s="13">
        <v>22</v>
      </c>
      <c r="F57" s="13" t="s">
        <v>80</v>
      </c>
      <c r="G57" s="13" t="s">
        <v>80</v>
      </c>
      <c r="H57" s="13">
        <v>-6113.6080000000002</v>
      </c>
      <c r="I57" s="13">
        <v>1269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155</v>
      </c>
      <c r="R57" s="13">
        <v>0</v>
      </c>
      <c r="S57" s="13">
        <v>0</v>
      </c>
      <c r="T57" s="13">
        <v>-28</v>
      </c>
      <c r="U57" s="13">
        <v>11</v>
      </c>
      <c r="V57" s="13">
        <v>0</v>
      </c>
      <c r="W57" s="13">
        <v>-1426</v>
      </c>
      <c r="X57" s="13">
        <v>-741</v>
      </c>
      <c r="Y57" s="13">
        <v>-1154</v>
      </c>
      <c r="Z57" s="13">
        <v>-1121</v>
      </c>
      <c r="AA57" s="16">
        <v>-12306</v>
      </c>
    </row>
    <row r="58" spans="1:27" x14ac:dyDescent="0.25">
      <c r="A58" s="10" t="s">
        <v>1152</v>
      </c>
      <c r="B58" s="10" t="s">
        <v>1221</v>
      </c>
      <c r="C58" s="13" t="s">
        <v>80</v>
      </c>
      <c r="D58" s="13" t="s">
        <v>80</v>
      </c>
      <c r="E58" s="13" t="s">
        <v>80</v>
      </c>
      <c r="F58" s="13" t="s">
        <v>80</v>
      </c>
      <c r="G58" s="13" t="s">
        <v>80</v>
      </c>
      <c r="H58" s="13" t="s">
        <v>80</v>
      </c>
      <c r="I58" s="13" t="s">
        <v>80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 t="s">
        <v>80</v>
      </c>
      <c r="R58" s="13">
        <v>0</v>
      </c>
      <c r="S58" s="13" t="s">
        <v>80</v>
      </c>
      <c r="T58" s="13" t="s">
        <v>80</v>
      </c>
      <c r="U58" s="13" t="s">
        <v>80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6">
        <v>0</v>
      </c>
    </row>
    <row r="59" spans="1:27" x14ac:dyDescent="0.25">
      <c r="A59" s="6" t="s">
        <v>1198</v>
      </c>
      <c r="B59" s="6" t="s">
        <v>1222</v>
      </c>
      <c r="C59" s="19">
        <v>64183.389000000003</v>
      </c>
      <c r="D59" s="19">
        <v>13329.057000000001</v>
      </c>
      <c r="E59" s="19">
        <v>1240</v>
      </c>
      <c r="F59" s="19">
        <v>-843</v>
      </c>
      <c r="G59" s="19">
        <v>5889</v>
      </c>
      <c r="H59" s="19">
        <v>-2432.5880000000002</v>
      </c>
      <c r="I59" s="19">
        <v>68288</v>
      </c>
      <c r="J59" s="19">
        <v>12048</v>
      </c>
      <c r="K59" s="19">
        <v>17665</v>
      </c>
      <c r="L59" s="19">
        <v>73047</v>
      </c>
      <c r="M59" s="19">
        <v>57379</v>
      </c>
      <c r="N59" s="19">
        <v>46564</v>
      </c>
      <c r="O59" s="19">
        <v>48465</v>
      </c>
      <c r="P59" s="19">
        <v>56668</v>
      </c>
      <c r="Q59" s="19">
        <v>31109</v>
      </c>
      <c r="R59" s="19">
        <v>61388</v>
      </c>
      <c r="S59" s="19">
        <v>10106</v>
      </c>
      <c r="T59" s="19">
        <v>-47657</v>
      </c>
      <c r="U59" s="19">
        <v>95076</v>
      </c>
      <c r="V59" s="19">
        <v>-39446</v>
      </c>
      <c r="W59" s="19">
        <v>40954</v>
      </c>
      <c r="X59" s="19">
        <v>103703</v>
      </c>
      <c r="Y59" s="19">
        <v>51143</v>
      </c>
      <c r="Z59" s="19">
        <v>35976</v>
      </c>
      <c r="AA59" s="22">
        <v>-4515</v>
      </c>
    </row>
    <row r="60" spans="1:27" x14ac:dyDescent="0.25">
      <c r="A60" s="6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1"/>
    </row>
    <row r="61" spans="1:27" x14ac:dyDescent="0.25">
      <c r="A61" s="10" t="s">
        <v>1223</v>
      </c>
      <c r="B61" s="10" t="s">
        <v>1224</v>
      </c>
      <c r="C61" s="13" t="s">
        <v>80</v>
      </c>
      <c r="D61" s="13" t="s">
        <v>80</v>
      </c>
      <c r="E61" s="13" t="s">
        <v>80</v>
      </c>
      <c r="F61" s="13" t="s">
        <v>80</v>
      </c>
      <c r="G61" s="13" t="s">
        <v>80</v>
      </c>
      <c r="H61" s="13" t="s">
        <v>80</v>
      </c>
      <c r="I61" s="13" t="s">
        <v>80</v>
      </c>
      <c r="J61" s="13">
        <v>-63</v>
      </c>
      <c r="K61" s="13">
        <v>-133</v>
      </c>
      <c r="L61" s="13">
        <v>162</v>
      </c>
      <c r="M61" s="13">
        <v>-85</v>
      </c>
      <c r="N61" s="13">
        <v>14</v>
      </c>
      <c r="O61" s="13">
        <v>236</v>
      </c>
      <c r="P61" s="13">
        <v>261</v>
      </c>
      <c r="Q61" s="13">
        <v>155</v>
      </c>
      <c r="R61" s="13">
        <v>-27</v>
      </c>
      <c r="S61" s="13">
        <v>-1</v>
      </c>
      <c r="T61" s="13">
        <v>-28</v>
      </c>
      <c r="U61" s="13">
        <v>11</v>
      </c>
      <c r="V61" s="13">
        <v>32</v>
      </c>
      <c r="W61" s="13">
        <v>-55</v>
      </c>
      <c r="X61" s="13">
        <v>-149</v>
      </c>
      <c r="Y61" s="13">
        <v>301</v>
      </c>
      <c r="Z61" s="13">
        <v>-230</v>
      </c>
      <c r="AA61" s="16">
        <v>-202</v>
      </c>
    </row>
    <row r="62" spans="1:27" x14ac:dyDescent="0.25">
      <c r="A62" s="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1"/>
    </row>
    <row r="63" spans="1:27" x14ac:dyDescent="0.25">
      <c r="A63" s="6" t="s">
        <v>132</v>
      </c>
      <c r="B63" s="6" t="s">
        <v>133</v>
      </c>
      <c r="C63" s="19">
        <v>15420.036</v>
      </c>
      <c r="D63" s="19">
        <v>6184.5749999999998</v>
      </c>
      <c r="E63" s="19">
        <v>6949</v>
      </c>
      <c r="F63" s="19">
        <v>-1722</v>
      </c>
      <c r="G63" s="19">
        <v>3001</v>
      </c>
      <c r="H63" s="19">
        <v>-3443.962</v>
      </c>
      <c r="I63" s="19">
        <v>12792</v>
      </c>
      <c r="J63" s="19">
        <v>4872</v>
      </c>
      <c r="K63" s="19">
        <v>3229</v>
      </c>
      <c r="L63" s="19">
        <v>-5369</v>
      </c>
      <c r="M63" s="19">
        <v>14512</v>
      </c>
      <c r="N63" s="19">
        <v>-6502</v>
      </c>
      <c r="O63" s="19">
        <v>11860</v>
      </c>
      <c r="P63" s="19">
        <v>34010</v>
      </c>
      <c r="Q63" s="19">
        <v>-41962</v>
      </c>
      <c r="R63" s="19">
        <v>10383</v>
      </c>
      <c r="S63" s="19">
        <v>-632</v>
      </c>
      <c r="T63" s="19">
        <v>-12840</v>
      </c>
      <c r="U63" s="19">
        <v>46509</v>
      </c>
      <c r="V63" s="19">
        <v>-10464</v>
      </c>
      <c r="W63" s="19">
        <v>9412</v>
      </c>
      <c r="X63" s="19">
        <v>-8024</v>
      </c>
      <c r="Y63" s="19">
        <v>-1526</v>
      </c>
      <c r="Z63" s="19">
        <v>1591</v>
      </c>
      <c r="AA63" s="22">
        <v>-46756</v>
      </c>
    </row>
    <row r="64" spans="1:27" x14ac:dyDescent="0.25">
      <c r="A64" s="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1"/>
    </row>
    <row r="65" spans="1:27" x14ac:dyDescent="0.25">
      <c r="A65" s="6" t="s">
        <v>1225</v>
      </c>
      <c r="B65" s="6" t="s">
        <v>1226</v>
      </c>
      <c r="C65" s="19" t="s">
        <v>80</v>
      </c>
      <c r="D65" s="19" t="s">
        <v>80</v>
      </c>
      <c r="E65" s="19" t="s">
        <v>80</v>
      </c>
      <c r="F65" s="19" t="s">
        <v>80</v>
      </c>
      <c r="G65" s="19" t="s">
        <v>80</v>
      </c>
      <c r="H65" s="19" t="s">
        <v>80</v>
      </c>
      <c r="I65" s="19" t="s">
        <v>80</v>
      </c>
      <c r="J65" s="19" t="s">
        <v>80</v>
      </c>
      <c r="K65" s="19" t="s">
        <v>80</v>
      </c>
      <c r="L65" s="19">
        <v>2310</v>
      </c>
      <c r="M65" s="19">
        <v>1821</v>
      </c>
      <c r="N65" s="19">
        <v>5159</v>
      </c>
      <c r="O65" s="19">
        <v>3584</v>
      </c>
      <c r="P65" s="19">
        <v>9912</v>
      </c>
      <c r="Q65" s="19">
        <v>6976</v>
      </c>
      <c r="R65" s="19">
        <v>184</v>
      </c>
      <c r="S65" s="19">
        <v>11774</v>
      </c>
      <c r="T65" s="19">
        <v>8818</v>
      </c>
      <c r="U65" s="19">
        <v>7034</v>
      </c>
      <c r="V65" s="19">
        <v>11587</v>
      </c>
      <c r="W65" s="19">
        <v>0</v>
      </c>
      <c r="X65" s="19">
        <v>0</v>
      </c>
      <c r="Y65" s="19" t="s">
        <v>80</v>
      </c>
      <c r="Z65" s="19" t="s">
        <v>80</v>
      </c>
      <c r="AA65" s="22"/>
    </row>
    <row r="66" spans="1:27" x14ac:dyDescent="0.25">
      <c r="A66" s="6" t="s">
        <v>1227</v>
      </c>
      <c r="B66" s="6" t="s">
        <v>1228</v>
      </c>
      <c r="C66" s="19" t="s">
        <v>80</v>
      </c>
      <c r="D66" s="19" t="s">
        <v>80</v>
      </c>
      <c r="E66" s="19" t="s">
        <v>80</v>
      </c>
      <c r="F66" s="19" t="s">
        <v>80</v>
      </c>
      <c r="G66" s="19" t="s">
        <v>80</v>
      </c>
      <c r="H66" s="19" t="s">
        <v>80</v>
      </c>
      <c r="I66" s="19" t="s">
        <v>80</v>
      </c>
      <c r="J66" s="19" t="s">
        <v>80</v>
      </c>
      <c r="K66" s="19" t="s">
        <v>80</v>
      </c>
      <c r="L66" s="19" t="s">
        <v>80</v>
      </c>
      <c r="M66" s="19" t="s">
        <v>80</v>
      </c>
      <c r="N66" s="19" t="s">
        <v>80</v>
      </c>
      <c r="O66" s="19" t="s">
        <v>80</v>
      </c>
      <c r="P66" s="19" t="s">
        <v>80</v>
      </c>
      <c r="Q66" s="19" t="s">
        <v>80</v>
      </c>
      <c r="R66" s="19">
        <v>301</v>
      </c>
      <c r="S66" s="19">
        <v>1225</v>
      </c>
      <c r="T66" s="19">
        <v>1983</v>
      </c>
      <c r="U66" s="19">
        <v>3342</v>
      </c>
      <c r="V66" s="19">
        <v>3689</v>
      </c>
      <c r="W66" s="19">
        <v>0</v>
      </c>
      <c r="X66" s="19">
        <v>0</v>
      </c>
      <c r="Y66" s="19" t="s">
        <v>80</v>
      </c>
      <c r="Z66" s="19" t="s">
        <v>80</v>
      </c>
      <c r="AA66" s="22"/>
    </row>
    <row r="67" spans="1:27" x14ac:dyDescent="0.25">
      <c r="A67" s="6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1"/>
    </row>
    <row r="68" spans="1:27" x14ac:dyDescent="0.25">
      <c r="A68" s="6" t="s">
        <v>1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1"/>
    </row>
    <row r="69" spans="1:27" x14ac:dyDescent="0.25">
      <c r="A69" s="10" t="s">
        <v>1229</v>
      </c>
      <c r="B69" s="10" t="s">
        <v>1230</v>
      </c>
      <c r="C69" s="13">
        <v>17391.09</v>
      </c>
      <c r="D69" s="13">
        <v>-12241.865</v>
      </c>
      <c r="E69" s="13">
        <v>5978</v>
      </c>
      <c r="F69" s="13">
        <v>-263</v>
      </c>
      <c r="G69" s="13">
        <v>1698</v>
      </c>
      <c r="H69" s="13">
        <v>-435.70499999999998</v>
      </c>
      <c r="I69" s="13">
        <v>1576</v>
      </c>
      <c r="J69" s="13">
        <v>978</v>
      </c>
      <c r="K69" s="13">
        <v>17556</v>
      </c>
      <c r="L69" s="13">
        <v>8692</v>
      </c>
      <c r="M69" s="13">
        <v>9305</v>
      </c>
      <c r="N69" s="13">
        <v>-3320</v>
      </c>
      <c r="O69" s="13">
        <v>5636</v>
      </c>
      <c r="P69" s="13">
        <v>19327</v>
      </c>
      <c r="Q69" s="13">
        <v>-11580</v>
      </c>
      <c r="R69" s="13">
        <v>-5713</v>
      </c>
      <c r="S69" s="13">
        <v>20090</v>
      </c>
      <c r="T69" s="13">
        <v>19670</v>
      </c>
      <c r="U69" s="13">
        <v>-18066</v>
      </c>
      <c r="V69" s="13">
        <v>49449</v>
      </c>
      <c r="W69" s="13">
        <v>68204</v>
      </c>
      <c r="X69" s="13">
        <v>-3760</v>
      </c>
      <c r="Y69" s="13">
        <v>95819</v>
      </c>
      <c r="Z69" s="13">
        <v>62500</v>
      </c>
      <c r="AA69" s="16">
        <v>30940</v>
      </c>
    </row>
    <row r="70" spans="1:27" x14ac:dyDescent="0.25">
      <c r="A70" s="10" t="s">
        <v>1231</v>
      </c>
      <c r="B70" s="10" t="s">
        <v>1232</v>
      </c>
      <c r="C70" s="13">
        <v>18567.266</v>
      </c>
      <c r="D70" s="13">
        <v>-12197.922</v>
      </c>
      <c r="E70" s="13">
        <v>7708</v>
      </c>
      <c r="F70" s="13">
        <v>-453</v>
      </c>
      <c r="G70" s="13">
        <v>8320</v>
      </c>
      <c r="H70" s="13">
        <v>3245.3150000000001</v>
      </c>
      <c r="I70" s="13">
        <v>11979</v>
      </c>
      <c r="J70" s="13">
        <v>-1244</v>
      </c>
      <c r="K70" s="13">
        <v>17510</v>
      </c>
      <c r="L70" s="13">
        <v>7639</v>
      </c>
      <c r="M70" s="13">
        <v>13573</v>
      </c>
      <c r="N70" s="13">
        <v>-2096</v>
      </c>
      <c r="O70" s="13">
        <v>6071</v>
      </c>
      <c r="P70" s="13">
        <v>21195</v>
      </c>
      <c r="Q70" s="13">
        <v>-6083</v>
      </c>
      <c r="R70" s="13">
        <v>5981</v>
      </c>
      <c r="S70" s="13">
        <v>23639</v>
      </c>
      <c r="T70" s="13">
        <v>21076</v>
      </c>
      <c r="U70" s="13">
        <v>-15182</v>
      </c>
      <c r="V70" s="13">
        <v>50968</v>
      </c>
      <c r="W70" s="13">
        <v>53473</v>
      </c>
      <c r="X70" s="13">
        <v>-12910</v>
      </c>
      <c r="Y70" s="13">
        <v>126417</v>
      </c>
      <c r="Z70" s="13">
        <v>51086</v>
      </c>
      <c r="AA70" s="16">
        <v>34172</v>
      </c>
    </row>
    <row r="71" spans="1:27" x14ac:dyDescent="0.25">
      <c r="A71" s="10" t="s">
        <v>1233</v>
      </c>
      <c r="B71" s="10" t="s">
        <v>1234</v>
      </c>
      <c r="C71" s="14">
        <v>8.6967999999999996</v>
      </c>
      <c r="D71" s="14">
        <v>-6.0979000000000001</v>
      </c>
      <c r="E71" s="14">
        <v>2.9618000000000002</v>
      </c>
      <c r="F71" s="14">
        <v>-0.1303</v>
      </c>
      <c r="G71" s="14">
        <v>0.84130000000000005</v>
      </c>
      <c r="H71" s="14">
        <v>-0.21590000000000001</v>
      </c>
      <c r="I71" s="14">
        <v>0.78139999999999998</v>
      </c>
      <c r="J71" s="14">
        <v>0.48480000000000001</v>
      </c>
      <c r="K71" s="14">
        <v>8.6986000000000008</v>
      </c>
      <c r="L71" s="14">
        <v>3.8647</v>
      </c>
      <c r="M71" s="14">
        <v>3.9996999999999998</v>
      </c>
      <c r="N71" s="14">
        <v>-1.3143</v>
      </c>
      <c r="O71" s="14">
        <v>2.0327999999999999</v>
      </c>
      <c r="P71" s="14">
        <v>6.9679000000000002</v>
      </c>
      <c r="Q71" s="14">
        <v>-4.1749000000000001</v>
      </c>
      <c r="R71" s="14">
        <v>-2.0781999999999998</v>
      </c>
      <c r="S71" s="14">
        <v>6.9672999999999998</v>
      </c>
      <c r="T71" s="14">
        <v>6.8655999999999997</v>
      </c>
      <c r="U71" s="14">
        <v>-6.3460000000000001</v>
      </c>
      <c r="V71" s="14">
        <v>17.305399999999999</v>
      </c>
      <c r="W71" s="14">
        <v>23.875299999999999</v>
      </c>
      <c r="X71" s="14">
        <v>-1.304</v>
      </c>
      <c r="Y71" s="14">
        <v>33.628500000000003</v>
      </c>
      <c r="Z71" s="14">
        <v>22.099799999999998</v>
      </c>
      <c r="AA71" s="17">
        <v>10.820009612867899</v>
      </c>
    </row>
    <row r="72" spans="1:27" x14ac:dyDescent="0.25">
      <c r="A72" s="10" t="s">
        <v>1235</v>
      </c>
      <c r="B72" s="10" t="s">
        <v>235</v>
      </c>
      <c r="C72" s="14">
        <v>0.73299999999999998</v>
      </c>
      <c r="D72" s="14" t="s">
        <v>80</v>
      </c>
      <c r="E72" s="14">
        <v>5.9204999999999997</v>
      </c>
      <c r="F72" s="14" t="s">
        <v>80</v>
      </c>
      <c r="G72" s="14">
        <v>50.220399999999998</v>
      </c>
      <c r="H72" s="14" t="s">
        <v>80</v>
      </c>
      <c r="I72" s="14">
        <v>31.8413</v>
      </c>
      <c r="J72" s="14">
        <v>98.670299999999997</v>
      </c>
      <c r="K72" s="14">
        <v>6.7666000000000004</v>
      </c>
      <c r="L72" s="14">
        <v>10.9505</v>
      </c>
      <c r="M72" s="14">
        <v>20.863800000000001</v>
      </c>
      <c r="N72" s="14" t="s">
        <v>80</v>
      </c>
      <c r="O72" s="14">
        <v>39.944499999999998</v>
      </c>
      <c r="P72" s="14">
        <v>13.6326</v>
      </c>
      <c r="Q72" s="14" t="s">
        <v>80</v>
      </c>
      <c r="R72" s="14" t="s">
        <v>80</v>
      </c>
      <c r="S72" s="14">
        <v>13.747</v>
      </c>
      <c r="T72" s="14">
        <v>15.388400000000001</v>
      </c>
      <c r="U72" s="14" t="s">
        <v>80</v>
      </c>
      <c r="V72" s="14">
        <v>7.6866000000000003</v>
      </c>
      <c r="W72" s="14">
        <v>5.86</v>
      </c>
      <c r="X72" s="14" t="s">
        <v>80</v>
      </c>
      <c r="Y72" s="14">
        <v>3.9838</v>
      </c>
      <c r="Z72" s="14">
        <v>7.5538999999999996</v>
      </c>
      <c r="AA72" s="17">
        <v>17.756916283541699</v>
      </c>
    </row>
    <row r="73" spans="1:27" x14ac:dyDescent="0.25">
      <c r="A73" s="10" t="s">
        <v>1236</v>
      </c>
      <c r="B73" s="10" t="s">
        <v>1237</v>
      </c>
      <c r="C73" s="14">
        <v>9.7741000000000007</v>
      </c>
      <c r="D73" s="14">
        <v>-5.4118000000000004</v>
      </c>
      <c r="E73" s="14">
        <v>2.5223</v>
      </c>
      <c r="F73" s="14">
        <v>-1.6299999999999999E-2</v>
      </c>
      <c r="G73" s="14">
        <v>0.50760000000000005</v>
      </c>
      <c r="H73" s="14">
        <v>0.224</v>
      </c>
      <c r="I73" s="14">
        <v>0.41120000000000001</v>
      </c>
      <c r="J73" s="14">
        <v>0.41420000000000001</v>
      </c>
      <c r="K73" s="14">
        <v>2.9487000000000001</v>
      </c>
      <c r="L73" s="14">
        <v>1.5210999999999999</v>
      </c>
      <c r="M73" s="14">
        <v>1.1115999999999999</v>
      </c>
      <c r="N73" s="14">
        <v>4.58E-2</v>
      </c>
      <c r="O73" s="14">
        <v>0.63319999999999999</v>
      </c>
      <c r="P73" s="14">
        <v>1.3585</v>
      </c>
      <c r="Q73" s="14">
        <v>-0.38829999999999998</v>
      </c>
      <c r="R73" s="14">
        <v>-3.9E-2</v>
      </c>
      <c r="S73" s="14">
        <v>0.76949999999999996</v>
      </c>
      <c r="T73" s="14">
        <v>0.66379999999999995</v>
      </c>
      <c r="U73" s="14">
        <v>-0.34849999999999998</v>
      </c>
      <c r="V73" s="14">
        <v>1.5399</v>
      </c>
      <c r="W73" s="14">
        <v>1.7617</v>
      </c>
      <c r="X73" s="14">
        <v>0.1012</v>
      </c>
      <c r="Y73" s="14">
        <v>1.8525</v>
      </c>
      <c r="Z73" s="14">
        <v>1.2521</v>
      </c>
      <c r="AA73" s="17">
        <v>-1.50401086815888</v>
      </c>
    </row>
    <row r="74" spans="1:27" x14ac:dyDescent="0.25">
      <c r="A74" s="7" t="s">
        <v>87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73"/>
  <sheetViews>
    <sheetView workbookViewId="0">
      <selection activeCell="A9" sqref="A9"/>
    </sheetView>
  </sheetViews>
  <sheetFormatPr baseColWidth="10" defaultRowHeight="15" x14ac:dyDescent="0.25"/>
  <cols>
    <col min="1" max="1" width="35.140625" customWidth="1"/>
    <col min="2" max="2" width="0" hidden="1" customWidth="1"/>
    <col min="3" max="23" width="11.85546875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25" x14ac:dyDescent="0.25">
      <c r="A2" s="8" t="s">
        <v>377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3" t="s">
        <v>89</v>
      </c>
      <c r="B4" s="3"/>
      <c r="C4" s="4" t="s">
        <v>7</v>
      </c>
      <c r="D4" s="4" t="s">
        <v>8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</row>
    <row r="5" spans="1:23" x14ac:dyDescent="0.25">
      <c r="A5" s="9" t="s">
        <v>31</v>
      </c>
      <c r="B5" s="9"/>
      <c r="C5" s="5" t="s">
        <v>32</v>
      </c>
      <c r="D5" s="5" t="s">
        <v>33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</row>
    <row r="6" spans="1:23" x14ac:dyDescent="0.25">
      <c r="A6" s="6" t="s">
        <v>1238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5">
      <c r="A7" s="10" t="s">
        <v>1239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0" t="s">
        <v>1240</v>
      </c>
      <c r="B8" s="10" t="s">
        <v>1241</v>
      </c>
      <c r="C8" s="13">
        <v>2015.8630000000001</v>
      </c>
      <c r="D8" s="13">
        <v>2218.4899999999998</v>
      </c>
      <c r="E8" s="13">
        <v>6810.2650000000003</v>
      </c>
      <c r="F8" s="13">
        <v>7014</v>
      </c>
      <c r="G8" s="13">
        <v>5854</v>
      </c>
      <c r="H8" s="13">
        <v>6705</v>
      </c>
      <c r="I8" s="13">
        <v>8517</v>
      </c>
      <c r="J8" s="13">
        <v>10888</v>
      </c>
      <c r="K8" s="13">
        <v>13508</v>
      </c>
      <c r="L8" s="13">
        <v>15228</v>
      </c>
      <c r="M8" s="13">
        <v>17108</v>
      </c>
      <c r="N8" s="13">
        <v>19308</v>
      </c>
      <c r="O8" s="13">
        <v>23908</v>
      </c>
      <c r="P8" s="13">
        <v>31958</v>
      </c>
      <c r="Q8" s="13">
        <v>36528</v>
      </c>
      <c r="R8" s="13">
        <v>30508</v>
      </c>
      <c r="S8" s="13">
        <v>35048</v>
      </c>
      <c r="T8" s="13" t="s">
        <v>80</v>
      </c>
      <c r="U8" s="13" t="s">
        <v>80</v>
      </c>
      <c r="V8" s="13" t="s">
        <v>80</v>
      </c>
      <c r="W8" s="13" t="s">
        <v>80</v>
      </c>
    </row>
    <row r="9" spans="1:23" x14ac:dyDescent="0.25">
      <c r="A9" s="10" t="s">
        <v>1242</v>
      </c>
      <c r="B9" s="10" t="s">
        <v>1243</v>
      </c>
      <c r="C9" s="13" t="s">
        <v>80</v>
      </c>
      <c r="D9" s="13" t="s">
        <v>80</v>
      </c>
      <c r="E9" s="13" t="s">
        <v>80</v>
      </c>
      <c r="F9" s="13" t="s">
        <v>80</v>
      </c>
      <c r="G9" s="13" t="s">
        <v>80</v>
      </c>
      <c r="H9" s="13" t="s">
        <v>80</v>
      </c>
      <c r="I9" s="13">
        <v>1616</v>
      </c>
      <c r="J9" s="13">
        <v>1148</v>
      </c>
      <c r="K9" s="13">
        <v>1216</v>
      </c>
      <c r="L9" s="13">
        <v>1262</v>
      </c>
      <c r="M9" s="13">
        <v>1325</v>
      </c>
      <c r="N9" s="13">
        <v>1170</v>
      </c>
      <c r="O9" s="13">
        <v>1688</v>
      </c>
      <c r="P9" s="13">
        <v>2217</v>
      </c>
      <c r="Q9" s="13">
        <v>2087</v>
      </c>
      <c r="R9" s="13">
        <v>2287</v>
      </c>
      <c r="S9" s="13">
        <v>2590</v>
      </c>
      <c r="T9" s="13">
        <v>3564</v>
      </c>
      <c r="U9" s="13">
        <v>3685</v>
      </c>
      <c r="V9" s="13">
        <v>4198</v>
      </c>
      <c r="W9" s="13">
        <v>4494</v>
      </c>
    </row>
    <row r="10" spans="1:23" x14ac:dyDescent="0.25">
      <c r="A10" s="10" t="s">
        <v>1244</v>
      </c>
      <c r="B10" s="10" t="s">
        <v>1245</v>
      </c>
      <c r="C10" s="13" t="s">
        <v>80</v>
      </c>
      <c r="D10" s="13" t="s">
        <v>80</v>
      </c>
      <c r="E10" s="13" t="s">
        <v>80</v>
      </c>
      <c r="F10" s="13" t="s">
        <v>80</v>
      </c>
      <c r="G10" s="13" t="s">
        <v>80</v>
      </c>
      <c r="H10" s="13" t="s">
        <v>80</v>
      </c>
      <c r="I10" s="13" t="s">
        <v>80</v>
      </c>
      <c r="J10" s="13" t="s">
        <v>80</v>
      </c>
      <c r="K10" s="13" t="s">
        <v>80</v>
      </c>
      <c r="L10" s="13" t="s">
        <v>80</v>
      </c>
      <c r="M10" s="13" t="s">
        <v>80</v>
      </c>
      <c r="N10" s="13" t="s">
        <v>80</v>
      </c>
      <c r="O10" s="13" t="s">
        <v>80</v>
      </c>
      <c r="P10" s="13" t="s">
        <v>80</v>
      </c>
      <c r="Q10" s="13" t="s">
        <v>80</v>
      </c>
      <c r="R10" s="13" t="s">
        <v>80</v>
      </c>
      <c r="S10" s="13" t="s">
        <v>80</v>
      </c>
      <c r="T10" s="13">
        <v>804</v>
      </c>
      <c r="U10" s="13">
        <v>800</v>
      </c>
      <c r="V10" s="13">
        <v>1053</v>
      </c>
      <c r="W10" s="13">
        <v>1030</v>
      </c>
    </row>
    <row r="11" spans="1:23" x14ac:dyDescent="0.25">
      <c r="A11" s="10" t="s">
        <v>1246</v>
      </c>
      <c r="B11" s="10" t="s">
        <v>1247</v>
      </c>
      <c r="C11" s="13">
        <v>765.59799999999996</v>
      </c>
      <c r="D11" s="13">
        <v>942.56799999999998</v>
      </c>
      <c r="E11" s="13">
        <v>980.70600000000002</v>
      </c>
      <c r="F11" s="13">
        <v>1099</v>
      </c>
      <c r="G11" s="13">
        <v>954</v>
      </c>
      <c r="H11" s="13">
        <v>1181</v>
      </c>
      <c r="I11" s="13" t="s">
        <v>80</v>
      </c>
      <c r="J11" s="13" t="s">
        <v>80</v>
      </c>
      <c r="K11" s="13" t="s">
        <v>80</v>
      </c>
      <c r="L11" s="13" t="s">
        <v>80</v>
      </c>
      <c r="M11" s="13" t="s">
        <v>80</v>
      </c>
      <c r="N11" s="13" t="s">
        <v>80</v>
      </c>
      <c r="O11" s="13" t="s">
        <v>80</v>
      </c>
      <c r="P11" s="13" t="s">
        <v>80</v>
      </c>
      <c r="Q11" s="13" t="s">
        <v>80</v>
      </c>
      <c r="R11" s="13" t="s">
        <v>80</v>
      </c>
      <c r="S11" s="13" t="s">
        <v>80</v>
      </c>
      <c r="T11" s="13" t="s">
        <v>80</v>
      </c>
      <c r="U11" s="13" t="s">
        <v>80</v>
      </c>
      <c r="V11" s="13" t="s">
        <v>80</v>
      </c>
      <c r="W11" s="13" t="s">
        <v>80</v>
      </c>
    </row>
    <row r="12" spans="1:23" x14ac:dyDescent="0.25">
      <c r="A12" s="10" t="s">
        <v>1248</v>
      </c>
      <c r="B12" s="10" t="s">
        <v>1249</v>
      </c>
      <c r="C12" s="13">
        <v>-58.835999999999999</v>
      </c>
      <c r="D12" s="13">
        <v>-129.17699999999999</v>
      </c>
      <c r="E12" s="13">
        <v>-487.28800000000001</v>
      </c>
      <c r="F12" s="13">
        <v>-257</v>
      </c>
      <c r="G12" s="13" t="s">
        <v>80</v>
      </c>
      <c r="H12" s="13" t="s">
        <v>80</v>
      </c>
      <c r="I12" s="13" t="s">
        <v>80</v>
      </c>
      <c r="J12" s="13" t="s">
        <v>80</v>
      </c>
      <c r="K12" s="13" t="s">
        <v>80</v>
      </c>
      <c r="L12" s="13" t="s">
        <v>80</v>
      </c>
      <c r="M12" s="13" t="s">
        <v>80</v>
      </c>
      <c r="N12" s="13" t="s">
        <v>80</v>
      </c>
      <c r="O12" s="13" t="s">
        <v>80</v>
      </c>
      <c r="P12" s="13" t="s">
        <v>80</v>
      </c>
      <c r="Q12" s="13" t="s">
        <v>80</v>
      </c>
      <c r="R12" s="13" t="s">
        <v>80</v>
      </c>
      <c r="S12" s="13" t="s">
        <v>80</v>
      </c>
      <c r="T12" s="13" t="s">
        <v>80</v>
      </c>
      <c r="U12" s="13" t="s">
        <v>80</v>
      </c>
      <c r="V12" s="13" t="s">
        <v>80</v>
      </c>
      <c r="W12" s="13" t="s">
        <v>80</v>
      </c>
    </row>
    <row r="13" spans="1:23" x14ac:dyDescent="0.25">
      <c r="A13" s="10" t="s">
        <v>1250</v>
      </c>
      <c r="B13" s="10" t="s">
        <v>1251</v>
      </c>
      <c r="C13" s="13">
        <v>-177.102</v>
      </c>
      <c r="D13" s="13">
        <v>144.87899999999999</v>
      </c>
      <c r="E13" s="13" t="s">
        <v>80</v>
      </c>
      <c r="F13" s="13">
        <v>373</v>
      </c>
      <c r="G13" s="13" t="s">
        <v>80</v>
      </c>
      <c r="H13" s="13" t="s">
        <v>80</v>
      </c>
      <c r="I13" s="13" t="s">
        <v>80</v>
      </c>
      <c r="J13" s="13" t="s">
        <v>80</v>
      </c>
      <c r="K13" s="13" t="s">
        <v>80</v>
      </c>
      <c r="L13" s="13" t="s">
        <v>80</v>
      </c>
      <c r="M13" s="13" t="s">
        <v>80</v>
      </c>
      <c r="N13" s="13" t="s">
        <v>80</v>
      </c>
      <c r="O13" s="13" t="s">
        <v>80</v>
      </c>
      <c r="P13" s="13" t="s">
        <v>80</v>
      </c>
      <c r="Q13" s="13" t="s">
        <v>80</v>
      </c>
      <c r="R13" s="13" t="s">
        <v>80</v>
      </c>
      <c r="S13" s="13" t="s">
        <v>80</v>
      </c>
      <c r="T13" s="13" t="s">
        <v>80</v>
      </c>
      <c r="U13" s="13" t="s">
        <v>80</v>
      </c>
      <c r="V13" s="13" t="s">
        <v>80</v>
      </c>
      <c r="W13" s="13" t="s">
        <v>80</v>
      </c>
    </row>
    <row r="14" spans="1:23" x14ac:dyDescent="0.25">
      <c r="A14" s="10" t="s">
        <v>1252</v>
      </c>
      <c r="B14" s="10" t="s">
        <v>1253</v>
      </c>
      <c r="C14" s="13" t="s">
        <v>80</v>
      </c>
      <c r="D14" s="13" t="s">
        <v>80</v>
      </c>
      <c r="E14" s="13" t="s">
        <v>80</v>
      </c>
      <c r="F14" s="13" t="s">
        <v>80</v>
      </c>
      <c r="G14" s="13" t="s">
        <v>80</v>
      </c>
      <c r="H14" s="13" t="s">
        <v>80</v>
      </c>
      <c r="I14" s="13" t="s">
        <v>80</v>
      </c>
      <c r="J14" s="13" t="s">
        <v>80</v>
      </c>
      <c r="K14" s="13" t="s">
        <v>80</v>
      </c>
      <c r="L14" s="13" t="s">
        <v>80</v>
      </c>
      <c r="M14" s="13">
        <v>0</v>
      </c>
      <c r="N14" s="13">
        <v>243</v>
      </c>
      <c r="O14" s="13">
        <v>89</v>
      </c>
      <c r="P14" s="13">
        <v>0</v>
      </c>
      <c r="Q14" s="13" t="s">
        <v>80</v>
      </c>
      <c r="R14" s="13" t="s">
        <v>80</v>
      </c>
      <c r="S14" s="13" t="s">
        <v>80</v>
      </c>
      <c r="T14" s="13" t="s">
        <v>80</v>
      </c>
      <c r="U14" s="13" t="s">
        <v>80</v>
      </c>
      <c r="V14" s="13">
        <v>0</v>
      </c>
      <c r="W14" s="13">
        <v>-4551</v>
      </c>
    </row>
    <row r="15" spans="1:23" x14ac:dyDescent="0.25">
      <c r="A15" s="10" t="s">
        <v>1254</v>
      </c>
      <c r="B15" s="10" t="s">
        <v>1255</v>
      </c>
      <c r="C15" s="13">
        <v>46.585999999999999</v>
      </c>
      <c r="D15" s="13">
        <v>26.07</v>
      </c>
      <c r="E15" s="13">
        <v>134.35300000000001</v>
      </c>
      <c r="F15" s="13">
        <v>-268</v>
      </c>
      <c r="G15" s="13" t="s">
        <v>80</v>
      </c>
      <c r="H15" s="13" t="s">
        <v>80</v>
      </c>
      <c r="I15" s="13" t="s">
        <v>80</v>
      </c>
      <c r="J15" s="13" t="s">
        <v>80</v>
      </c>
      <c r="K15" s="13" t="s">
        <v>80</v>
      </c>
      <c r="L15" s="13" t="s">
        <v>80</v>
      </c>
      <c r="M15" s="13" t="s">
        <v>80</v>
      </c>
      <c r="N15" s="13" t="s">
        <v>80</v>
      </c>
      <c r="O15" s="13" t="s">
        <v>80</v>
      </c>
      <c r="P15" s="13" t="s">
        <v>80</v>
      </c>
      <c r="Q15" s="13" t="s">
        <v>80</v>
      </c>
      <c r="R15" s="13" t="s">
        <v>80</v>
      </c>
      <c r="S15" s="13" t="s">
        <v>80</v>
      </c>
      <c r="T15" s="13" t="s">
        <v>80</v>
      </c>
      <c r="U15" s="13" t="s">
        <v>80</v>
      </c>
      <c r="V15" s="13" t="s">
        <v>80</v>
      </c>
      <c r="W15" s="13" t="s">
        <v>80</v>
      </c>
    </row>
    <row r="16" spans="1:23" x14ac:dyDescent="0.25">
      <c r="A16" s="10" t="s">
        <v>1256</v>
      </c>
      <c r="B16" s="10" t="s">
        <v>1257</v>
      </c>
      <c r="C16" s="13">
        <v>-5180.93</v>
      </c>
      <c r="D16" s="13">
        <v>-6538.48</v>
      </c>
      <c r="E16" s="13" t="s">
        <v>80</v>
      </c>
      <c r="F16" s="13">
        <v>-220239</v>
      </c>
      <c r="G16" s="13">
        <v>-969</v>
      </c>
      <c r="H16" s="13">
        <v>-1461</v>
      </c>
      <c r="I16" s="13">
        <v>-5283</v>
      </c>
      <c r="J16" s="13">
        <v>-837</v>
      </c>
      <c r="K16" s="13">
        <v>-4598</v>
      </c>
      <c r="L16" s="13">
        <v>-5881</v>
      </c>
      <c r="M16" s="13">
        <v>-10258</v>
      </c>
      <c r="N16" s="13">
        <v>-23467</v>
      </c>
      <c r="O16" s="13" t="s">
        <v>80</v>
      </c>
      <c r="P16" s="13" t="s">
        <v>80</v>
      </c>
      <c r="Q16" s="13" t="s">
        <v>80</v>
      </c>
      <c r="R16" s="13" t="s">
        <v>80</v>
      </c>
      <c r="S16" s="13" t="s">
        <v>80</v>
      </c>
      <c r="T16" s="13" t="s">
        <v>80</v>
      </c>
      <c r="U16" s="13" t="s">
        <v>80</v>
      </c>
      <c r="V16" s="13" t="s">
        <v>80</v>
      </c>
      <c r="W16" s="13" t="s">
        <v>80</v>
      </c>
    </row>
    <row r="17" spans="1:23" x14ac:dyDescent="0.25">
      <c r="A17" s="10" t="s">
        <v>1258</v>
      </c>
      <c r="B17" s="10" t="s">
        <v>1259</v>
      </c>
      <c r="C17" s="13" t="s">
        <v>80</v>
      </c>
      <c r="D17" s="13" t="s">
        <v>80</v>
      </c>
      <c r="E17" s="13" t="s">
        <v>80</v>
      </c>
      <c r="F17" s="13" t="s">
        <v>80</v>
      </c>
      <c r="G17" s="13">
        <v>-2365</v>
      </c>
      <c r="H17" s="13">
        <v>-3274</v>
      </c>
      <c r="I17" s="13">
        <v>7913</v>
      </c>
      <c r="J17" s="13">
        <v>4103</v>
      </c>
      <c r="K17" s="13">
        <v>-6139</v>
      </c>
      <c r="L17" s="13">
        <v>-5291</v>
      </c>
      <c r="M17" s="13">
        <v>10777</v>
      </c>
      <c r="N17" s="13">
        <v>6958</v>
      </c>
      <c r="O17" s="13" t="s">
        <v>80</v>
      </c>
      <c r="P17" s="13" t="s">
        <v>80</v>
      </c>
      <c r="Q17" s="13" t="s">
        <v>80</v>
      </c>
      <c r="R17" s="13" t="s">
        <v>80</v>
      </c>
      <c r="S17" s="13" t="s">
        <v>80</v>
      </c>
      <c r="T17" s="13" t="s">
        <v>80</v>
      </c>
      <c r="U17" s="13" t="s">
        <v>80</v>
      </c>
      <c r="V17" s="13" t="s">
        <v>80</v>
      </c>
      <c r="W17" s="13" t="s">
        <v>80</v>
      </c>
    </row>
    <row r="18" spans="1:23" x14ac:dyDescent="0.25">
      <c r="A18" s="10" t="s">
        <v>1260</v>
      </c>
      <c r="B18" s="10" t="s">
        <v>1261</v>
      </c>
      <c r="C18" s="13">
        <v>-165.44399999999999</v>
      </c>
      <c r="D18" s="13">
        <v>-200.67099999999999</v>
      </c>
      <c r="E18" s="13">
        <v>-357.392</v>
      </c>
      <c r="F18" s="13">
        <v>-276</v>
      </c>
      <c r="G18" s="13">
        <v>-313</v>
      </c>
      <c r="H18" s="13">
        <v>337</v>
      </c>
      <c r="I18" s="13">
        <v>982</v>
      </c>
      <c r="J18" s="13">
        <v>597</v>
      </c>
      <c r="K18" s="13">
        <v>-359</v>
      </c>
      <c r="L18" s="13">
        <v>-995</v>
      </c>
      <c r="M18" s="13">
        <v>-961</v>
      </c>
      <c r="N18" s="13">
        <v>-978</v>
      </c>
      <c r="O18" s="13">
        <v>-923</v>
      </c>
      <c r="P18" s="13">
        <v>-929</v>
      </c>
      <c r="Q18" s="13">
        <v>-1207</v>
      </c>
      <c r="R18" s="13">
        <v>-1614</v>
      </c>
      <c r="S18" s="13">
        <v>-1782</v>
      </c>
      <c r="T18" s="13">
        <v>-966</v>
      </c>
      <c r="U18" s="13">
        <v>-1413</v>
      </c>
      <c r="V18" s="13">
        <v>-690</v>
      </c>
      <c r="W18" s="13">
        <v>463</v>
      </c>
    </row>
    <row r="19" spans="1:23" x14ac:dyDescent="0.25">
      <c r="A19" s="10" t="s">
        <v>1262</v>
      </c>
      <c r="B19" s="10" t="s">
        <v>1263</v>
      </c>
      <c r="C19" s="13" t="s">
        <v>80</v>
      </c>
      <c r="D19" s="13" t="s">
        <v>80</v>
      </c>
      <c r="E19" s="13" t="s">
        <v>80</v>
      </c>
      <c r="F19" s="13" t="s">
        <v>80</v>
      </c>
      <c r="G19" s="13" t="s">
        <v>80</v>
      </c>
      <c r="H19" s="13" t="s">
        <v>80</v>
      </c>
      <c r="I19" s="13">
        <v>-2310</v>
      </c>
      <c r="J19" s="13">
        <v>-1821</v>
      </c>
      <c r="K19" s="13">
        <v>-5159</v>
      </c>
      <c r="L19" s="13">
        <v>-3584</v>
      </c>
      <c r="M19" s="13">
        <v>-9912</v>
      </c>
      <c r="N19" s="13">
        <v>-6976</v>
      </c>
      <c r="O19" s="13" t="s">
        <v>80</v>
      </c>
      <c r="P19" s="13" t="s">
        <v>80</v>
      </c>
      <c r="Q19" s="13" t="s">
        <v>80</v>
      </c>
      <c r="R19" s="13" t="s">
        <v>80</v>
      </c>
      <c r="S19" s="13" t="s">
        <v>80</v>
      </c>
      <c r="T19" s="13" t="s">
        <v>80</v>
      </c>
      <c r="U19" s="13" t="s">
        <v>80</v>
      </c>
      <c r="V19" s="13" t="s">
        <v>80</v>
      </c>
      <c r="W19" s="13" t="s">
        <v>80</v>
      </c>
    </row>
    <row r="20" spans="1:23" x14ac:dyDescent="0.25">
      <c r="A20" s="10" t="s">
        <v>1264</v>
      </c>
      <c r="B20" s="10" t="s">
        <v>1265</v>
      </c>
      <c r="C20" s="13">
        <v>840.68200000000002</v>
      </c>
      <c r="D20" s="13">
        <v>-136.965</v>
      </c>
      <c r="E20" s="13" t="s">
        <v>80</v>
      </c>
      <c r="F20" s="13">
        <v>194558</v>
      </c>
      <c r="G20" s="13">
        <v>761</v>
      </c>
      <c r="H20" s="13">
        <v>-60</v>
      </c>
      <c r="I20" s="13">
        <v>-9918</v>
      </c>
      <c r="J20" s="13">
        <v>-261</v>
      </c>
      <c r="K20" s="13">
        <v>-432</v>
      </c>
      <c r="L20" s="13">
        <v>-3097</v>
      </c>
      <c r="M20" s="13">
        <v>1789</v>
      </c>
      <c r="N20" s="13">
        <v>-3611</v>
      </c>
      <c r="O20" s="13">
        <v>-9132</v>
      </c>
      <c r="P20" s="13">
        <v>1127</v>
      </c>
      <c r="Q20" s="13">
        <v>-3460</v>
      </c>
      <c r="R20" s="13">
        <v>-11920</v>
      </c>
      <c r="S20" s="13">
        <v>10357</v>
      </c>
      <c r="T20" s="13">
        <v>-9129</v>
      </c>
      <c r="U20" s="13">
        <v>-24550</v>
      </c>
      <c r="V20" s="13">
        <v>-20849</v>
      </c>
      <c r="W20" s="13">
        <v>-23398</v>
      </c>
    </row>
    <row r="21" spans="1:23" x14ac:dyDescent="0.25">
      <c r="A21" s="10" t="s">
        <v>1266</v>
      </c>
      <c r="B21" s="10" t="s">
        <v>1267</v>
      </c>
      <c r="C21" s="13">
        <v>21324.764999999999</v>
      </c>
      <c r="D21" s="13">
        <v>-10335.906000000001</v>
      </c>
      <c r="E21" s="13" t="s">
        <v>80</v>
      </c>
      <c r="F21" s="13">
        <v>13960</v>
      </c>
      <c r="G21" s="13">
        <v>-717</v>
      </c>
      <c r="H21" s="13">
        <v>2693</v>
      </c>
      <c r="I21" s="13">
        <v>43036</v>
      </c>
      <c r="J21" s="13">
        <v>1889</v>
      </c>
      <c r="K21" s="13">
        <v>-2226</v>
      </c>
      <c r="L21" s="13">
        <v>5280</v>
      </c>
      <c r="M21" s="13">
        <v>2754</v>
      </c>
      <c r="N21" s="13">
        <v>21421</v>
      </c>
      <c r="O21" s="13">
        <v>-11505</v>
      </c>
      <c r="P21" s="13">
        <v>18112</v>
      </c>
      <c r="Q21" s="13">
        <v>10524</v>
      </c>
      <c r="R21" s="13">
        <v>48694</v>
      </c>
      <c r="S21" s="13">
        <v>10783</v>
      </c>
      <c r="T21" s="13">
        <v>-127383</v>
      </c>
      <c r="U21" s="13">
        <v>43723</v>
      </c>
      <c r="V21" s="13">
        <v>1386</v>
      </c>
      <c r="W21" s="13">
        <v>36478</v>
      </c>
    </row>
    <row r="22" spans="1:23" x14ac:dyDescent="0.25">
      <c r="A22" s="10" t="s">
        <v>1268</v>
      </c>
      <c r="B22" s="10" t="s">
        <v>1269</v>
      </c>
      <c r="C22" s="13">
        <v>16897.133999999998</v>
      </c>
      <c r="D22" s="13">
        <v>7515.9250000000002</v>
      </c>
      <c r="E22" s="13">
        <v>1525.3969999999999</v>
      </c>
      <c r="F22" s="13">
        <v>8251</v>
      </c>
      <c r="G22" s="13">
        <v>6986</v>
      </c>
      <c r="H22" s="13">
        <v>6107</v>
      </c>
      <c r="I22" s="13">
        <v>2037</v>
      </c>
      <c r="J22" s="13">
        <v>19058</v>
      </c>
      <c r="K22" s="13">
        <v>-8180</v>
      </c>
      <c r="L22" s="13">
        <v>13852</v>
      </c>
      <c r="M22" s="13">
        <v>39650</v>
      </c>
      <c r="N22" s="13">
        <v>-31556</v>
      </c>
      <c r="O22" s="13">
        <v>25016</v>
      </c>
      <c r="P22" s="13">
        <v>-4544</v>
      </c>
      <c r="Q22" s="13">
        <v>6957</v>
      </c>
      <c r="R22" s="13">
        <v>54707</v>
      </c>
      <c r="S22" s="13">
        <v>11134</v>
      </c>
      <c r="T22" s="13">
        <v>76605</v>
      </c>
      <c r="U22" s="13">
        <v>51912</v>
      </c>
      <c r="V22" s="13">
        <v>31331</v>
      </c>
      <c r="W22" s="13">
        <v>81433</v>
      </c>
    </row>
    <row r="23" spans="1:23" x14ac:dyDescent="0.25">
      <c r="A23" s="10" t="s">
        <v>1270</v>
      </c>
      <c r="B23" s="10" t="s">
        <v>1271</v>
      </c>
      <c r="C23" s="13">
        <v>-66315.948000000004</v>
      </c>
      <c r="D23" s="13">
        <v>5965.6540000000005</v>
      </c>
      <c r="E23" s="13" t="s">
        <v>80</v>
      </c>
      <c r="F23" s="13">
        <v>-52095</v>
      </c>
      <c r="G23" s="13">
        <v>-8167</v>
      </c>
      <c r="H23" s="13">
        <v>-32062</v>
      </c>
      <c r="I23" s="13">
        <v>-84641</v>
      </c>
      <c r="J23" s="13">
        <v>-51380</v>
      </c>
      <c r="K23" s="13">
        <v>-26132</v>
      </c>
      <c r="L23" s="13">
        <v>-44888</v>
      </c>
      <c r="M23" s="13">
        <v>-43178</v>
      </c>
      <c r="N23" s="13">
        <v>-62669</v>
      </c>
      <c r="O23" s="13">
        <v>-49202</v>
      </c>
      <c r="P23" s="13">
        <v>-49629</v>
      </c>
      <c r="Q23" s="13">
        <v>13802</v>
      </c>
      <c r="R23" s="13">
        <v>-33257</v>
      </c>
      <c r="S23" s="13">
        <v>-22022</v>
      </c>
      <c r="T23" s="13">
        <v>-99739</v>
      </c>
      <c r="U23" s="13">
        <v>-111664</v>
      </c>
      <c r="V23" s="13">
        <v>-148443</v>
      </c>
      <c r="W23" s="13">
        <v>-99120</v>
      </c>
    </row>
    <row r="24" spans="1:23" x14ac:dyDescent="0.25">
      <c r="A24" s="10" t="s">
        <v>1272</v>
      </c>
      <c r="B24" s="10" t="s">
        <v>1273</v>
      </c>
      <c r="C24" s="13">
        <v>63509.885999999999</v>
      </c>
      <c r="D24" s="13">
        <v>13556.388000000001</v>
      </c>
      <c r="E24" s="13" t="s">
        <v>80</v>
      </c>
      <c r="F24" s="13">
        <v>57462</v>
      </c>
      <c r="G24" s="13">
        <v>15344</v>
      </c>
      <c r="H24" s="13">
        <v>18975</v>
      </c>
      <c r="I24" s="13">
        <v>75036</v>
      </c>
      <c r="J24" s="13">
        <v>55653</v>
      </c>
      <c r="K24" s="13">
        <v>19295</v>
      </c>
      <c r="L24" s="13">
        <v>51799</v>
      </c>
      <c r="M24" s="13">
        <v>60141</v>
      </c>
      <c r="N24" s="13">
        <v>35268</v>
      </c>
      <c r="O24" s="13">
        <v>66262</v>
      </c>
      <c r="P24" s="13">
        <v>20524</v>
      </c>
      <c r="Q24" s="13">
        <v>-31811</v>
      </c>
      <c r="R24" s="13">
        <v>97222</v>
      </c>
      <c r="S24" s="13">
        <v>-22687</v>
      </c>
      <c r="T24" s="13">
        <v>98166</v>
      </c>
      <c r="U24" s="13">
        <v>159226</v>
      </c>
      <c r="V24" s="13">
        <v>77083</v>
      </c>
      <c r="W24" s="13">
        <v>108508</v>
      </c>
    </row>
    <row r="25" spans="1:23" x14ac:dyDescent="0.25">
      <c r="A25" s="10" t="s">
        <v>1274</v>
      </c>
      <c r="B25" s="10" t="s">
        <v>1275</v>
      </c>
      <c r="C25" s="13">
        <v>823.74599999999998</v>
      </c>
      <c r="D25" s="13">
        <v>808.91600000000005</v>
      </c>
      <c r="E25" s="13">
        <v>2645.4769999999999</v>
      </c>
      <c r="F25" s="13">
        <v>6896</v>
      </c>
      <c r="G25" s="13">
        <v>8468</v>
      </c>
      <c r="H25" s="13">
        <v>7053</v>
      </c>
      <c r="I25" s="13" t="s">
        <v>80</v>
      </c>
      <c r="J25" s="13" t="s">
        <v>80</v>
      </c>
      <c r="K25" s="13" t="s">
        <v>80</v>
      </c>
      <c r="L25" s="13" t="s">
        <v>80</v>
      </c>
      <c r="M25" s="13" t="s">
        <v>80</v>
      </c>
      <c r="N25" s="13" t="s">
        <v>80</v>
      </c>
      <c r="O25" s="13" t="s">
        <v>80</v>
      </c>
      <c r="P25" s="13" t="s">
        <v>80</v>
      </c>
      <c r="Q25" s="13" t="s">
        <v>80</v>
      </c>
      <c r="R25" s="13" t="s">
        <v>80</v>
      </c>
      <c r="S25" s="13" t="s">
        <v>80</v>
      </c>
      <c r="T25" s="13" t="s">
        <v>80</v>
      </c>
      <c r="U25" s="13" t="s">
        <v>80</v>
      </c>
      <c r="V25" s="13" t="s">
        <v>80</v>
      </c>
      <c r="W25" s="13" t="s">
        <v>80</v>
      </c>
    </row>
    <row r="26" spans="1:23" x14ac:dyDescent="0.25">
      <c r="A26" s="10" t="s">
        <v>1276</v>
      </c>
      <c r="B26" s="10" t="s">
        <v>1277</v>
      </c>
      <c r="C26" s="13">
        <v>-1239.251</v>
      </c>
      <c r="D26" s="13">
        <v>1390.1590000000001</v>
      </c>
      <c r="E26" s="13">
        <v>-10634.198</v>
      </c>
      <c r="F26" s="13" t="s">
        <v>80</v>
      </c>
      <c r="G26" s="13" t="s">
        <v>80</v>
      </c>
      <c r="H26" s="13" t="s">
        <v>80</v>
      </c>
      <c r="I26" s="13" t="s">
        <v>80</v>
      </c>
      <c r="J26" s="13" t="s">
        <v>80</v>
      </c>
      <c r="K26" s="13" t="s">
        <v>80</v>
      </c>
      <c r="L26" s="13" t="s">
        <v>80</v>
      </c>
      <c r="M26" s="13" t="s">
        <v>80</v>
      </c>
      <c r="N26" s="13" t="s">
        <v>80</v>
      </c>
      <c r="O26" s="13" t="s">
        <v>80</v>
      </c>
      <c r="P26" s="13" t="s">
        <v>80</v>
      </c>
      <c r="Q26" s="13" t="s">
        <v>80</v>
      </c>
      <c r="R26" s="13" t="s">
        <v>80</v>
      </c>
      <c r="S26" s="13" t="s">
        <v>80</v>
      </c>
      <c r="T26" s="13" t="s">
        <v>80</v>
      </c>
      <c r="U26" s="13" t="s">
        <v>80</v>
      </c>
      <c r="V26" s="13" t="s">
        <v>80</v>
      </c>
      <c r="W26" s="13" t="s">
        <v>80</v>
      </c>
    </row>
    <row r="27" spans="1:23" x14ac:dyDescent="0.25">
      <c r="A27" s="10" t="s">
        <v>1278</v>
      </c>
      <c r="B27" s="10" t="s">
        <v>1279</v>
      </c>
      <c r="C27" s="13" t="s">
        <v>80</v>
      </c>
      <c r="D27" s="13" t="s">
        <v>80</v>
      </c>
      <c r="E27" s="13">
        <v>2433.4740000000002</v>
      </c>
      <c r="F27" s="13">
        <v>24</v>
      </c>
      <c r="G27" s="13" t="s">
        <v>80</v>
      </c>
      <c r="H27" s="13" t="s">
        <v>80</v>
      </c>
      <c r="I27" s="13" t="s">
        <v>80</v>
      </c>
      <c r="J27" s="13" t="s">
        <v>80</v>
      </c>
      <c r="K27" s="13" t="s">
        <v>80</v>
      </c>
      <c r="L27" s="13" t="s">
        <v>80</v>
      </c>
      <c r="M27" s="13" t="s">
        <v>80</v>
      </c>
      <c r="N27" s="13" t="s">
        <v>80</v>
      </c>
      <c r="O27" s="13">
        <v>-260</v>
      </c>
      <c r="P27" s="13">
        <v>2314</v>
      </c>
      <c r="Q27" s="13">
        <v>1484</v>
      </c>
      <c r="R27" s="13">
        <v>124</v>
      </c>
      <c r="S27" s="13">
        <v>-684</v>
      </c>
      <c r="T27" s="13" t="s">
        <v>80</v>
      </c>
      <c r="U27" s="13" t="s">
        <v>80</v>
      </c>
      <c r="V27" s="13" t="s">
        <v>80</v>
      </c>
      <c r="W27" s="13" t="s">
        <v>80</v>
      </c>
    </row>
    <row r="28" spans="1:23" x14ac:dyDescent="0.25">
      <c r="A28" s="10" t="s">
        <v>1280</v>
      </c>
      <c r="B28" s="10" t="s">
        <v>1281</v>
      </c>
      <c r="C28" s="13" t="s">
        <v>80</v>
      </c>
      <c r="D28" s="13" t="s">
        <v>80</v>
      </c>
      <c r="E28" s="13" t="s">
        <v>80</v>
      </c>
      <c r="F28" s="13" t="s">
        <v>80</v>
      </c>
      <c r="G28" s="13">
        <v>2045</v>
      </c>
      <c r="H28" s="13">
        <v>2805</v>
      </c>
      <c r="I28" s="13">
        <v>3501</v>
      </c>
      <c r="J28" s="13">
        <v>4128</v>
      </c>
      <c r="K28" s="13">
        <v>3555</v>
      </c>
      <c r="L28" s="13">
        <v>5668</v>
      </c>
      <c r="M28" s="13">
        <v>5991</v>
      </c>
      <c r="N28" s="13">
        <v>6878</v>
      </c>
      <c r="O28" s="13">
        <v>9048</v>
      </c>
      <c r="P28" s="13">
        <v>11636</v>
      </c>
      <c r="Q28" s="13">
        <v>12795</v>
      </c>
      <c r="R28" s="13">
        <v>10049</v>
      </c>
      <c r="S28" s="13">
        <v>10556</v>
      </c>
      <c r="T28" s="13" t="s">
        <v>80</v>
      </c>
      <c r="U28" s="13" t="s">
        <v>80</v>
      </c>
      <c r="V28" s="13" t="s">
        <v>80</v>
      </c>
      <c r="W28" s="13" t="s">
        <v>80</v>
      </c>
    </row>
    <row r="29" spans="1:23" x14ac:dyDescent="0.25">
      <c r="A29" s="10" t="s">
        <v>1282</v>
      </c>
      <c r="B29" s="10" t="s">
        <v>1283</v>
      </c>
      <c r="C29" s="13" t="s">
        <v>80</v>
      </c>
      <c r="D29" s="13" t="s">
        <v>80</v>
      </c>
      <c r="E29" s="13" t="s">
        <v>80</v>
      </c>
      <c r="F29" s="13" t="s">
        <v>80</v>
      </c>
      <c r="G29" s="13" t="s">
        <v>80</v>
      </c>
      <c r="H29" s="13" t="s">
        <v>80</v>
      </c>
      <c r="I29" s="13" t="s">
        <v>80</v>
      </c>
      <c r="J29" s="13" t="s">
        <v>80</v>
      </c>
      <c r="K29" s="13" t="s">
        <v>80</v>
      </c>
      <c r="L29" s="13" t="s">
        <v>80</v>
      </c>
      <c r="M29" s="13" t="s">
        <v>80</v>
      </c>
      <c r="N29" s="13" t="s">
        <v>80</v>
      </c>
      <c r="O29" s="13" t="s">
        <v>80</v>
      </c>
      <c r="P29" s="13" t="s">
        <v>80</v>
      </c>
      <c r="Q29" s="13" t="s">
        <v>80</v>
      </c>
      <c r="R29" s="13" t="s">
        <v>80</v>
      </c>
      <c r="S29" s="13" t="s">
        <v>80</v>
      </c>
      <c r="T29" s="13">
        <v>3396</v>
      </c>
      <c r="U29" s="13">
        <v>5744</v>
      </c>
      <c r="V29" s="13">
        <v>7297</v>
      </c>
      <c r="W29" s="13">
        <v>5518</v>
      </c>
    </row>
    <row r="30" spans="1:23" x14ac:dyDescent="0.25">
      <c r="A30" s="10" t="s">
        <v>1284</v>
      </c>
      <c r="B30" s="10" t="s">
        <v>1285</v>
      </c>
      <c r="C30" s="13" t="s">
        <v>80</v>
      </c>
      <c r="D30" s="13" t="s">
        <v>80</v>
      </c>
      <c r="E30" s="13" t="s">
        <v>80</v>
      </c>
      <c r="F30" s="13" t="s">
        <v>80</v>
      </c>
      <c r="G30" s="13" t="s">
        <v>80</v>
      </c>
      <c r="H30" s="13" t="s">
        <v>80</v>
      </c>
      <c r="I30" s="13" t="s">
        <v>80</v>
      </c>
      <c r="J30" s="13" t="s">
        <v>80</v>
      </c>
      <c r="K30" s="13" t="s">
        <v>80</v>
      </c>
      <c r="L30" s="13" t="s">
        <v>80</v>
      </c>
      <c r="M30" s="13" t="s">
        <v>80</v>
      </c>
      <c r="N30" s="13" t="s">
        <v>80</v>
      </c>
      <c r="O30" s="13">
        <v>-679</v>
      </c>
      <c r="P30" s="13">
        <v>-343</v>
      </c>
      <c r="Q30" s="13">
        <v>-2048</v>
      </c>
      <c r="R30" s="13">
        <v>-966</v>
      </c>
      <c r="S30" s="13">
        <v>-450</v>
      </c>
      <c r="T30" s="13" t="s">
        <v>80</v>
      </c>
      <c r="U30" s="13" t="s">
        <v>80</v>
      </c>
      <c r="V30" s="13" t="s">
        <v>80</v>
      </c>
      <c r="W30" s="13" t="s">
        <v>80</v>
      </c>
    </row>
    <row r="31" spans="1:23" x14ac:dyDescent="0.25">
      <c r="A31" s="10" t="s">
        <v>1286</v>
      </c>
      <c r="B31" s="10" t="s">
        <v>1287</v>
      </c>
      <c r="C31" s="13" t="s">
        <v>80</v>
      </c>
      <c r="D31" s="13" t="s">
        <v>80</v>
      </c>
      <c r="E31" s="13" t="s">
        <v>80</v>
      </c>
      <c r="F31" s="13" t="s">
        <v>80</v>
      </c>
      <c r="G31" s="13" t="s">
        <v>80</v>
      </c>
      <c r="H31" s="13" t="s">
        <v>80</v>
      </c>
      <c r="I31" s="13" t="s">
        <v>80</v>
      </c>
      <c r="J31" s="13" t="s">
        <v>80</v>
      </c>
      <c r="K31" s="13">
        <v>-396</v>
      </c>
      <c r="L31" s="13">
        <v>-653</v>
      </c>
      <c r="M31" s="13">
        <v>46</v>
      </c>
      <c r="N31" s="13">
        <v>-20</v>
      </c>
      <c r="O31" s="13">
        <v>5</v>
      </c>
      <c r="P31" s="13">
        <v>-335</v>
      </c>
      <c r="Q31" s="13">
        <v>-38</v>
      </c>
      <c r="R31" s="13">
        <v>-476</v>
      </c>
      <c r="S31" s="13">
        <v>-465</v>
      </c>
      <c r="T31" s="13">
        <v>-9985</v>
      </c>
      <c r="U31" s="13">
        <v>-1834</v>
      </c>
      <c r="V31" s="13">
        <v>-11559</v>
      </c>
      <c r="W31" s="13">
        <v>15217</v>
      </c>
    </row>
    <row r="32" spans="1:23" x14ac:dyDescent="0.25">
      <c r="A32" s="10" t="s">
        <v>1288</v>
      </c>
      <c r="B32" s="10" t="s">
        <v>1289</v>
      </c>
      <c r="C32" s="13" t="s">
        <v>80</v>
      </c>
      <c r="D32" s="13" t="s">
        <v>80</v>
      </c>
      <c r="E32" s="13" t="s">
        <v>80</v>
      </c>
      <c r="F32" s="13" t="s">
        <v>80</v>
      </c>
      <c r="G32" s="13" t="s">
        <v>80</v>
      </c>
      <c r="H32" s="13" t="s">
        <v>80</v>
      </c>
      <c r="I32" s="13" t="s">
        <v>80</v>
      </c>
      <c r="J32" s="13" t="s">
        <v>80</v>
      </c>
      <c r="K32" s="13" t="s">
        <v>80</v>
      </c>
      <c r="L32" s="13" t="s">
        <v>80</v>
      </c>
      <c r="M32" s="13" t="s">
        <v>80</v>
      </c>
      <c r="N32" s="13" t="s">
        <v>80</v>
      </c>
      <c r="O32" s="13">
        <v>-3828</v>
      </c>
      <c r="P32" s="13">
        <v>-2768</v>
      </c>
      <c r="Q32" s="13">
        <v>-15</v>
      </c>
      <c r="R32" s="13">
        <v>-7669</v>
      </c>
      <c r="S32" s="13">
        <v>2120</v>
      </c>
      <c r="T32" s="13" t="s">
        <v>80</v>
      </c>
      <c r="U32" s="13" t="s">
        <v>80</v>
      </c>
      <c r="V32" s="13" t="s">
        <v>80</v>
      </c>
      <c r="W32" s="13" t="s">
        <v>80</v>
      </c>
    </row>
    <row r="33" spans="1:23" x14ac:dyDescent="0.25">
      <c r="A33" s="10" t="s">
        <v>1290</v>
      </c>
      <c r="B33" s="10" t="s">
        <v>1291</v>
      </c>
      <c r="C33" s="13" t="s">
        <v>80</v>
      </c>
      <c r="D33" s="13" t="s">
        <v>80</v>
      </c>
      <c r="E33" s="13" t="s">
        <v>80</v>
      </c>
      <c r="F33" s="13" t="s">
        <v>80</v>
      </c>
      <c r="G33" s="13" t="s">
        <v>80</v>
      </c>
      <c r="H33" s="13" t="s">
        <v>80</v>
      </c>
      <c r="I33" s="13" t="s">
        <v>80</v>
      </c>
      <c r="J33" s="13" t="s">
        <v>80</v>
      </c>
      <c r="K33" s="13" t="s">
        <v>80</v>
      </c>
      <c r="L33" s="13" t="s">
        <v>80</v>
      </c>
      <c r="M33" s="13" t="s">
        <v>80</v>
      </c>
      <c r="N33" s="13" t="s">
        <v>80</v>
      </c>
      <c r="O33" s="13">
        <v>12826</v>
      </c>
      <c r="P33" s="13">
        <v>-12703</v>
      </c>
      <c r="Q33" s="13">
        <v>-4712</v>
      </c>
      <c r="R33" s="13">
        <v>6648</v>
      </c>
      <c r="S33" s="13">
        <v>2497</v>
      </c>
      <c r="T33" s="13" t="s">
        <v>80</v>
      </c>
      <c r="U33" s="13" t="s">
        <v>80</v>
      </c>
      <c r="V33" s="13" t="s">
        <v>80</v>
      </c>
      <c r="W33" s="13" t="s">
        <v>80</v>
      </c>
    </row>
    <row r="34" spans="1:23" x14ac:dyDescent="0.25">
      <c r="A34" s="10" t="s">
        <v>1292</v>
      </c>
      <c r="B34" s="10" t="s">
        <v>1293</v>
      </c>
      <c r="C34" s="13" t="s">
        <v>80</v>
      </c>
      <c r="D34" s="13" t="s">
        <v>80</v>
      </c>
      <c r="E34" s="13" t="s">
        <v>80</v>
      </c>
      <c r="F34" s="13" t="s">
        <v>80</v>
      </c>
      <c r="G34" s="13" t="s">
        <v>80</v>
      </c>
      <c r="H34" s="13" t="s">
        <v>80</v>
      </c>
      <c r="I34" s="13" t="s">
        <v>80</v>
      </c>
      <c r="J34" s="13" t="s">
        <v>80</v>
      </c>
      <c r="K34" s="13" t="s">
        <v>80</v>
      </c>
      <c r="L34" s="13" t="s">
        <v>80</v>
      </c>
      <c r="M34" s="13" t="s">
        <v>80</v>
      </c>
      <c r="N34" s="13" t="s">
        <v>80</v>
      </c>
      <c r="O34" s="13" t="s">
        <v>80</v>
      </c>
      <c r="P34" s="13" t="s">
        <v>80</v>
      </c>
      <c r="Q34" s="13" t="s">
        <v>80</v>
      </c>
      <c r="R34" s="13" t="s">
        <v>80</v>
      </c>
      <c r="S34" s="13" t="s">
        <v>80</v>
      </c>
      <c r="T34" s="13">
        <v>61988</v>
      </c>
      <c r="U34" s="13">
        <v>70974</v>
      </c>
      <c r="V34" s="13">
        <v>77556</v>
      </c>
      <c r="W34" s="13">
        <v>83618</v>
      </c>
    </row>
    <row r="35" spans="1:23" x14ac:dyDescent="0.25">
      <c r="A35" s="10" t="s">
        <v>1294</v>
      </c>
      <c r="B35" s="10" t="s">
        <v>1295</v>
      </c>
      <c r="C35" s="13" t="s">
        <v>80</v>
      </c>
      <c r="D35" s="13" t="s">
        <v>80</v>
      </c>
      <c r="E35" s="13" t="s">
        <v>80</v>
      </c>
      <c r="F35" s="13" t="s">
        <v>80</v>
      </c>
      <c r="G35" s="13" t="s">
        <v>80</v>
      </c>
      <c r="H35" s="13" t="s">
        <v>80</v>
      </c>
      <c r="I35" s="13" t="s">
        <v>80</v>
      </c>
      <c r="J35" s="13" t="s">
        <v>80</v>
      </c>
      <c r="K35" s="13" t="s">
        <v>80</v>
      </c>
      <c r="L35" s="13" t="s">
        <v>80</v>
      </c>
      <c r="M35" s="13" t="s">
        <v>80</v>
      </c>
      <c r="N35" s="13" t="s">
        <v>80</v>
      </c>
      <c r="O35" s="13">
        <v>-184</v>
      </c>
      <c r="P35" s="13">
        <v>-11774</v>
      </c>
      <c r="Q35" s="13">
        <v>-8818</v>
      </c>
      <c r="R35" s="13">
        <v>-7034</v>
      </c>
      <c r="S35" s="13">
        <v>-11587</v>
      </c>
      <c r="T35" s="13" t="s">
        <v>80</v>
      </c>
      <c r="U35" s="13" t="s">
        <v>80</v>
      </c>
      <c r="V35" s="13" t="s">
        <v>80</v>
      </c>
      <c r="W35" s="13" t="s">
        <v>80</v>
      </c>
    </row>
    <row r="36" spans="1:23" x14ac:dyDescent="0.25">
      <c r="A36" s="10" t="s">
        <v>1296</v>
      </c>
      <c r="B36" s="10" t="s">
        <v>1297</v>
      </c>
      <c r="C36" s="13" t="s">
        <v>80</v>
      </c>
      <c r="D36" s="13" t="s">
        <v>80</v>
      </c>
      <c r="E36" s="13" t="s">
        <v>80</v>
      </c>
      <c r="F36" s="13" t="s">
        <v>80</v>
      </c>
      <c r="G36" s="13" t="s">
        <v>80</v>
      </c>
      <c r="H36" s="13" t="s">
        <v>80</v>
      </c>
      <c r="I36" s="13">
        <v>9316</v>
      </c>
      <c r="J36" s="13">
        <v>8708</v>
      </c>
      <c r="K36" s="13">
        <v>9686</v>
      </c>
      <c r="L36" s="13">
        <v>9655</v>
      </c>
      <c r="M36" s="13">
        <v>7131</v>
      </c>
      <c r="N36" s="13">
        <v>8477</v>
      </c>
      <c r="O36" s="13">
        <v>12645</v>
      </c>
      <c r="P36" s="13">
        <v>13508</v>
      </c>
      <c r="Q36" s="13">
        <v>15003</v>
      </c>
      <c r="R36" s="13">
        <v>17793</v>
      </c>
      <c r="S36" s="13">
        <v>33818</v>
      </c>
      <c r="T36" s="13">
        <v>324</v>
      </c>
      <c r="U36" s="13">
        <v>-700</v>
      </c>
      <c r="V36" s="13">
        <v>-959</v>
      </c>
      <c r="W36" s="13">
        <v>-703</v>
      </c>
    </row>
    <row r="37" spans="1:23" x14ac:dyDescent="0.25">
      <c r="A37" s="10" t="s">
        <v>1298</v>
      </c>
      <c r="B37" s="10" t="s">
        <v>1299</v>
      </c>
      <c r="C37" s="13" t="s">
        <v>80</v>
      </c>
      <c r="D37" s="13" t="s">
        <v>80</v>
      </c>
      <c r="E37" s="13" t="s">
        <v>80</v>
      </c>
      <c r="F37" s="13" t="s">
        <v>80</v>
      </c>
      <c r="G37" s="13">
        <v>12312</v>
      </c>
      <c r="H37" s="13">
        <v>7626</v>
      </c>
      <c r="I37" s="13">
        <v>-111093</v>
      </c>
      <c r="J37" s="13">
        <v>-15296</v>
      </c>
      <c r="K37" s="13">
        <v>-69906</v>
      </c>
      <c r="L37" s="13">
        <v>-15802</v>
      </c>
      <c r="M37" s="13">
        <v>-8709</v>
      </c>
      <c r="N37" s="13">
        <v>-24797</v>
      </c>
      <c r="O37" s="13">
        <v>-44085</v>
      </c>
      <c r="P37" s="13">
        <v>-90564</v>
      </c>
      <c r="Q37" s="13">
        <v>12984</v>
      </c>
      <c r="R37" s="13">
        <v>-74742</v>
      </c>
      <c r="S37" s="13">
        <v>-88276</v>
      </c>
      <c r="T37" s="13">
        <v>-66690</v>
      </c>
      <c r="U37" s="13">
        <v>-82540</v>
      </c>
      <c r="V37" s="13">
        <v>-81891</v>
      </c>
      <c r="W37" s="13">
        <v>-43467</v>
      </c>
    </row>
    <row r="38" spans="1:23" x14ac:dyDescent="0.25">
      <c r="A38" s="10" t="s">
        <v>1300</v>
      </c>
      <c r="B38" s="10" t="s">
        <v>1301</v>
      </c>
      <c r="C38" s="13" t="s">
        <v>80</v>
      </c>
      <c r="D38" s="13" t="s">
        <v>80</v>
      </c>
      <c r="E38" s="13" t="s">
        <v>80</v>
      </c>
      <c r="F38" s="13" t="s">
        <v>80</v>
      </c>
      <c r="G38" s="13">
        <v>-15644</v>
      </c>
      <c r="H38" s="13">
        <v>5483</v>
      </c>
      <c r="I38" s="13">
        <v>9009</v>
      </c>
      <c r="J38" s="13">
        <v>474</v>
      </c>
      <c r="K38" s="13">
        <v>-5829</v>
      </c>
      <c r="L38" s="13">
        <v>10</v>
      </c>
      <c r="M38" s="13">
        <v>931</v>
      </c>
      <c r="N38" s="13">
        <v>7556</v>
      </c>
      <c r="O38" s="13">
        <v>-4691</v>
      </c>
      <c r="P38" s="13">
        <v>-1212</v>
      </c>
      <c r="Q38" s="13">
        <v>-21697</v>
      </c>
      <c r="R38" s="13">
        <v>-1040</v>
      </c>
      <c r="S38" s="13">
        <v>3467</v>
      </c>
      <c r="T38" s="13">
        <v>-4579</v>
      </c>
      <c r="U38" s="13">
        <v>-7277</v>
      </c>
      <c r="V38" s="13">
        <v>-1563</v>
      </c>
      <c r="W38" s="13">
        <v>-395</v>
      </c>
    </row>
    <row r="39" spans="1:23" x14ac:dyDescent="0.25">
      <c r="A39" s="10" t="s">
        <v>1302</v>
      </c>
      <c r="B39" s="10" t="s">
        <v>1303</v>
      </c>
      <c r="C39" s="13" t="s">
        <v>80</v>
      </c>
      <c r="D39" s="13" t="s">
        <v>80</v>
      </c>
      <c r="E39" s="13" t="s">
        <v>80</v>
      </c>
      <c r="F39" s="13" t="s">
        <v>80</v>
      </c>
      <c r="G39" s="13">
        <v>634</v>
      </c>
      <c r="H39" s="13">
        <v>-2503</v>
      </c>
      <c r="I39" s="13">
        <v>-6734</v>
      </c>
      <c r="J39" s="13">
        <v>-2539</v>
      </c>
      <c r="K39" s="13">
        <v>2467</v>
      </c>
      <c r="L39" s="13">
        <v>-1208</v>
      </c>
      <c r="M39" s="13">
        <v>-1552</v>
      </c>
      <c r="N39" s="13">
        <v>-18345</v>
      </c>
      <c r="O39" s="13">
        <v>19194</v>
      </c>
      <c r="P39" s="13">
        <v>-3476</v>
      </c>
      <c r="Q39" s="13">
        <v>-945</v>
      </c>
      <c r="R39" s="13">
        <v>-27036</v>
      </c>
      <c r="S39" s="13">
        <v>23877</v>
      </c>
      <c r="T39" s="13">
        <v>-8495</v>
      </c>
      <c r="U39" s="13">
        <v>4744</v>
      </c>
      <c r="V39" s="13">
        <v>12680</v>
      </c>
      <c r="W39" s="13">
        <v>1985</v>
      </c>
    </row>
    <row r="40" spans="1:23" x14ac:dyDescent="0.25">
      <c r="A40" s="10" t="s">
        <v>1304</v>
      </c>
      <c r="B40" s="10" t="s">
        <v>1305</v>
      </c>
      <c r="C40" s="13" t="s">
        <v>80</v>
      </c>
      <c r="D40" s="13" t="s">
        <v>80</v>
      </c>
      <c r="E40" s="13" t="s">
        <v>80</v>
      </c>
      <c r="F40" s="13" t="s">
        <v>80</v>
      </c>
      <c r="G40" s="13">
        <v>-6944</v>
      </c>
      <c r="H40" s="13">
        <v>-7471</v>
      </c>
      <c r="I40" s="13">
        <v>61765</v>
      </c>
      <c r="J40" s="13">
        <v>-1594</v>
      </c>
      <c r="K40" s="13">
        <v>65483</v>
      </c>
      <c r="L40" s="13">
        <v>1911</v>
      </c>
      <c r="M40" s="13">
        <v>8932</v>
      </c>
      <c r="N40" s="13">
        <v>-5885</v>
      </c>
      <c r="O40" s="13">
        <v>-7112</v>
      </c>
      <c r="P40" s="13">
        <v>67793</v>
      </c>
      <c r="Q40" s="13">
        <v>-23499</v>
      </c>
      <c r="R40" s="13">
        <v>7136</v>
      </c>
      <c r="S40" s="13">
        <v>23974</v>
      </c>
      <c r="T40" s="13">
        <v>235329</v>
      </c>
      <c r="U40" s="13">
        <v>-7006</v>
      </c>
      <c r="V40" s="13">
        <v>116032</v>
      </c>
      <c r="W40" s="13">
        <v>-4244</v>
      </c>
    </row>
    <row r="41" spans="1:23" x14ac:dyDescent="0.25">
      <c r="A41" s="10" t="s">
        <v>1306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25">
      <c r="A42" s="10" t="s">
        <v>1307</v>
      </c>
      <c r="B42" s="10" t="s">
        <v>1308</v>
      </c>
      <c r="C42" s="13" t="s">
        <v>80</v>
      </c>
      <c r="D42" s="13" t="s">
        <v>80</v>
      </c>
      <c r="E42" s="13" t="s">
        <v>80</v>
      </c>
      <c r="F42" s="13" t="s">
        <v>80</v>
      </c>
      <c r="G42" s="13">
        <v>259</v>
      </c>
      <c r="H42" s="13">
        <v>304</v>
      </c>
      <c r="I42" s="13">
        <v>240</v>
      </c>
      <c r="J42" s="13">
        <v>1335</v>
      </c>
      <c r="K42" s="13">
        <v>2681</v>
      </c>
      <c r="L42" s="13">
        <v>2002</v>
      </c>
      <c r="M42" s="13">
        <v>1003</v>
      </c>
      <c r="N42" s="13">
        <v>1033</v>
      </c>
      <c r="O42" s="13">
        <v>742</v>
      </c>
      <c r="P42" s="13">
        <v>3549</v>
      </c>
      <c r="Q42" s="13">
        <v>1406</v>
      </c>
      <c r="R42" s="13">
        <v>2884</v>
      </c>
      <c r="S42" s="13">
        <v>1519</v>
      </c>
      <c r="T42" s="13">
        <v>962</v>
      </c>
      <c r="U42" s="13">
        <v>3940</v>
      </c>
      <c r="V42" s="13">
        <v>2905</v>
      </c>
      <c r="W42" s="13">
        <v>3386</v>
      </c>
    </row>
    <row r="43" spans="1:23" x14ac:dyDescent="0.25">
      <c r="A43" s="10" t="s">
        <v>1309</v>
      </c>
      <c r="B43" s="10" t="s">
        <v>1310</v>
      </c>
      <c r="C43" s="13">
        <v>-2312.1060000000002</v>
      </c>
      <c r="D43" s="13">
        <v>-235.74799999999999</v>
      </c>
      <c r="E43" s="13">
        <v>-1961.1020000000001</v>
      </c>
      <c r="F43" s="13">
        <v>-1308</v>
      </c>
      <c r="G43" s="13">
        <v>-1447</v>
      </c>
      <c r="H43" s="13">
        <v>-2215</v>
      </c>
      <c r="I43" s="13">
        <v>-4263</v>
      </c>
      <c r="J43" s="13">
        <v>-2798</v>
      </c>
      <c r="K43" s="13">
        <v>-3939</v>
      </c>
      <c r="L43" s="13">
        <v>-4006</v>
      </c>
      <c r="M43" s="13">
        <v>-3914</v>
      </c>
      <c r="N43" s="13">
        <v>-4083</v>
      </c>
      <c r="O43" s="13">
        <v>-4780</v>
      </c>
      <c r="P43" s="13">
        <v>-4501</v>
      </c>
      <c r="Q43" s="13">
        <v>-4578</v>
      </c>
      <c r="R43" s="13">
        <v>-7435</v>
      </c>
      <c r="S43" s="13">
        <v>-4523</v>
      </c>
      <c r="T43" s="13">
        <v>-11791</v>
      </c>
      <c r="U43" s="13">
        <v>-9064</v>
      </c>
      <c r="V43" s="13">
        <v>-8272</v>
      </c>
      <c r="W43" s="13">
        <v>-11106</v>
      </c>
    </row>
    <row r="44" spans="1:23" x14ac:dyDescent="0.25">
      <c r="A44" s="10" t="s">
        <v>1311</v>
      </c>
      <c r="B44" s="10" t="s">
        <v>1312</v>
      </c>
      <c r="C44" s="13">
        <v>433.04</v>
      </c>
      <c r="D44" s="13" t="s">
        <v>80</v>
      </c>
      <c r="E44" s="13" t="s">
        <v>80</v>
      </c>
      <c r="F44" s="13" t="s">
        <v>80</v>
      </c>
      <c r="G44" s="13" t="s">
        <v>80</v>
      </c>
      <c r="H44" s="13" t="s">
        <v>80</v>
      </c>
      <c r="I44" s="13" t="s">
        <v>80</v>
      </c>
      <c r="J44" s="13" t="s">
        <v>80</v>
      </c>
      <c r="K44" s="13" t="s">
        <v>80</v>
      </c>
      <c r="L44" s="13" t="s">
        <v>80</v>
      </c>
      <c r="M44" s="13" t="s">
        <v>80</v>
      </c>
      <c r="N44" s="13" t="s">
        <v>80</v>
      </c>
      <c r="O44" s="13" t="s">
        <v>80</v>
      </c>
      <c r="P44" s="13" t="s">
        <v>80</v>
      </c>
      <c r="Q44" s="13" t="s">
        <v>80</v>
      </c>
      <c r="R44" s="13" t="s">
        <v>80</v>
      </c>
      <c r="S44" s="13" t="s">
        <v>80</v>
      </c>
      <c r="T44" s="13" t="s">
        <v>80</v>
      </c>
      <c r="U44" s="13" t="s">
        <v>80</v>
      </c>
      <c r="V44" s="13" t="s">
        <v>80</v>
      </c>
      <c r="W44" s="13" t="s">
        <v>80</v>
      </c>
    </row>
    <row r="45" spans="1:23" x14ac:dyDescent="0.25">
      <c r="A45" s="10" t="s">
        <v>1313</v>
      </c>
      <c r="B45" s="10" t="s">
        <v>1314</v>
      </c>
      <c r="C45" s="13" t="s">
        <v>80</v>
      </c>
      <c r="D45" s="13">
        <v>-630.60199999999998</v>
      </c>
      <c r="E45" s="13" t="s">
        <v>80</v>
      </c>
      <c r="F45" s="13">
        <v>-644</v>
      </c>
      <c r="G45" s="13" t="s">
        <v>80</v>
      </c>
      <c r="H45" s="13" t="s">
        <v>80</v>
      </c>
      <c r="I45" s="13" t="s">
        <v>80</v>
      </c>
      <c r="J45" s="13" t="s">
        <v>80</v>
      </c>
      <c r="K45" s="13" t="s">
        <v>80</v>
      </c>
      <c r="L45" s="13" t="s">
        <v>80</v>
      </c>
      <c r="M45" s="13" t="s">
        <v>80</v>
      </c>
      <c r="N45" s="13" t="s">
        <v>80</v>
      </c>
      <c r="O45" s="13" t="s">
        <v>80</v>
      </c>
      <c r="P45" s="13" t="s">
        <v>80</v>
      </c>
      <c r="Q45" s="13" t="s">
        <v>80</v>
      </c>
      <c r="R45" s="13" t="s">
        <v>80</v>
      </c>
      <c r="S45" s="13" t="s">
        <v>80</v>
      </c>
      <c r="T45" s="13" t="s">
        <v>80</v>
      </c>
      <c r="U45" s="13" t="s">
        <v>80</v>
      </c>
      <c r="V45" s="13" t="s">
        <v>80</v>
      </c>
      <c r="W45" s="13" t="s">
        <v>80</v>
      </c>
    </row>
    <row r="46" spans="1:23" x14ac:dyDescent="0.25">
      <c r="A46" s="10" t="s">
        <v>1315</v>
      </c>
      <c r="B46" s="10" t="s">
        <v>1316</v>
      </c>
      <c r="C46" s="13" t="s">
        <v>80</v>
      </c>
      <c r="D46" s="13" t="s">
        <v>80</v>
      </c>
      <c r="E46" s="13" t="s">
        <v>80</v>
      </c>
      <c r="F46" s="13" t="s">
        <v>80</v>
      </c>
      <c r="G46" s="13">
        <v>-183</v>
      </c>
      <c r="H46" s="13">
        <v>-171</v>
      </c>
      <c r="I46" s="13">
        <v>-3000</v>
      </c>
      <c r="J46" s="13">
        <v>-2042</v>
      </c>
      <c r="K46" s="13">
        <v>-27345</v>
      </c>
      <c r="L46" s="13">
        <v>0</v>
      </c>
      <c r="M46" s="13">
        <v>-71</v>
      </c>
      <c r="N46" s="13">
        <v>-2</v>
      </c>
      <c r="O46" s="13">
        <v>0</v>
      </c>
      <c r="P46" s="13" t="s">
        <v>80</v>
      </c>
      <c r="Q46" s="13" t="s">
        <v>80</v>
      </c>
      <c r="R46" s="13" t="s">
        <v>80</v>
      </c>
      <c r="S46" s="13" t="s">
        <v>80</v>
      </c>
      <c r="T46" s="13" t="s">
        <v>80</v>
      </c>
      <c r="U46" s="13" t="s">
        <v>80</v>
      </c>
      <c r="V46" s="13">
        <v>-3248</v>
      </c>
      <c r="W46" s="13">
        <v>-901</v>
      </c>
    </row>
    <row r="47" spans="1:23" x14ac:dyDescent="0.25">
      <c r="A47" s="10" t="s">
        <v>1317</v>
      </c>
      <c r="B47" s="10" t="s">
        <v>1318</v>
      </c>
      <c r="C47" s="13">
        <v>-271.53500000000003</v>
      </c>
      <c r="D47" s="13">
        <v>-237.66900000000001</v>
      </c>
      <c r="E47" s="13">
        <v>-929.00099999999998</v>
      </c>
      <c r="F47" s="13">
        <v>-4333</v>
      </c>
      <c r="G47" s="13">
        <v>0</v>
      </c>
      <c r="H47" s="13">
        <v>1</v>
      </c>
      <c r="I47" s="13">
        <v>131</v>
      </c>
      <c r="J47" s="13" t="s">
        <v>80</v>
      </c>
      <c r="K47" s="13">
        <v>-1</v>
      </c>
      <c r="L47" s="13" t="s">
        <v>80</v>
      </c>
      <c r="M47" s="13">
        <v>0</v>
      </c>
      <c r="N47" s="13">
        <v>-10</v>
      </c>
      <c r="O47" s="13">
        <v>0</v>
      </c>
      <c r="P47" s="13">
        <v>15254</v>
      </c>
      <c r="Q47" s="13">
        <v>0</v>
      </c>
      <c r="R47" s="13">
        <v>0</v>
      </c>
      <c r="S47" s="13" t="s">
        <v>80</v>
      </c>
      <c r="T47" s="13" t="s">
        <v>80</v>
      </c>
      <c r="U47" s="13" t="s">
        <v>80</v>
      </c>
      <c r="V47" s="13" t="s">
        <v>80</v>
      </c>
      <c r="W47" s="13" t="s">
        <v>80</v>
      </c>
    </row>
    <row r="48" spans="1:23" x14ac:dyDescent="0.25">
      <c r="A48" s="10" t="s">
        <v>1319</v>
      </c>
      <c r="B48" s="10" t="s">
        <v>1320</v>
      </c>
      <c r="C48" s="13" t="s">
        <v>80</v>
      </c>
      <c r="D48" s="13" t="s">
        <v>80</v>
      </c>
      <c r="E48" s="13" t="s">
        <v>80</v>
      </c>
      <c r="F48" s="13" t="s">
        <v>80</v>
      </c>
      <c r="G48" s="13" t="s">
        <v>80</v>
      </c>
      <c r="H48" s="13">
        <v>69</v>
      </c>
      <c r="I48" s="13">
        <v>0</v>
      </c>
      <c r="J48" s="13" t="s">
        <v>80</v>
      </c>
      <c r="K48" s="13">
        <v>1037</v>
      </c>
      <c r="L48" s="13">
        <v>409</v>
      </c>
      <c r="M48" s="13" t="s">
        <v>80</v>
      </c>
      <c r="N48" s="13" t="s">
        <v>80</v>
      </c>
      <c r="O48" s="13" t="s">
        <v>80</v>
      </c>
      <c r="P48" s="13" t="s">
        <v>80</v>
      </c>
      <c r="Q48" s="13" t="s">
        <v>80</v>
      </c>
      <c r="R48" s="13" t="s">
        <v>80</v>
      </c>
      <c r="S48" s="13" t="s">
        <v>80</v>
      </c>
      <c r="T48" s="13" t="s">
        <v>80</v>
      </c>
      <c r="U48" s="13" t="s">
        <v>80</v>
      </c>
      <c r="V48" s="13" t="s">
        <v>80</v>
      </c>
      <c r="W48" s="13" t="s">
        <v>80</v>
      </c>
    </row>
    <row r="49" spans="1:23" x14ac:dyDescent="0.25">
      <c r="A49" s="10" t="s">
        <v>1321</v>
      </c>
      <c r="B49" s="10" t="s">
        <v>1322</v>
      </c>
      <c r="C49" s="13" t="s">
        <v>80</v>
      </c>
      <c r="D49" s="13" t="s">
        <v>80</v>
      </c>
      <c r="E49" s="13" t="s">
        <v>80</v>
      </c>
      <c r="F49" s="13" t="s">
        <v>80</v>
      </c>
      <c r="G49" s="13" t="s">
        <v>80</v>
      </c>
      <c r="H49" s="13" t="s">
        <v>80</v>
      </c>
      <c r="I49" s="13" t="s">
        <v>80</v>
      </c>
      <c r="J49" s="13" t="s">
        <v>80</v>
      </c>
      <c r="K49" s="13" t="s">
        <v>80</v>
      </c>
      <c r="L49" s="13" t="s">
        <v>80</v>
      </c>
      <c r="M49" s="13">
        <v>0</v>
      </c>
      <c r="N49" s="13">
        <v>2</v>
      </c>
      <c r="O49" s="13">
        <v>3195</v>
      </c>
      <c r="P49" s="13">
        <v>0</v>
      </c>
      <c r="Q49" s="13">
        <v>68</v>
      </c>
      <c r="R49" s="13">
        <v>0</v>
      </c>
      <c r="S49" s="13">
        <v>4</v>
      </c>
      <c r="T49" s="13" t="s">
        <v>80</v>
      </c>
      <c r="U49" s="13">
        <v>0</v>
      </c>
      <c r="V49" s="13" t="s">
        <v>80</v>
      </c>
      <c r="W49" s="13" t="s">
        <v>80</v>
      </c>
    </row>
    <row r="50" spans="1:23" x14ac:dyDescent="0.25">
      <c r="A50" s="10" t="s">
        <v>1323</v>
      </c>
      <c r="B50" s="10" t="s">
        <v>1324</v>
      </c>
      <c r="C50" s="13" t="s">
        <v>80</v>
      </c>
      <c r="D50" s="13" t="s">
        <v>80</v>
      </c>
      <c r="E50" s="13" t="s">
        <v>80</v>
      </c>
      <c r="F50" s="13" t="s">
        <v>80</v>
      </c>
      <c r="G50" s="13" t="s">
        <v>80</v>
      </c>
      <c r="H50" s="13" t="s">
        <v>80</v>
      </c>
      <c r="I50" s="13" t="s">
        <v>80</v>
      </c>
      <c r="J50" s="13" t="s">
        <v>80</v>
      </c>
      <c r="K50" s="13" t="s">
        <v>80</v>
      </c>
      <c r="L50" s="13" t="s">
        <v>80</v>
      </c>
      <c r="M50" s="13" t="s">
        <v>80</v>
      </c>
      <c r="N50" s="13" t="s">
        <v>80</v>
      </c>
      <c r="O50" s="13">
        <v>0</v>
      </c>
      <c r="P50" s="13">
        <v>-1</v>
      </c>
      <c r="Q50" s="13">
        <v>-101</v>
      </c>
      <c r="R50" s="13">
        <v>-139</v>
      </c>
      <c r="S50" s="13">
        <v>0</v>
      </c>
      <c r="T50" s="13">
        <v>-914</v>
      </c>
      <c r="U50" s="13">
        <v>-94</v>
      </c>
      <c r="V50" s="13">
        <v>-3</v>
      </c>
      <c r="W50" s="13">
        <v>-20</v>
      </c>
    </row>
    <row r="51" spans="1:23" x14ac:dyDescent="0.25">
      <c r="A51" s="10" t="s">
        <v>1325</v>
      </c>
      <c r="B51" s="10" t="s">
        <v>1326</v>
      </c>
      <c r="C51" s="13" t="s">
        <v>80</v>
      </c>
      <c r="D51" s="13" t="s">
        <v>80</v>
      </c>
      <c r="E51" s="13" t="s">
        <v>80</v>
      </c>
      <c r="F51" s="13" t="s">
        <v>80</v>
      </c>
      <c r="G51" s="13">
        <v>135</v>
      </c>
      <c r="H51" s="13">
        <v>227</v>
      </c>
      <c r="I51" s="13">
        <v>20</v>
      </c>
      <c r="J51" s="13">
        <v>251</v>
      </c>
      <c r="K51" s="13">
        <v>505</v>
      </c>
      <c r="L51" s="13">
        <v>1134</v>
      </c>
      <c r="M51" s="13">
        <v>1419</v>
      </c>
      <c r="N51" s="13">
        <v>1122</v>
      </c>
      <c r="O51" s="13">
        <v>2364</v>
      </c>
      <c r="P51" s="13">
        <v>1255</v>
      </c>
      <c r="Q51" s="13">
        <v>1265</v>
      </c>
      <c r="R51" s="13">
        <v>1969</v>
      </c>
      <c r="S51" s="13">
        <v>1818</v>
      </c>
      <c r="T51" s="13">
        <v>1817</v>
      </c>
      <c r="U51" s="13">
        <v>954</v>
      </c>
      <c r="V51" s="13">
        <v>1400</v>
      </c>
      <c r="W51" s="13">
        <v>1561</v>
      </c>
    </row>
    <row r="52" spans="1:23" x14ac:dyDescent="0.25">
      <c r="A52" s="6" t="s">
        <v>1327</v>
      </c>
      <c r="B52" s="6" t="s">
        <v>1328</v>
      </c>
      <c r="C52" s="19">
        <v>-2150.6010000000001</v>
      </c>
      <c r="D52" s="19">
        <v>-1104.019</v>
      </c>
      <c r="E52" s="19">
        <v>-2536.7710000000002</v>
      </c>
      <c r="F52" s="19">
        <v>-6285</v>
      </c>
      <c r="G52" s="19">
        <v>-1236</v>
      </c>
      <c r="H52" s="19">
        <v>-1785</v>
      </c>
      <c r="I52" s="19">
        <v>-6872</v>
      </c>
      <c r="J52" s="19">
        <v>-3254</v>
      </c>
      <c r="K52" s="19">
        <v>-27062</v>
      </c>
      <c r="L52" s="19">
        <v>-461</v>
      </c>
      <c r="M52" s="19">
        <v>-1563</v>
      </c>
      <c r="N52" s="19">
        <v>-1938</v>
      </c>
      <c r="O52" s="19">
        <v>1521</v>
      </c>
      <c r="P52" s="19">
        <v>15556</v>
      </c>
      <c r="Q52" s="19">
        <v>-1940</v>
      </c>
      <c r="R52" s="19">
        <v>-2721</v>
      </c>
      <c r="S52" s="19">
        <v>-1182</v>
      </c>
      <c r="T52" s="19">
        <v>-9926</v>
      </c>
      <c r="U52" s="19">
        <v>-4264</v>
      </c>
      <c r="V52" s="19">
        <v>-7218</v>
      </c>
      <c r="W52" s="19">
        <v>-7080</v>
      </c>
    </row>
    <row r="53" spans="1:23" x14ac:dyDescent="0.25">
      <c r="A53" s="10" t="s">
        <v>1329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25">
      <c r="A54" s="10" t="s">
        <v>1330</v>
      </c>
      <c r="B54" s="10" t="s">
        <v>1331</v>
      </c>
      <c r="C54" s="13">
        <v>-509.25400000000002</v>
      </c>
      <c r="D54" s="13">
        <v>-357.577</v>
      </c>
      <c r="E54" s="13" t="s">
        <v>80</v>
      </c>
      <c r="F54" s="13">
        <v>-949</v>
      </c>
      <c r="G54" s="13">
        <v>-364</v>
      </c>
      <c r="H54" s="13">
        <v>-1029</v>
      </c>
      <c r="I54" s="13">
        <v>-1157</v>
      </c>
      <c r="J54" s="13">
        <v>-1240</v>
      </c>
      <c r="K54" s="13">
        <v>-2911</v>
      </c>
      <c r="L54" s="13">
        <v>-1218</v>
      </c>
      <c r="M54" s="13">
        <v>-2787</v>
      </c>
      <c r="N54" s="13">
        <v>-7229</v>
      </c>
      <c r="O54" s="13">
        <v>-14645</v>
      </c>
      <c r="P54" s="13">
        <v>-9563</v>
      </c>
      <c r="Q54" s="13">
        <v>-15954</v>
      </c>
      <c r="R54" s="13">
        <v>0</v>
      </c>
      <c r="S54" s="13">
        <v>-16759</v>
      </c>
      <c r="T54" s="13">
        <v>-34283</v>
      </c>
      <c r="U54" s="13">
        <v>-37704</v>
      </c>
      <c r="V54" s="13">
        <v>-35938</v>
      </c>
      <c r="W54" s="13">
        <v>-47750</v>
      </c>
    </row>
    <row r="55" spans="1:23" x14ac:dyDescent="0.25">
      <c r="A55" s="10" t="s">
        <v>1332</v>
      </c>
      <c r="B55" s="10" t="s">
        <v>1333</v>
      </c>
      <c r="C55" s="13">
        <v>1176.1759999999999</v>
      </c>
      <c r="D55" s="13">
        <v>43.942999999999998</v>
      </c>
      <c r="E55" s="13" t="s">
        <v>80</v>
      </c>
      <c r="F55" s="13">
        <v>10403</v>
      </c>
      <c r="G55" s="13" t="s">
        <v>80</v>
      </c>
      <c r="H55" s="13" t="s">
        <v>80</v>
      </c>
      <c r="I55" s="13" t="s">
        <v>80</v>
      </c>
      <c r="J55" s="13" t="s">
        <v>80</v>
      </c>
      <c r="K55" s="13" t="s">
        <v>80</v>
      </c>
      <c r="L55" s="13" t="s">
        <v>80</v>
      </c>
      <c r="M55" s="13" t="s">
        <v>80</v>
      </c>
      <c r="N55" s="13" t="s">
        <v>80</v>
      </c>
      <c r="O55" s="13" t="s">
        <v>80</v>
      </c>
      <c r="P55" s="13" t="s">
        <v>80</v>
      </c>
      <c r="Q55" s="13" t="s">
        <v>80</v>
      </c>
      <c r="R55" s="13" t="s">
        <v>80</v>
      </c>
      <c r="S55" s="13" t="s">
        <v>80</v>
      </c>
      <c r="T55" s="13" t="s">
        <v>80</v>
      </c>
      <c r="U55" s="13" t="s">
        <v>80</v>
      </c>
      <c r="V55" s="13" t="s">
        <v>80</v>
      </c>
      <c r="W55" s="13" t="s">
        <v>80</v>
      </c>
    </row>
    <row r="56" spans="1:23" x14ac:dyDescent="0.25">
      <c r="A56" s="10" t="s">
        <v>1334</v>
      </c>
      <c r="B56" s="10" t="s">
        <v>1335</v>
      </c>
      <c r="C56" s="13">
        <v>6.5810000000000004</v>
      </c>
      <c r="D56" s="13">
        <v>86.302999999999997</v>
      </c>
      <c r="E56" s="13" t="s">
        <v>80</v>
      </c>
      <c r="F56" s="13">
        <v>103</v>
      </c>
      <c r="G56" s="13" t="s">
        <v>80</v>
      </c>
      <c r="H56" s="13" t="s">
        <v>80</v>
      </c>
      <c r="I56" s="13" t="s">
        <v>80</v>
      </c>
      <c r="J56" s="13" t="s">
        <v>80</v>
      </c>
      <c r="K56" s="13">
        <v>31200</v>
      </c>
      <c r="L56" s="13" t="s">
        <v>80</v>
      </c>
      <c r="M56" s="13" t="s">
        <v>80</v>
      </c>
      <c r="N56" s="13" t="s">
        <v>80</v>
      </c>
      <c r="O56" s="13" t="s">
        <v>80</v>
      </c>
      <c r="P56" s="13" t="s">
        <v>80</v>
      </c>
      <c r="Q56" s="13">
        <v>108</v>
      </c>
      <c r="R56" s="13">
        <v>0</v>
      </c>
      <c r="S56" s="13" t="s">
        <v>80</v>
      </c>
      <c r="T56" s="13" t="s">
        <v>80</v>
      </c>
      <c r="U56" s="13" t="s">
        <v>80</v>
      </c>
      <c r="V56" s="13" t="s">
        <v>80</v>
      </c>
      <c r="W56" s="13" t="s">
        <v>80</v>
      </c>
    </row>
    <row r="57" spans="1:23" x14ac:dyDescent="0.25">
      <c r="A57" s="10" t="s">
        <v>1336</v>
      </c>
      <c r="B57" s="10" t="s">
        <v>1337</v>
      </c>
      <c r="C57" s="13" t="s">
        <v>80</v>
      </c>
      <c r="D57" s="13" t="s">
        <v>80</v>
      </c>
      <c r="E57" s="13" t="s">
        <v>80</v>
      </c>
      <c r="F57" s="13" t="s">
        <v>80</v>
      </c>
      <c r="G57" s="13" t="s">
        <v>80</v>
      </c>
      <c r="H57" s="13" t="s">
        <v>80</v>
      </c>
      <c r="I57" s="13" t="s">
        <v>80</v>
      </c>
      <c r="J57" s="13" t="s">
        <v>80</v>
      </c>
      <c r="K57" s="13" t="s">
        <v>80</v>
      </c>
      <c r="L57" s="13" t="s">
        <v>80</v>
      </c>
      <c r="M57" s="13" t="s">
        <v>80</v>
      </c>
      <c r="N57" s="13" t="s">
        <v>80</v>
      </c>
      <c r="O57" s="13" t="s">
        <v>80</v>
      </c>
      <c r="P57" s="13" t="s">
        <v>80</v>
      </c>
      <c r="Q57" s="13" t="s">
        <v>80</v>
      </c>
      <c r="R57" s="13">
        <v>-2146</v>
      </c>
      <c r="S57" s="13">
        <v>0</v>
      </c>
      <c r="T57" s="13" t="s">
        <v>80</v>
      </c>
      <c r="U57" s="13" t="s">
        <v>80</v>
      </c>
      <c r="V57" s="13">
        <v>-12674</v>
      </c>
      <c r="W57" s="13">
        <v>-2893</v>
      </c>
    </row>
    <row r="58" spans="1:23" x14ac:dyDescent="0.25">
      <c r="A58" s="10" t="s">
        <v>1338</v>
      </c>
      <c r="B58" s="10" t="s">
        <v>1339</v>
      </c>
      <c r="C58" s="13" t="s">
        <v>80</v>
      </c>
      <c r="D58" s="13" t="s">
        <v>80</v>
      </c>
      <c r="E58" s="13" t="s">
        <v>80</v>
      </c>
      <c r="F58" s="13" t="s">
        <v>80</v>
      </c>
      <c r="G58" s="13">
        <v>-63</v>
      </c>
      <c r="H58" s="13">
        <v>-133</v>
      </c>
      <c r="I58" s="13">
        <v>162</v>
      </c>
      <c r="J58" s="13">
        <v>-85</v>
      </c>
      <c r="K58" s="13">
        <v>14</v>
      </c>
      <c r="L58" s="13">
        <v>236</v>
      </c>
      <c r="M58" s="13">
        <v>261</v>
      </c>
      <c r="N58" s="13">
        <v>155</v>
      </c>
      <c r="O58" s="13">
        <v>-27</v>
      </c>
      <c r="P58" s="13">
        <v>-1</v>
      </c>
      <c r="Q58" s="13">
        <v>-28</v>
      </c>
      <c r="R58" s="13">
        <v>11</v>
      </c>
      <c r="S58" s="13">
        <v>32</v>
      </c>
      <c r="T58" s="13">
        <v>-55</v>
      </c>
      <c r="U58" s="13">
        <v>-149</v>
      </c>
      <c r="V58" s="13">
        <v>301</v>
      </c>
      <c r="W58" s="13">
        <v>-230</v>
      </c>
    </row>
    <row r="59" spans="1:23" x14ac:dyDescent="0.25">
      <c r="A59" s="10" t="s">
        <v>1340</v>
      </c>
      <c r="B59" s="10" t="s">
        <v>1341</v>
      </c>
      <c r="C59" s="13" t="s">
        <v>80</v>
      </c>
      <c r="D59" s="13" t="s">
        <v>80</v>
      </c>
      <c r="E59" s="13">
        <v>-6113.6080000000002</v>
      </c>
      <c r="F59" s="13">
        <v>1269</v>
      </c>
      <c r="G59" s="13" t="s">
        <v>80</v>
      </c>
      <c r="H59" s="13" t="s">
        <v>80</v>
      </c>
      <c r="I59" s="13" t="s">
        <v>80</v>
      </c>
      <c r="J59" s="13" t="s">
        <v>80</v>
      </c>
      <c r="K59" s="13" t="s">
        <v>80</v>
      </c>
      <c r="L59" s="13" t="s">
        <v>80</v>
      </c>
      <c r="M59" s="13" t="s">
        <v>80</v>
      </c>
      <c r="N59" s="13" t="s">
        <v>80</v>
      </c>
      <c r="O59" s="13">
        <v>0</v>
      </c>
      <c r="P59" s="13" t="s">
        <v>80</v>
      </c>
      <c r="Q59" s="13" t="s">
        <v>80</v>
      </c>
      <c r="R59" s="13" t="s">
        <v>80</v>
      </c>
      <c r="S59" s="13" t="s">
        <v>80</v>
      </c>
      <c r="T59" s="13">
        <v>-1426</v>
      </c>
      <c r="U59" s="13">
        <v>-741</v>
      </c>
      <c r="V59" s="13">
        <v>-1154</v>
      </c>
      <c r="W59" s="13">
        <v>-1121</v>
      </c>
    </row>
    <row r="60" spans="1:23" x14ac:dyDescent="0.25">
      <c r="A60" s="10" t="s">
        <v>1342</v>
      </c>
      <c r="B60" s="10" t="s">
        <v>1343</v>
      </c>
      <c r="C60" s="13">
        <v>15420.036</v>
      </c>
      <c r="D60" s="13">
        <v>6184.5749999999998</v>
      </c>
      <c r="E60" s="13">
        <v>-3443.962</v>
      </c>
      <c r="F60" s="13">
        <v>12792</v>
      </c>
      <c r="G60" s="13">
        <v>4935</v>
      </c>
      <c r="H60" s="13">
        <v>3362</v>
      </c>
      <c r="I60" s="13">
        <v>-5531</v>
      </c>
      <c r="J60" s="13">
        <v>14597</v>
      </c>
      <c r="K60" s="13">
        <v>-6516</v>
      </c>
      <c r="L60" s="13">
        <v>11624</v>
      </c>
      <c r="M60" s="13">
        <v>33749</v>
      </c>
      <c r="N60" s="13">
        <v>-42117</v>
      </c>
      <c r="O60" s="13">
        <v>10410</v>
      </c>
      <c r="P60" s="13">
        <v>-631</v>
      </c>
      <c r="Q60" s="13">
        <v>-12812</v>
      </c>
      <c r="R60" s="13">
        <v>46498</v>
      </c>
      <c r="S60" s="13">
        <v>-10496</v>
      </c>
      <c r="T60" s="13">
        <v>9467</v>
      </c>
      <c r="U60" s="13">
        <v>-7875</v>
      </c>
      <c r="V60" s="13">
        <v>-1827</v>
      </c>
      <c r="W60" s="13">
        <v>1821</v>
      </c>
    </row>
    <row r="61" spans="1:23" x14ac:dyDescent="0.25">
      <c r="A61" s="10" t="s">
        <v>1344</v>
      </c>
      <c r="B61" s="10" t="s">
        <v>1345</v>
      </c>
      <c r="C61" s="13" t="s">
        <v>80</v>
      </c>
      <c r="D61" s="13" t="s">
        <v>80</v>
      </c>
      <c r="E61" s="13" t="s">
        <v>80</v>
      </c>
      <c r="F61" s="13" t="s">
        <v>80</v>
      </c>
      <c r="G61" s="13" t="s">
        <v>80</v>
      </c>
      <c r="H61" s="13">
        <v>69</v>
      </c>
      <c r="I61" s="13">
        <v>461</v>
      </c>
      <c r="J61" s="13">
        <v>33</v>
      </c>
      <c r="K61" s="13">
        <v>437</v>
      </c>
      <c r="L61" s="13" t="s">
        <v>80</v>
      </c>
      <c r="M61" s="13" t="s">
        <v>80</v>
      </c>
      <c r="N61" s="13" t="s">
        <v>80</v>
      </c>
      <c r="O61" s="13" t="s">
        <v>80</v>
      </c>
      <c r="P61" s="13" t="s">
        <v>80</v>
      </c>
      <c r="Q61" s="13" t="s">
        <v>80</v>
      </c>
      <c r="R61" s="13" t="s">
        <v>80</v>
      </c>
      <c r="S61" s="13" t="s">
        <v>80</v>
      </c>
      <c r="T61" s="13" t="s">
        <v>80</v>
      </c>
      <c r="U61" s="13" t="s">
        <v>80</v>
      </c>
      <c r="V61" s="13" t="s">
        <v>80</v>
      </c>
      <c r="W61" s="13" t="s">
        <v>80</v>
      </c>
    </row>
    <row r="62" spans="1:23" x14ac:dyDescent="0.25">
      <c r="A62" s="10" t="s">
        <v>1346</v>
      </c>
      <c r="B62" s="10" t="s">
        <v>1347</v>
      </c>
      <c r="C62" s="13" t="s">
        <v>80</v>
      </c>
      <c r="D62" s="13" t="s">
        <v>80</v>
      </c>
      <c r="E62" s="13" t="s">
        <v>80</v>
      </c>
      <c r="F62" s="13" t="s">
        <v>80</v>
      </c>
      <c r="G62" s="13">
        <v>-451</v>
      </c>
      <c r="H62" s="13" t="s">
        <v>80</v>
      </c>
      <c r="I62" s="13" t="s">
        <v>80</v>
      </c>
      <c r="J62" s="13" t="s">
        <v>80</v>
      </c>
      <c r="K62" s="13" t="s">
        <v>80</v>
      </c>
      <c r="L62" s="13">
        <v>-549</v>
      </c>
      <c r="M62" s="13">
        <v>-1551</v>
      </c>
      <c r="N62" s="13">
        <v>-1394</v>
      </c>
      <c r="O62" s="13">
        <v>-1181</v>
      </c>
      <c r="P62" s="13">
        <v>-855</v>
      </c>
      <c r="Q62" s="13">
        <v>0</v>
      </c>
      <c r="R62" s="13" t="s">
        <v>80</v>
      </c>
      <c r="S62" s="13" t="s">
        <v>80</v>
      </c>
      <c r="T62" s="13">
        <v>-1042</v>
      </c>
      <c r="U62" s="13">
        <v>0</v>
      </c>
      <c r="V62" s="13" t="s">
        <v>80</v>
      </c>
      <c r="W62" s="13" t="s">
        <v>80</v>
      </c>
    </row>
    <row r="63" spans="1:23" x14ac:dyDescent="0.25">
      <c r="A63" s="10" t="s">
        <v>1348</v>
      </c>
      <c r="B63" s="10" t="s">
        <v>1349</v>
      </c>
      <c r="C63" s="13">
        <v>23525.329000000002</v>
      </c>
      <c r="D63" s="13">
        <v>30743.161</v>
      </c>
      <c r="E63" s="13">
        <v>41609.885000000002</v>
      </c>
      <c r="F63" s="13">
        <v>54402</v>
      </c>
      <c r="G63" s="13">
        <v>59268</v>
      </c>
      <c r="H63" s="13">
        <v>62497</v>
      </c>
      <c r="I63" s="13">
        <v>53968</v>
      </c>
      <c r="J63" s="13">
        <v>68480</v>
      </c>
      <c r="K63" s="13">
        <v>61978</v>
      </c>
      <c r="L63" s="13">
        <v>73838</v>
      </c>
      <c r="M63" s="13">
        <v>107848</v>
      </c>
      <c r="N63" s="13">
        <v>65886</v>
      </c>
      <c r="O63" s="13">
        <v>76269</v>
      </c>
      <c r="P63" s="13">
        <v>75637</v>
      </c>
      <c r="Q63" s="13">
        <v>62797</v>
      </c>
      <c r="R63" s="13">
        <v>109306</v>
      </c>
      <c r="S63" s="13">
        <v>98842</v>
      </c>
      <c r="T63" s="13">
        <v>108254</v>
      </c>
      <c r="U63" s="13">
        <v>100230</v>
      </c>
      <c r="V63" s="13">
        <v>98704</v>
      </c>
      <c r="W63" s="13">
        <v>100295</v>
      </c>
    </row>
    <row r="64" spans="1:23" x14ac:dyDescent="0.25">
      <c r="A64" s="10" t="s">
        <v>1350</v>
      </c>
      <c r="B64" s="10" t="s">
        <v>1351</v>
      </c>
      <c r="C64" s="13">
        <v>8105.2929999999997</v>
      </c>
      <c r="D64" s="13">
        <v>24558.585999999999</v>
      </c>
      <c r="E64" s="13">
        <v>45053.847000000002</v>
      </c>
      <c r="F64" s="13">
        <v>41610</v>
      </c>
      <c r="G64" s="13">
        <v>54396</v>
      </c>
      <c r="H64" s="13">
        <v>59268</v>
      </c>
      <c r="I64" s="13">
        <v>59337</v>
      </c>
      <c r="J64" s="13">
        <v>53968</v>
      </c>
      <c r="K64" s="13">
        <v>68480</v>
      </c>
      <c r="L64" s="13">
        <v>61978</v>
      </c>
      <c r="M64" s="13">
        <v>73838</v>
      </c>
      <c r="N64" s="13">
        <v>107848</v>
      </c>
      <c r="O64" s="13">
        <v>65886</v>
      </c>
      <c r="P64" s="13">
        <v>76269</v>
      </c>
      <c r="Q64" s="13">
        <v>75637</v>
      </c>
      <c r="R64" s="13">
        <v>62797</v>
      </c>
      <c r="S64" s="13">
        <v>109306</v>
      </c>
      <c r="T64" s="13">
        <v>98842</v>
      </c>
      <c r="U64" s="13">
        <v>108254</v>
      </c>
      <c r="V64" s="13">
        <v>100230</v>
      </c>
      <c r="W64" s="13">
        <v>98704</v>
      </c>
    </row>
    <row r="65" spans="1:23" x14ac:dyDescent="0.25">
      <c r="A65" s="10" t="s">
        <v>1352</v>
      </c>
      <c r="B65" s="10" t="s">
        <v>1353</v>
      </c>
      <c r="C65" s="13" t="s">
        <v>80</v>
      </c>
      <c r="D65" s="13" t="s">
        <v>80</v>
      </c>
      <c r="E65" s="13" t="s">
        <v>80</v>
      </c>
      <c r="F65" s="13" t="s">
        <v>80</v>
      </c>
      <c r="G65" s="13" t="s">
        <v>80</v>
      </c>
      <c r="H65" s="13" t="s">
        <v>80</v>
      </c>
      <c r="I65" s="13" t="s">
        <v>80</v>
      </c>
      <c r="J65" s="13" t="s">
        <v>80</v>
      </c>
      <c r="K65" s="13" t="s">
        <v>80</v>
      </c>
      <c r="L65" s="13" t="s">
        <v>80</v>
      </c>
      <c r="M65" s="13" t="s">
        <v>80</v>
      </c>
      <c r="N65" s="13" t="s">
        <v>80</v>
      </c>
      <c r="O65" s="13">
        <v>10952</v>
      </c>
      <c r="P65" s="13" t="s">
        <v>80</v>
      </c>
      <c r="Q65" s="13" t="s">
        <v>80</v>
      </c>
      <c r="R65" s="13" t="s">
        <v>80</v>
      </c>
      <c r="S65" s="13" t="s">
        <v>80</v>
      </c>
      <c r="T65" s="13">
        <v>-15693</v>
      </c>
      <c r="U65" s="13">
        <v>-13090</v>
      </c>
      <c r="V65" s="13">
        <v>27693</v>
      </c>
      <c r="W65" s="13">
        <v>-14800</v>
      </c>
    </row>
    <row r="66" spans="1:23" x14ac:dyDescent="0.25">
      <c r="A66" s="10" t="s">
        <v>1354</v>
      </c>
      <c r="B66" s="10" t="s">
        <v>1355</v>
      </c>
      <c r="C66" s="13" t="s">
        <v>80</v>
      </c>
      <c r="D66" s="13" t="s">
        <v>80</v>
      </c>
      <c r="E66" s="13">
        <v>-1551.85</v>
      </c>
      <c r="F66" s="13" t="s">
        <v>80</v>
      </c>
      <c r="G66" s="13">
        <v>-2481</v>
      </c>
      <c r="H66" s="13">
        <v>-350</v>
      </c>
      <c r="I66" s="13">
        <v>-1293</v>
      </c>
      <c r="J66" s="13" t="s">
        <v>80</v>
      </c>
      <c r="K66" s="13">
        <v>-1457</v>
      </c>
      <c r="L66" s="13">
        <v>-1567</v>
      </c>
      <c r="M66" s="13" t="s">
        <v>80</v>
      </c>
      <c r="N66" s="13" t="s">
        <v>80</v>
      </c>
      <c r="O66" s="13" t="s">
        <v>80</v>
      </c>
      <c r="P66" s="13" t="s">
        <v>80</v>
      </c>
      <c r="Q66" s="13" t="s">
        <v>80</v>
      </c>
      <c r="R66" s="13" t="s">
        <v>80</v>
      </c>
      <c r="S66" s="13" t="s">
        <v>80</v>
      </c>
      <c r="T66" s="13" t="s">
        <v>80</v>
      </c>
      <c r="U66" s="13" t="s">
        <v>80</v>
      </c>
      <c r="V66" s="13" t="s">
        <v>80</v>
      </c>
      <c r="W66" s="13" t="s">
        <v>80</v>
      </c>
    </row>
    <row r="67" spans="1:23" x14ac:dyDescent="0.25">
      <c r="A67" s="10" t="s">
        <v>1356</v>
      </c>
      <c r="B67" s="10" t="s">
        <v>1357</v>
      </c>
      <c r="C67" s="13" t="s">
        <v>80</v>
      </c>
      <c r="D67" s="13" t="s">
        <v>80</v>
      </c>
      <c r="E67" s="13">
        <v>5232.87</v>
      </c>
      <c r="F67" s="13" t="s">
        <v>80</v>
      </c>
      <c r="G67" s="13" t="s">
        <v>80</v>
      </c>
      <c r="H67" s="13" t="s">
        <v>80</v>
      </c>
      <c r="I67" s="13" t="s">
        <v>80</v>
      </c>
      <c r="J67" s="13">
        <v>2933</v>
      </c>
      <c r="K67" s="13" t="s">
        <v>80</v>
      </c>
      <c r="L67" s="13" t="s">
        <v>80</v>
      </c>
      <c r="M67" s="13">
        <v>865</v>
      </c>
      <c r="N67" s="13">
        <v>4464</v>
      </c>
      <c r="O67" s="13" t="s">
        <v>80</v>
      </c>
      <c r="P67" s="13" t="s">
        <v>80</v>
      </c>
      <c r="Q67" s="13" t="s">
        <v>80</v>
      </c>
      <c r="R67" s="13" t="s">
        <v>80</v>
      </c>
      <c r="S67" s="13" t="s">
        <v>80</v>
      </c>
      <c r="T67" s="13" t="s">
        <v>80</v>
      </c>
      <c r="U67" s="13" t="s">
        <v>80</v>
      </c>
      <c r="V67" s="13" t="s">
        <v>80</v>
      </c>
      <c r="W67" s="13" t="s">
        <v>80</v>
      </c>
    </row>
    <row r="68" spans="1:23" x14ac:dyDescent="0.25">
      <c r="A68" s="10" t="s">
        <v>1358</v>
      </c>
      <c r="B68" s="10" t="s">
        <v>1359</v>
      </c>
      <c r="C68" s="13" t="s">
        <v>80</v>
      </c>
      <c r="D68" s="13" t="s">
        <v>80</v>
      </c>
      <c r="E68" s="13" t="s">
        <v>80</v>
      </c>
      <c r="F68" s="13" t="s">
        <v>80</v>
      </c>
      <c r="G68" s="13" t="s">
        <v>80</v>
      </c>
      <c r="H68" s="13" t="s">
        <v>80</v>
      </c>
      <c r="I68" s="13" t="s">
        <v>80</v>
      </c>
      <c r="J68" s="13" t="s">
        <v>80</v>
      </c>
      <c r="K68" s="13" t="s">
        <v>80</v>
      </c>
      <c r="L68" s="13" t="s">
        <v>80</v>
      </c>
      <c r="M68" s="13" t="s">
        <v>80</v>
      </c>
      <c r="N68" s="13" t="s">
        <v>80</v>
      </c>
      <c r="O68" s="13" t="s">
        <v>80</v>
      </c>
      <c r="P68" s="13" t="s">
        <v>80</v>
      </c>
      <c r="Q68" s="13" t="s">
        <v>80</v>
      </c>
      <c r="R68" s="13" t="s">
        <v>80</v>
      </c>
      <c r="S68" s="13" t="s">
        <v>80</v>
      </c>
      <c r="T68" s="13">
        <v>-4768</v>
      </c>
      <c r="U68" s="13">
        <v>-3988</v>
      </c>
      <c r="V68" s="13">
        <v>-3867</v>
      </c>
      <c r="W68" s="13">
        <v>-5968</v>
      </c>
    </row>
    <row r="69" spans="1:23" x14ac:dyDescent="0.25">
      <c r="A69" s="10" t="s">
        <v>1360</v>
      </c>
      <c r="B69" s="10" t="s">
        <v>1361</v>
      </c>
      <c r="C69" s="13" t="s">
        <v>80</v>
      </c>
      <c r="D69" s="13" t="s">
        <v>80</v>
      </c>
      <c r="E69" s="13" t="s">
        <v>80</v>
      </c>
      <c r="F69" s="13" t="s">
        <v>80</v>
      </c>
      <c r="G69" s="13" t="s">
        <v>80</v>
      </c>
      <c r="H69" s="13" t="s">
        <v>80</v>
      </c>
      <c r="I69" s="13" t="s">
        <v>80</v>
      </c>
      <c r="J69" s="13" t="s">
        <v>80</v>
      </c>
      <c r="K69" s="13" t="s">
        <v>80</v>
      </c>
      <c r="L69" s="13" t="s">
        <v>80</v>
      </c>
      <c r="M69" s="13" t="s">
        <v>80</v>
      </c>
      <c r="N69" s="13" t="s">
        <v>80</v>
      </c>
      <c r="O69" s="13">
        <v>-301</v>
      </c>
      <c r="P69" s="13">
        <v>-1225</v>
      </c>
      <c r="Q69" s="13">
        <v>-1983</v>
      </c>
      <c r="R69" s="13">
        <v>-3342</v>
      </c>
      <c r="S69" s="13">
        <v>-3689</v>
      </c>
      <c r="T69" s="13" t="s">
        <v>80</v>
      </c>
      <c r="U69" s="13" t="s">
        <v>80</v>
      </c>
      <c r="V69" s="13" t="s">
        <v>80</v>
      </c>
      <c r="W69" s="13" t="s">
        <v>80</v>
      </c>
    </row>
    <row r="70" spans="1:23" x14ac:dyDescent="0.25">
      <c r="A70" s="6" t="s">
        <v>1362</v>
      </c>
      <c r="B70" s="6" t="s">
        <v>1363</v>
      </c>
      <c r="C70" s="19">
        <v>673.50300000000004</v>
      </c>
      <c r="D70" s="19">
        <v>-227.33099999999999</v>
      </c>
      <c r="E70" s="19">
        <v>-2432.5880000000002</v>
      </c>
      <c r="F70" s="19">
        <v>10826</v>
      </c>
      <c r="G70" s="19">
        <v>-815</v>
      </c>
      <c r="H70" s="19">
        <v>-960</v>
      </c>
      <c r="I70" s="19">
        <v>-696</v>
      </c>
      <c r="J70" s="19">
        <v>-1207</v>
      </c>
      <c r="K70" s="19">
        <v>28726</v>
      </c>
      <c r="L70" s="19">
        <v>-1767</v>
      </c>
      <c r="M70" s="19">
        <v>-4338</v>
      </c>
      <c r="N70" s="19">
        <v>-8623</v>
      </c>
      <c r="O70" s="19">
        <v>-16127</v>
      </c>
      <c r="P70" s="19">
        <v>-11643</v>
      </c>
      <c r="Q70" s="19">
        <v>-17829</v>
      </c>
      <c r="R70" s="19">
        <v>-5488</v>
      </c>
      <c r="S70" s="19">
        <v>-20448</v>
      </c>
      <c r="T70" s="19">
        <v>-57212</v>
      </c>
      <c r="U70" s="19">
        <v>-55523</v>
      </c>
      <c r="V70" s="19">
        <v>-25940</v>
      </c>
      <c r="W70" s="19">
        <v>-72532</v>
      </c>
    </row>
    <row r="71" spans="1:23" x14ac:dyDescent="0.25">
      <c r="A71" s="10" t="s">
        <v>487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0" t="s">
        <v>1364</v>
      </c>
      <c r="B72" s="10" t="s">
        <v>1365</v>
      </c>
      <c r="C72" s="13">
        <v>707.51900000000001</v>
      </c>
      <c r="D72" s="13">
        <v>-196</v>
      </c>
      <c r="E72" s="13" t="s">
        <v>80</v>
      </c>
      <c r="F72" s="13">
        <v>24</v>
      </c>
      <c r="G72" s="13" t="s">
        <v>80</v>
      </c>
      <c r="H72" s="13" t="s">
        <v>80</v>
      </c>
      <c r="I72" s="13" t="s">
        <v>80</v>
      </c>
      <c r="J72" s="13" t="s">
        <v>80</v>
      </c>
      <c r="K72" s="13" t="s">
        <v>80</v>
      </c>
      <c r="L72" s="13" t="s">
        <v>80</v>
      </c>
      <c r="M72" s="13" t="s">
        <v>80</v>
      </c>
      <c r="N72" s="13" t="s">
        <v>80</v>
      </c>
      <c r="O72" s="13" t="s">
        <v>80</v>
      </c>
      <c r="P72" s="13" t="s">
        <v>80</v>
      </c>
      <c r="Q72" s="13" t="s">
        <v>80</v>
      </c>
      <c r="R72" s="13" t="s">
        <v>80</v>
      </c>
      <c r="S72" s="13" t="s">
        <v>80</v>
      </c>
      <c r="T72" s="13" t="s">
        <v>80</v>
      </c>
      <c r="U72" s="13" t="s">
        <v>80</v>
      </c>
      <c r="V72" s="13" t="s">
        <v>80</v>
      </c>
      <c r="W72" s="13" t="s">
        <v>80</v>
      </c>
    </row>
    <row r="73" spans="1:23" x14ac:dyDescent="0.25">
      <c r="A73" s="7" t="s">
        <v>87</v>
      </c>
      <c r="B73" s="7"/>
      <c r="C73" s="7" t="s">
        <v>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4"/>
  <sheetViews>
    <sheetView workbookViewId="0">
      <selection activeCell="H17" sqref="H17"/>
    </sheetView>
  </sheetViews>
  <sheetFormatPr baseColWidth="10"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1366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89</v>
      </c>
      <c r="B4" s="3"/>
      <c r="C4" s="4" t="s">
        <v>90</v>
      </c>
      <c r="D4" s="4" t="s">
        <v>7</v>
      </c>
      <c r="E4" s="4" t="s">
        <v>8</v>
      </c>
      <c r="F4" s="4" t="s">
        <v>9</v>
      </c>
      <c r="G4" s="4" t="s">
        <v>4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5">
      <c r="A5" s="9" t="s">
        <v>31</v>
      </c>
      <c r="B5" s="9"/>
      <c r="C5" s="5" t="s">
        <v>91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  <c r="AA5" s="5" t="s">
        <v>55</v>
      </c>
    </row>
    <row r="6" spans="1:27" x14ac:dyDescent="0.25">
      <c r="A6" s="6" t="s">
        <v>1367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773</v>
      </c>
      <c r="B7" s="10" t="s">
        <v>157</v>
      </c>
      <c r="C7" s="14">
        <v>18.1555</v>
      </c>
      <c r="D7" s="14">
        <v>19.920100000000001</v>
      </c>
      <c r="E7" s="14">
        <v>18.003499999999999</v>
      </c>
      <c r="F7" s="14">
        <v>18.097899999999999</v>
      </c>
      <c r="G7" s="14">
        <v>31.7699</v>
      </c>
      <c r="H7" s="14">
        <v>25.579499999999999</v>
      </c>
      <c r="I7" s="14">
        <v>22.9954</v>
      </c>
      <c r="J7" s="14">
        <v>19.775400000000001</v>
      </c>
      <c r="K7" s="14">
        <v>14.7888</v>
      </c>
      <c r="L7" s="14">
        <v>15.3287</v>
      </c>
      <c r="M7" s="14">
        <v>14.5632</v>
      </c>
      <c r="N7" s="14">
        <v>14.2578</v>
      </c>
      <c r="O7" s="14">
        <v>14.3292</v>
      </c>
      <c r="P7" s="14">
        <v>13.266</v>
      </c>
      <c r="Q7" s="14">
        <v>13.242800000000001</v>
      </c>
      <c r="R7" s="14">
        <v>13.981299999999999</v>
      </c>
      <c r="S7" s="14">
        <v>16.689800000000002</v>
      </c>
      <c r="T7" s="14">
        <v>20.0974</v>
      </c>
      <c r="U7" s="14">
        <v>19.960899999999999</v>
      </c>
      <c r="V7" s="14">
        <v>14.668799999999999</v>
      </c>
      <c r="W7" s="14">
        <v>15.3559</v>
      </c>
      <c r="X7" s="14">
        <v>19.311199999999999</v>
      </c>
      <c r="Y7" s="14">
        <v>21.597999999999999</v>
      </c>
      <c r="Z7" s="14">
        <v>22.530999999999999</v>
      </c>
      <c r="AA7" s="14">
        <v>23.585999999999999</v>
      </c>
    </row>
    <row r="8" spans="1:27" x14ac:dyDescent="0.25">
      <c r="A8" s="10" t="s">
        <v>766</v>
      </c>
      <c r="B8" s="10" t="s">
        <v>155</v>
      </c>
      <c r="C8" s="14">
        <v>1.4424999999999999</v>
      </c>
      <c r="D8" s="14">
        <v>1.3222</v>
      </c>
      <c r="E8" s="14">
        <v>1.0750999999999999</v>
      </c>
      <c r="F8" s="14">
        <v>1.3462000000000001</v>
      </c>
      <c r="G8" s="14">
        <v>3.1206</v>
      </c>
      <c r="H8" s="14">
        <v>2.8067000000000002</v>
      </c>
      <c r="I8" s="14">
        <v>2.6074999999999999</v>
      </c>
      <c r="J8" s="14">
        <v>1.6217999999999999</v>
      </c>
      <c r="K8" s="14">
        <v>1.0233000000000001</v>
      </c>
      <c r="L8" s="14">
        <v>1.1583000000000001</v>
      </c>
      <c r="M8" s="14">
        <v>1.1997</v>
      </c>
      <c r="N8" s="14">
        <v>1.2473000000000001</v>
      </c>
      <c r="O8" s="14">
        <v>1.4046000000000001</v>
      </c>
      <c r="P8" s="14">
        <v>1.4470000000000001</v>
      </c>
      <c r="Q8" s="14">
        <v>1.4899</v>
      </c>
      <c r="R8" s="14">
        <v>1.5656000000000001</v>
      </c>
      <c r="S8" s="14">
        <v>1.8234999999999999</v>
      </c>
      <c r="T8" s="14">
        <v>2.1486999999999998</v>
      </c>
      <c r="U8" s="14">
        <v>2.2827000000000002</v>
      </c>
      <c r="V8" s="14">
        <v>1.8117000000000001</v>
      </c>
      <c r="W8" s="14">
        <v>1.9263999999999999</v>
      </c>
      <c r="X8" s="14">
        <v>2.3161999999999998</v>
      </c>
      <c r="Y8" s="14">
        <v>2.4127999999999998</v>
      </c>
      <c r="Z8" s="14">
        <v>2.3677999999999999</v>
      </c>
      <c r="AA8" s="14">
        <v>2.3191000000000002</v>
      </c>
    </row>
    <row r="9" spans="1:27" x14ac:dyDescent="0.25">
      <c r="A9" s="10" t="s">
        <v>1368</v>
      </c>
      <c r="B9" s="10" t="s">
        <v>1369</v>
      </c>
      <c r="C9" s="14">
        <v>5.3460999999999999</v>
      </c>
      <c r="D9" s="14">
        <v>5.5072000000000001</v>
      </c>
      <c r="E9" s="14">
        <v>4.7845000000000004</v>
      </c>
      <c r="F9" s="14">
        <v>6.1837999999999997</v>
      </c>
      <c r="G9" s="14">
        <v>13.3361</v>
      </c>
      <c r="H9" s="14">
        <v>12.0824</v>
      </c>
      <c r="I9" s="14">
        <v>10.959300000000001</v>
      </c>
      <c r="J9" s="14">
        <v>4.1230000000000002</v>
      </c>
      <c r="K9" s="14">
        <v>2.2132000000000001</v>
      </c>
      <c r="L9" s="14">
        <v>2.7124999999999999</v>
      </c>
      <c r="M9" s="14">
        <v>2.9621</v>
      </c>
      <c r="N9" s="14">
        <v>3.1743000000000001</v>
      </c>
      <c r="O9" s="14">
        <v>3.3647999999999998</v>
      </c>
      <c r="P9" s="14">
        <v>3.2921999999999998</v>
      </c>
      <c r="Q9" s="14">
        <v>3.5444</v>
      </c>
      <c r="R9" s="14">
        <v>3.8651</v>
      </c>
      <c r="S9" s="14">
        <v>4.7191999999999998</v>
      </c>
      <c r="T9" s="14">
        <v>5.6280000000000001</v>
      </c>
      <c r="U9" s="14">
        <v>5.8630000000000004</v>
      </c>
      <c r="V9" s="14">
        <v>4.8940000000000001</v>
      </c>
      <c r="W9" s="14">
        <v>5.3221999999999996</v>
      </c>
      <c r="X9" s="14">
        <v>6.1745000000000001</v>
      </c>
      <c r="Y9" s="14">
        <v>6.6359000000000004</v>
      </c>
      <c r="Z9" s="14">
        <v>6.7138999999999998</v>
      </c>
      <c r="AA9" s="14">
        <v>6.7210000000000001</v>
      </c>
    </row>
    <row r="10" spans="1:27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x14ac:dyDescent="0.25">
      <c r="A11" s="6" t="s">
        <v>1370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0" t="s">
        <v>1371</v>
      </c>
      <c r="B12" s="10" t="s">
        <v>1372</v>
      </c>
      <c r="C12" s="14">
        <v>67.490499999999997</v>
      </c>
      <c r="D12" s="14">
        <v>65.151700000000005</v>
      </c>
      <c r="E12" s="14">
        <v>63.392099999999999</v>
      </c>
      <c r="F12" s="14">
        <v>65.173699999999997</v>
      </c>
      <c r="G12" s="14">
        <v>72.690200000000004</v>
      </c>
      <c r="H12" s="14">
        <v>68.698300000000003</v>
      </c>
      <c r="I12" s="14">
        <v>66.799099999999996</v>
      </c>
      <c r="J12" s="14">
        <v>61.974299999999999</v>
      </c>
      <c r="K12" s="14">
        <v>54.09</v>
      </c>
      <c r="L12" s="14">
        <v>53.922199999999997</v>
      </c>
      <c r="M12" s="14">
        <v>46.401499999999999</v>
      </c>
      <c r="N12" s="14">
        <v>46.9895</v>
      </c>
      <c r="O12" s="14">
        <v>44.1663</v>
      </c>
      <c r="P12" s="14">
        <v>43.8611</v>
      </c>
      <c r="Q12" s="14">
        <v>43.067799999999998</v>
      </c>
      <c r="R12" s="14">
        <v>43.128</v>
      </c>
      <c r="S12" s="14">
        <v>48.624499999999998</v>
      </c>
      <c r="T12" s="14">
        <v>53.431399999999996</v>
      </c>
      <c r="U12" s="14">
        <v>54.875</v>
      </c>
      <c r="V12" s="14">
        <v>44.061500000000002</v>
      </c>
      <c r="W12" s="14">
        <v>40.5518</v>
      </c>
      <c r="X12" s="14">
        <v>62.694899999999997</v>
      </c>
      <c r="Y12" s="14">
        <v>69.598399999999998</v>
      </c>
      <c r="Z12" s="14">
        <v>68.718000000000004</v>
      </c>
      <c r="AA12" s="14">
        <v>66.036600000000007</v>
      </c>
    </row>
    <row r="13" spans="1:27" x14ac:dyDescent="0.25">
      <c r="A13" s="10" t="s">
        <v>1373</v>
      </c>
      <c r="B13" s="10" t="s">
        <v>1374</v>
      </c>
      <c r="C13" s="14">
        <v>11.056900000000001</v>
      </c>
      <c r="D13" s="14">
        <v>13.8988</v>
      </c>
      <c r="E13" s="14">
        <v>17.2102</v>
      </c>
      <c r="F13" s="14">
        <v>19.878299999999999</v>
      </c>
      <c r="G13" s="14">
        <v>89.3947</v>
      </c>
      <c r="H13" s="14">
        <v>31.920100000000001</v>
      </c>
      <c r="I13" s="14">
        <v>32.4529</v>
      </c>
      <c r="J13" s="14">
        <v>25.7468</v>
      </c>
      <c r="K13" s="14">
        <v>20.921099999999999</v>
      </c>
      <c r="L13" s="14">
        <v>26.179600000000001</v>
      </c>
      <c r="M13" s="14">
        <v>21.829000000000001</v>
      </c>
      <c r="N13" s="14">
        <v>22.248000000000001</v>
      </c>
      <c r="O13" s="14">
        <v>20.915800000000001</v>
      </c>
      <c r="P13" s="14">
        <v>23.717099999999999</v>
      </c>
      <c r="Q13" s="14">
        <v>25.712800000000001</v>
      </c>
      <c r="R13" s="14">
        <v>25.814800000000002</v>
      </c>
      <c r="S13" s="14">
        <v>27.4605</v>
      </c>
      <c r="T13" s="14">
        <v>31.153700000000001</v>
      </c>
      <c r="U13" s="14">
        <v>32.516500000000001</v>
      </c>
      <c r="V13" s="14">
        <v>25.224900000000002</v>
      </c>
      <c r="W13" s="14">
        <v>25.152999999999999</v>
      </c>
      <c r="X13" s="14">
        <v>31.2898</v>
      </c>
      <c r="Y13" s="14">
        <v>32.395099999999999</v>
      </c>
      <c r="Z13" s="14">
        <v>31.7028</v>
      </c>
      <c r="AA13" s="14">
        <v>30.867599999999999</v>
      </c>
    </row>
    <row r="14" spans="1:27" x14ac:dyDescent="0.25">
      <c r="A14" s="10" t="s">
        <v>1375</v>
      </c>
      <c r="B14" s="10" t="s">
        <v>1376</v>
      </c>
      <c r="C14" s="14" t="s">
        <v>80</v>
      </c>
      <c r="D14" s="14">
        <v>20.946400000000001</v>
      </c>
      <c r="E14" s="14">
        <v>73.502300000000005</v>
      </c>
      <c r="F14" s="14">
        <v>38.410400000000003</v>
      </c>
      <c r="G14" s="14" t="s">
        <v>80</v>
      </c>
      <c r="H14" s="14">
        <v>4.9259000000000004</v>
      </c>
      <c r="I14" s="14">
        <v>42.323900000000002</v>
      </c>
      <c r="J14" s="14">
        <v>1.2436</v>
      </c>
      <c r="K14" s="14" t="s">
        <v>80</v>
      </c>
      <c r="L14" s="14">
        <v>130.66040000000001</v>
      </c>
      <c r="M14" s="14">
        <v>15.645300000000001</v>
      </c>
      <c r="N14" s="14">
        <v>24.805199999999999</v>
      </c>
      <c r="O14" s="14">
        <v>11.2637</v>
      </c>
      <c r="P14" s="14">
        <v>78.996799999999993</v>
      </c>
      <c r="Q14" s="14">
        <v>156.44030000000001</v>
      </c>
      <c r="R14" s="14">
        <v>26.569400000000002</v>
      </c>
      <c r="S14" s="14">
        <v>35.572699999999998</v>
      </c>
      <c r="T14" s="14">
        <v>51.985599999999998</v>
      </c>
      <c r="U14" s="14">
        <v>49.4467</v>
      </c>
      <c r="V14" s="14" t="s">
        <v>80</v>
      </c>
      <c r="W14" s="14">
        <v>24.593</v>
      </c>
      <c r="X14" s="14">
        <v>82.692300000000003</v>
      </c>
      <c r="Y14" s="14">
        <v>43.334200000000003</v>
      </c>
      <c r="Z14" s="14">
        <v>25.636600000000001</v>
      </c>
      <c r="AA14" s="14">
        <v>23.205200000000001</v>
      </c>
    </row>
    <row r="15" spans="1:27" x14ac:dyDescent="0.25">
      <c r="A15" s="10" t="s">
        <v>362</v>
      </c>
      <c r="B15" s="10" t="s">
        <v>363</v>
      </c>
      <c r="C15" s="14">
        <v>19.558499999999999</v>
      </c>
      <c r="D15" s="14">
        <v>15.396000000000001</v>
      </c>
      <c r="E15" s="14">
        <v>17.788699999999999</v>
      </c>
      <c r="F15" s="14">
        <v>20.9939</v>
      </c>
      <c r="G15" s="14" t="s">
        <v>80</v>
      </c>
      <c r="H15" s="14">
        <v>36.080500000000001</v>
      </c>
      <c r="I15" s="14">
        <v>41.2498</v>
      </c>
      <c r="J15" s="14">
        <v>33.497900000000001</v>
      </c>
      <c r="K15" s="14">
        <v>23.508800000000001</v>
      </c>
      <c r="L15" s="14">
        <v>27.821100000000001</v>
      </c>
      <c r="M15" s="14">
        <v>21.760999999999999</v>
      </c>
      <c r="N15" s="14">
        <v>23.088799999999999</v>
      </c>
      <c r="O15" s="14">
        <v>22.3307</v>
      </c>
      <c r="P15" s="14">
        <v>25.170999999999999</v>
      </c>
      <c r="Q15" s="14">
        <v>27.122599999999998</v>
      </c>
      <c r="R15" s="14">
        <v>27.103200000000001</v>
      </c>
      <c r="S15" s="14">
        <v>28.5471</v>
      </c>
      <c r="T15" s="14">
        <v>32.164999999999999</v>
      </c>
      <c r="U15" s="14">
        <v>33.676200000000001</v>
      </c>
      <c r="V15" s="14">
        <v>26.522400000000001</v>
      </c>
      <c r="W15" s="14">
        <v>26.457599999999999</v>
      </c>
      <c r="X15" s="14">
        <v>31.7851</v>
      </c>
      <c r="Y15" s="14">
        <v>33.053100000000001</v>
      </c>
      <c r="Z15" s="14">
        <v>32.418900000000001</v>
      </c>
      <c r="AA15" s="14">
        <v>31.517399999999999</v>
      </c>
    </row>
    <row r="16" spans="1:27" x14ac:dyDescent="0.25">
      <c r="A16" s="10" t="s">
        <v>1377</v>
      </c>
      <c r="B16" s="10" t="s">
        <v>1378</v>
      </c>
      <c r="C16" s="14">
        <v>16.273099999999999</v>
      </c>
      <c r="D16" s="14">
        <v>12.8781</v>
      </c>
      <c r="E16" s="14">
        <v>16.1248</v>
      </c>
      <c r="F16" s="14">
        <v>16.734300000000001</v>
      </c>
      <c r="G16" s="14">
        <v>-29.533000000000001</v>
      </c>
      <c r="H16" s="14">
        <v>25.712900000000001</v>
      </c>
      <c r="I16" s="14">
        <v>28.225899999999999</v>
      </c>
      <c r="J16" s="14">
        <v>22.939599999999999</v>
      </c>
      <c r="K16" s="14">
        <v>18.369</v>
      </c>
      <c r="L16" s="14">
        <v>20.8001</v>
      </c>
      <c r="M16" s="14">
        <v>15.87</v>
      </c>
      <c r="N16" s="14">
        <v>17.206499999999998</v>
      </c>
      <c r="O16" s="14">
        <v>17.8794</v>
      </c>
      <c r="P16" s="14">
        <v>18.4162</v>
      </c>
      <c r="Q16" s="14">
        <v>20.090199999999999</v>
      </c>
      <c r="R16" s="14">
        <v>19.991099999999999</v>
      </c>
      <c r="S16" s="14">
        <v>20.768999999999998</v>
      </c>
      <c r="T16" s="14">
        <v>23.668500000000002</v>
      </c>
      <c r="U16" s="14">
        <v>25.029399999999999</v>
      </c>
      <c r="V16" s="14">
        <v>20.013200000000001</v>
      </c>
      <c r="W16" s="14">
        <v>20.398700000000002</v>
      </c>
      <c r="X16" s="14">
        <v>23.599900000000002</v>
      </c>
      <c r="Y16" s="14">
        <v>24.7486</v>
      </c>
      <c r="Z16" s="14">
        <v>24.2544</v>
      </c>
      <c r="AA16" s="14">
        <v>23.3111</v>
      </c>
    </row>
    <row r="17" spans="1:27" x14ac:dyDescent="0.25">
      <c r="A17" s="10" t="s">
        <v>1379</v>
      </c>
      <c r="B17" s="10" t="s">
        <v>1380</v>
      </c>
      <c r="C17" s="14">
        <v>5.8615000000000004</v>
      </c>
      <c r="D17" s="14">
        <v>6.8033999999999999</v>
      </c>
      <c r="E17" s="14">
        <v>7.8247</v>
      </c>
      <c r="F17" s="14">
        <v>8.1747999999999994</v>
      </c>
      <c r="G17" s="14">
        <v>13.382199999999999</v>
      </c>
      <c r="H17" s="14">
        <v>13.406700000000001</v>
      </c>
      <c r="I17" s="14">
        <v>14.0465</v>
      </c>
      <c r="J17" s="14">
        <v>11.691800000000001</v>
      </c>
      <c r="K17" s="14">
        <v>10.459899999999999</v>
      </c>
      <c r="L17" s="14">
        <v>12.3843</v>
      </c>
      <c r="M17" s="14">
        <v>10.029</v>
      </c>
      <c r="N17" s="14">
        <v>10.805300000000001</v>
      </c>
      <c r="O17" s="14">
        <v>12.175700000000001</v>
      </c>
      <c r="P17" s="14">
        <v>13.6243</v>
      </c>
      <c r="Q17" s="14">
        <v>15.7195</v>
      </c>
      <c r="R17" s="14">
        <v>15.5595</v>
      </c>
      <c r="S17" s="14">
        <v>14.853199999999999</v>
      </c>
      <c r="T17" s="14">
        <v>16.1646</v>
      </c>
      <c r="U17" s="14">
        <v>16.859100000000002</v>
      </c>
      <c r="V17" s="14">
        <v>15.082000000000001</v>
      </c>
      <c r="W17" s="14">
        <v>16.3019</v>
      </c>
      <c r="X17" s="14">
        <v>13.067399999999999</v>
      </c>
      <c r="Y17" s="14">
        <v>11.3277</v>
      </c>
      <c r="Z17" s="14">
        <v>11.1149</v>
      </c>
      <c r="AA17" s="14">
        <v>11.2241</v>
      </c>
    </row>
    <row r="18" spans="1:27" x14ac:dyDescent="0.25">
      <c r="A18" s="10" t="s">
        <v>1381</v>
      </c>
      <c r="B18" s="10" t="s">
        <v>1382</v>
      </c>
      <c r="C18" s="14">
        <v>15.2509</v>
      </c>
      <c r="D18" s="14">
        <v>14.5672</v>
      </c>
      <c r="E18" s="14">
        <v>15.1408</v>
      </c>
      <c r="F18" s="14">
        <v>15.6366</v>
      </c>
      <c r="G18" s="14">
        <v>74.576099999999997</v>
      </c>
      <c r="H18" s="14">
        <v>24.8416</v>
      </c>
      <c r="I18" s="14">
        <v>26.936499999999999</v>
      </c>
      <c r="J18" s="14">
        <v>21.781300000000002</v>
      </c>
      <c r="K18" s="14">
        <v>17.372</v>
      </c>
      <c r="L18" s="14">
        <v>18.943899999999999</v>
      </c>
      <c r="M18" s="14">
        <v>14.125299999999999</v>
      </c>
      <c r="N18" s="14">
        <v>15.5151</v>
      </c>
      <c r="O18" s="14">
        <v>16.914000000000001</v>
      </c>
      <c r="P18" s="14">
        <v>18.148</v>
      </c>
      <c r="Q18" s="14">
        <v>20.081900000000001</v>
      </c>
      <c r="R18" s="14">
        <v>19.965299999999999</v>
      </c>
      <c r="S18" s="14">
        <v>20.552399999999999</v>
      </c>
      <c r="T18" s="14">
        <v>23.3355</v>
      </c>
      <c r="U18" s="14">
        <v>24.685400000000001</v>
      </c>
      <c r="V18" s="14">
        <v>19.761199999999999</v>
      </c>
      <c r="W18" s="14">
        <v>20.116900000000001</v>
      </c>
      <c r="X18" s="14">
        <v>23.2835</v>
      </c>
      <c r="Y18" s="14">
        <v>24.4115</v>
      </c>
      <c r="Z18" s="14">
        <v>23.486899999999999</v>
      </c>
      <c r="AA18" s="14">
        <v>22.1585</v>
      </c>
    </row>
    <row r="19" spans="1:27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x14ac:dyDescent="0.25">
      <c r="A20" s="6" t="s">
        <v>1383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0" t="s">
        <v>1384</v>
      </c>
      <c r="B21" s="10" t="s">
        <v>1385</v>
      </c>
      <c r="C21" s="14">
        <v>16.797999999999998</v>
      </c>
      <c r="D21" s="14">
        <v>16.353899999999999</v>
      </c>
      <c r="E21" s="14">
        <v>9.3536000000000001</v>
      </c>
      <c r="F21" s="14">
        <v>20.289899999999999</v>
      </c>
      <c r="G21" s="14" t="s">
        <v>80</v>
      </c>
      <c r="H21" s="14">
        <v>28.7348</v>
      </c>
      <c r="I21" s="14">
        <v>31.5732</v>
      </c>
      <c r="J21" s="14">
        <v>31.519400000000001</v>
      </c>
      <c r="K21" s="14">
        <v>25.8142</v>
      </c>
      <c r="L21" s="14">
        <v>28.485800000000001</v>
      </c>
      <c r="M21" s="14">
        <v>27.071100000000001</v>
      </c>
      <c r="N21" s="14">
        <v>25.476800000000001</v>
      </c>
      <c r="O21" s="14">
        <v>19.933800000000002</v>
      </c>
      <c r="P21" s="14">
        <v>26.835899999999999</v>
      </c>
      <c r="Q21" s="14">
        <v>25.9283</v>
      </c>
      <c r="R21" s="14">
        <v>26.2409</v>
      </c>
      <c r="S21" s="14">
        <v>27.246400000000001</v>
      </c>
      <c r="T21" s="14">
        <v>26.415400000000002</v>
      </c>
      <c r="U21" s="14">
        <v>25.676300000000001</v>
      </c>
      <c r="V21" s="14">
        <v>24.542100000000001</v>
      </c>
      <c r="W21" s="14">
        <v>22.900500000000001</v>
      </c>
      <c r="X21" s="14">
        <v>25.751799999999999</v>
      </c>
      <c r="Y21" s="14">
        <v>25.124700000000001</v>
      </c>
      <c r="Z21" s="14">
        <v>25.1844</v>
      </c>
      <c r="AA21" s="14">
        <v>26.037500000000001</v>
      </c>
    </row>
    <row r="22" spans="1:27" x14ac:dyDescent="0.25">
      <c r="A22" s="10" t="s">
        <v>1386</v>
      </c>
      <c r="B22" s="10" t="s">
        <v>1387</v>
      </c>
      <c r="C22" s="14" t="s">
        <v>80</v>
      </c>
      <c r="D22" s="14">
        <v>5.4508000000000001</v>
      </c>
      <c r="E22" s="14">
        <v>5.6576000000000004</v>
      </c>
      <c r="F22" s="14" t="s">
        <v>80</v>
      </c>
      <c r="G22" s="14" t="s">
        <v>80</v>
      </c>
      <c r="H22" s="14">
        <v>0</v>
      </c>
      <c r="I22" s="14">
        <v>13.2927</v>
      </c>
      <c r="J22" s="14">
        <v>5.1684999999999999</v>
      </c>
      <c r="K22" s="14">
        <v>17.924199999999999</v>
      </c>
      <c r="L22" s="14">
        <v>15.6531</v>
      </c>
      <c r="M22" s="14">
        <v>13.5846</v>
      </c>
      <c r="N22" s="14">
        <v>11.3887</v>
      </c>
      <c r="O22" s="14">
        <v>23.4087</v>
      </c>
      <c r="P22" s="14">
        <v>17.713000000000001</v>
      </c>
      <c r="Q22" s="14">
        <v>16.509899999999998</v>
      </c>
      <c r="R22" s="14">
        <v>37.636800000000001</v>
      </c>
      <c r="S22" s="14">
        <v>61.485100000000003</v>
      </c>
      <c r="T22" s="14">
        <v>30.864000000000001</v>
      </c>
      <c r="U22" s="14">
        <v>43.490099999999998</v>
      </c>
      <c r="V22" s="14">
        <v>24.682600000000001</v>
      </c>
      <c r="W22" s="14">
        <v>49.549100000000003</v>
      </c>
      <c r="X22" s="14">
        <v>49.543100000000003</v>
      </c>
      <c r="Y22" s="14">
        <v>78.151700000000005</v>
      </c>
      <c r="Z22" s="14">
        <v>65.974999999999994</v>
      </c>
      <c r="AA22" s="14" t="s">
        <v>80</v>
      </c>
    </row>
    <row r="23" spans="1:27" x14ac:dyDescent="0.25">
      <c r="A23" s="10" t="s">
        <v>1388</v>
      </c>
      <c r="B23" s="10" t="s">
        <v>1389</v>
      </c>
      <c r="C23" s="14" t="s">
        <v>80</v>
      </c>
      <c r="D23" s="14">
        <v>18.834299999999999</v>
      </c>
      <c r="E23" s="14">
        <v>16.9849</v>
      </c>
      <c r="F23" s="14" t="s">
        <v>80</v>
      </c>
      <c r="G23" s="14" t="s">
        <v>80</v>
      </c>
      <c r="H23" s="14">
        <v>25.579499999999999</v>
      </c>
      <c r="I23" s="14">
        <v>19.938700000000001</v>
      </c>
      <c r="J23" s="14">
        <v>18.753299999999999</v>
      </c>
      <c r="K23" s="14">
        <v>12.138</v>
      </c>
      <c r="L23" s="14">
        <v>12.9293</v>
      </c>
      <c r="M23" s="14">
        <v>12.584899999999999</v>
      </c>
      <c r="N23" s="14">
        <v>12.6341</v>
      </c>
      <c r="O23" s="14">
        <v>10.9749</v>
      </c>
      <c r="P23" s="14">
        <v>10.9162</v>
      </c>
      <c r="Q23" s="14">
        <v>11.0564</v>
      </c>
      <c r="R23" s="14">
        <v>8.7192000000000007</v>
      </c>
      <c r="S23" s="14">
        <v>6.4280999999999997</v>
      </c>
      <c r="T23" s="14">
        <v>13.894600000000001</v>
      </c>
      <c r="U23" s="14">
        <v>11.2799</v>
      </c>
      <c r="V23" s="14">
        <v>11.0481</v>
      </c>
      <c r="W23" s="14">
        <v>7.7472000000000003</v>
      </c>
      <c r="X23" s="14">
        <v>9.7438000000000002</v>
      </c>
      <c r="Y23" s="14">
        <v>4.7187999999999999</v>
      </c>
      <c r="Z23" s="14">
        <v>7.6661999999999999</v>
      </c>
      <c r="AA23" s="14" t="s">
        <v>80</v>
      </c>
    </row>
    <row r="24" spans="1:27" x14ac:dyDescent="0.25">
      <c r="A24" s="7" t="s">
        <v>87</v>
      </c>
      <c r="B24" s="7"/>
      <c r="C24" s="7" t="s">
        <v>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156"/>
  <sheetViews>
    <sheetView workbookViewId="0">
      <selection activeCell="I33" sqref="I33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  <col min="39" max="39" width="11.85546875" customWidth="1"/>
    <col min="40" max="40" width="7" customWidth="1"/>
    <col min="41" max="41" width="11.85546875" customWidth="1"/>
    <col min="42" max="42" width="7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20.25" x14ac:dyDescent="0.25">
      <c r="A2" s="8" t="s">
        <v>1390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25">
      <c r="A4" s="3" t="s">
        <v>89</v>
      </c>
      <c r="B4" s="3"/>
      <c r="C4" s="28" t="s">
        <v>4</v>
      </c>
      <c r="D4" s="28"/>
      <c r="E4" s="28" t="s">
        <v>10</v>
      </c>
      <c r="F4" s="28"/>
      <c r="G4" s="28" t="s">
        <v>11</v>
      </c>
      <c r="H4" s="28"/>
      <c r="I4" s="28" t="s">
        <v>12</v>
      </c>
      <c r="J4" s="28"/>
      <c r="K4" s="28" t="s">
        <v>13</v>
      </c>
      <c r="L4" s="28"/>
      <c r="M4" s="28" t="s">
        <v>14</v>
      </c>
      <c r="N4" s="28"/>
      <c r="O4" s="28" t="s">
        <v>15</v>
      </c>
      <c r="P4" s="28"/>
      <c r="Q4" s="28" t="s">
        <v>16</v>
      </c>
      <c r="R4" s="28"/>
      <c r="S4" s="28" t="s">
        <v>17</v>
      </c>
      <c r="T4" s="28"/>
      <c r="U4" s="28" t="s">
        <v>19</v>
      </c>
      <c r="V4" s="28"/>
      <c r="W4" s="28" t="s">
        <v>20</v>
      </c>
      <c r="X4" s="28"/>
      <c r="Y4" s="28" t="s">
        <v>21</v>
      </c>
      <c r="Z4" s="28"/>
      <c r="AA4" s="28" t="s">
        <v>22</v>
      </c>
      <c r="AB4" s="28"/>
      <c r="AC4" s="28" t="s">
        <v>23</v>
      </c>
      <c r="AD4" s="28"/>
      <c r="AE4" s="28" t="s">
        <v>24</v>
      </c>
      <c r="AF4" s="28"/>
      <c r="AG4" s="28" t="s">
        <v>25</v>
      </c>
      <c r="AH4" s="28"/>
      <c r="AI4" s="28" t="s">
        <v>26</v>
      </c>
      <c r="AJ4" s="28"/>
      <c r="AK4" s="28" t="s">
        <v>27</v>
      </c>
      <c r="AL4" s="28"/>
      <c r="AM4" s="28" t="s">
        <v>28</v>
      </c>
      <c r="AN4" s="28"/>
      <c r="AO4" s="28" t="s">
        <v>29</v>
      </c>
      <c r="AP4" s="28"/>
    </row>
    <row r="5" spans="1:42" x14ac:dyDescent="0.25">
      <c r="A5" s="9" t="s">
        <v>31</v>
      </c>
      <c r="B5" s="9"/>
      <c r="C5" s="29" t="s">
        <v>35</v>
      </c>
      <c r="D5" s="29"/>
      <c r="E5" s="29" t="s">
        <v>36</v>
      </c>
      <c r="F5" s="29"/>
      <c r="G5" s="29" t="s">
        <v>37</v>
      </c>
      <c r="H5" s="29"/>
      <c r="I5" s="29" t="s">
        <v>38</v>
      </c>
      <c r="J5" s="29"/>
      <c r="K5" s="29" t="s">
        <v>39</v>
      </c>
      <c r="L5" s="29"/>
      <c r="M5" s="29" t="s">
        <v>40</v>
      </c>
      <c r="N5" s="29"/>
      <c r="O5" s="29" t="s">
        <v>41</v>
      </c>
      <c r="P5" s="29"/>
      <c r="Q5" s="29" t="s">
        <v>42</v>
      </c>
      <c r="R5" s="29"/>
      <c r="S5" s="29" t="s">
        <v>43</v>
      </c>
      <c r="T5" s="29"/>
      <c r="U5" s="29" t="s">
        <v>45</v>
      </c>
      <c r="V5" s="29"/>
      <c r="W5" s="29" t="s">
        <v>46</v>
      </c>
      <c r="X5" s="29"/>
      <c r="Y5" s="29" t="s">
        <v>47</v>
      </c>
      <c r="Z5" s="29"/>
      <c r="AA5" s="29" t="s">
        <v>48</v>
      </c>
      <c r="AB5" s="29"/>
      <c r="AC5" s="29" t="s">
        <v>49</v>
      </c>
      <c r="AD5" s="29"/>
      <c r="AE5" s="29" t="s">
        <v>50</v>
      </c>
      <c r="AF5" s="29"/>
      <c r="AG5" s="29" t="s">
        <v>51</v>
      </c>
      <c r="AH5" s="29"/>
      <c r="AI5" s="29" t="s">
        <v>52</v>
      </c>
      <c r="AJ5" s="29"/>
      <c r="AK5" s="29" t="s">
        <v>53</v>
      </c>
      <c r="AL5" s="29"/>
      <c r="AM5" s="29" t="s">
        <v>54</v>
      </c>
      <c r="AN5" s="29"/>
      <c r="AO5" s="29" t="s">
        <v>55</v>
      </c>
      <c r="AP5" s="29"/>
    </row>
    <row r="6" spans="1:42" x14ac:dyDescent="0.25">
      <c r="A6" s="6" t="s">
        <v>0</v>
      </c>
      <c r="B6" s="6"/>
      <c r="C6" s="34" t="s">
        <v>80</v>
      </c>
      <c r="D6" s="35"/>
      <c r="E6" s="34" t="s">
        <v>80</v>
      </c>
      <c r="F6" s="35"/>
      <c r="G6" s="34" t="s">
        <v>80</v>
      </c>
      <c r="H6" s="35"/>
      <c r="I6" s="34" t="s">
        <v>80</v>
      </c>
      <c r="J6" s="35"/>
      <c r="K6" s="34" t="s">
        <v>80</v>
      </c>
      <c r="L6" s="35"/>
      <c r="M6" s="34" t="s">
        <v>80</v>
      </c>
      <c r="N6" s="35"/>
      <c r="O6" s="34">
        <v>88865</v>
      </c>
      <c r="P6" s="35">
        <v>1</v>
      </c>
      <c r="Q6" s="34">
        <v>99081</v>
      </c>
      <c r="R6" s="35">
        <v>1</v>
      </c>
      <c r="S6" s="34">
        <v>118348</v>
      </c>
      <c r="T6" s="35">
        <v>1</v>
      </c>
      <c r="U6" s="34" t="s">
        <v>80</v>
      </c>
      <c r="V6" s="35"/>
      <c r="W6" s="34" t="s">
        <v>80</v>
      </c>
      <c r="X6" s="35"/>
      <c r="Y6" s="34" t="s">
        <v>80</v>
      </c>
      <c r="Z6" s="35"/>
      <c r="AA6" s="34" t="s">
        <v>80</v>
      </c>
      <c r="AB6" s="35"/>
      <c r="AC6" s="34" t="s">
        <v>80</v>
      </c>
      <c r="AD6" s="35"/>
      <c r="AE6" s="34" t="s">
        <v>80</v>
      </c>
      <c r="AF6" s="35"/>
      <c r="AG6" s="34" t="s">
        <v>80</v>
      </c>
      <c r="AH6" s="35"/>
      <c r="AI6" s="34" t="s">
        <v>80</v>
      </c>
      <c r="AJ6" s="35"/>
      <c r="AK6" s="34" t="s">
        <v>80</v>
      </c>
      <c r="AL6" s="35"/>
      <c r="AM6" s="34" t="s">
        <v>80</v>
      </c>
      <c r="AN6" s="35"/>
      <c r="AO6" s="34" t="s">
        <v>80</v>
      </c>
      <c r="AP6" s="35"/>
    </row>
    <row r="7" spans="1:42" x14ac:dyDescent="0.25">
      <c r="A7" s="10" t="s">
        <v>1391</v>
      </c>
      <c r="B7" s="10"/>
      <c r="C7" s="30" t="s">
        <v>80</v>
      </c>
      <c r="D7" s="31"/>
      <c r="E7" s="30" t="s">
        <v>80</v>
      </c>
      <c r="F7" s="31"/>
      <c r="G7" s="30" t="s">
        <v>80</v>
      </c>
      <c r="H7" s="31"/>
      <c r="I7" s="30" t="s">
        <v>80</v>
      </c>
      <c r="J7" s="31"/>
      <c r="K7" s="30" t="s">
        <v>80</v>
      </c>
      <c r="L7" s="31"/>
      <c r="M7" s="30" t="s">
        <v>80</v>
      </c>
      <c r="N7" s="31"/>
      <c r="O7" s="30">
        <v>2760</v>
      </c>
      <c r="P7" s="31">
        <v>3.1058346930737599E-2</v>
      </c>
      <c r="Q7" s="30" t="s">
        <v>80</v>
      </c>
      <c r="R7" s="31"/>
      <c r="S7" s="30" t="s">
        <v>80</v>
      </c>
      <c r="T7" s="31"/>
      <c r="U7" s="30" t="s">
        <v>80</v>
      </c>
      <c r="V7" s="31"/>
      <c r="W7" s="30" t="s">
        <v>80</v>
      </c>
      <c r="X7" s="31"/>
      <c r="Y7" s="30" t="s">
        <v>80</v>
      </c>
      <c r="Z7" s="31"/>
      <c r="AA7" s="30" t="s">
        <v>80</v>
      </c>
      <c r="AB7" s="31"/>
      <c r="AC7" s="30" t="s">
        <v>80</v>
      </c>
      <c r="AD7" s="31"/>
      <c r="AE7" s="30" t="s">
        <v>80</v>
      </c>
      <c r="AF7" s="31"/>
      <c r="AG7" s="30" t="s">
        <v>80</v>
      </c>
      <c r="AH7" s="31"/>
      <c r="AI7" s="30" t="s">
        <v>80</v>
      </c>
      <c r="AJ7" s="31"/>
      <c r="AK7" s="30" t="s">
        <v>80</v>
      </c>
      <c r="AL7" s="31"/>
      <c r="AM7" s="30" t="s">
        <v>80</v>
      </c>
      <c r="AN7" s="31"/>
      <c r="AO7" s="30" t="s">
        <v>80</v>
      </c>
      <c r="AP7" s="31"/>
    </row>
    <row r="8" spans="1:42" x14ac:dyDescent="0.25">
      <c r="A8" s="10" t="s">
        <v>1392</v>
      </c>
      <c r="B8" s="10"/>
      <c r="C8" s="30" t="s">
        <v>80</v>
      </c>
      <c r="D8" s="31"/>
      <c r="E8" s="30" t="s">
        <v>80</v>
      </c>
      <c r="F8" s="31"/>
      <c r="G8" s="30" t="s">
        <v>80</v>
      </c>
      <c r="H8" s="31"/>
      <c r="I8" s="30" t="s">
        <v>80</v>
      </c>
      <c r="J8" s="31"/>
      <c r="K8" s="30" t="s">
        <v>80</v>
      </c>
      <c r="L8" s="31"/>
      <c r="M8" s="30" t="s">
        <v>80</v>
      </c>
      <c r="N8" s="31"/>
      <c r="O8" s="30">
        <v>24</v>
      </c>
      <c r="P8" s="31">
        <v>2.7007258200641398E-4</v>
      </c>
      <c r="Q8" s="30">
        <v>-644</v>
      </c>
      <c r="R8" s="31">
        <v>-6.4997325420615504E-3</v>
      </c>
      <c r="S8" s="30">
        <v>990</v>
      </c>
      <c r="T8" s="31">
        <v>8.3651603744887993E-3</v>
      </c>
      <c r="U8" s="30" t="s">
        <v>80</v>
      </c>
      <c r="V8" s="31"/>
      <c r="W8" s="30" t="s">
        <v>80</v>
      </c>
      <c r="X8" s="31"/>
      <c r="Y8" s="30" t="s">
        <v>80</v>
      </c>
      <c r="Z8" s="31"/>
      <c r="AA8" s="30" t="s">
        <v>80</v>
      </c>
      <c r="AB8" s="31"/>
      <c r="AC8" s="30" t="s">
        <v>80</v>
      </c>
      <c r="AD8" s="31"/>
      <c r="AE8" s="30" t="s">
        <v>80</v>
      </c>
      <c r="AF8" s="31"/>
      <c r="AG8" s="30" t="s">
        <v>80</v>
      </c>
      <c r="AH8" s="31"/>
      <c r="AI8" s="30" t="s">
        <v>80</v>
      </c>
      <c r="AJ8" s="31"/>
      <c r="AK8" s="30" t="s">
        <v>80</v>
      </c>
      <c r="AL8" s="31"/>
      <c r="AM8" s="30" t="s">
        <v>80</v>
      </c>
      <c r="AN8" s="31"/>
      <c r="AO8" s="30" t="s">
        <v>80</v>
      </c>
      <c r="AP8" s="31"/>
    </row>
    <row r="9" spans="1:42" x14ac:dyDescent="0.25">
      <c r="A9" s="10" t="s">
        <v>1393</v>
      </c>
      <c r="B9" s="10"/>
      <c r="C9" s="30" t="s">
        <v>80</v>
      </c>
      <c r="D9" s="31"/>
      <c r="E9" s="30" t="s">
        <v>80</v>
      </c>
      <c r="F9" s="31"/>
      <c r="G9" s="30" t="s">
        <v>80</v>
      </c>
      <c r="H9" s="31"/>
      <c r="I9" s="30" t="s">
        <v>80</v>
      </c>
      <c r="J9" s="31"/>
      <c r="K9" s="30" t="s">
        <v>80</v>
      </c>
      <c r="L9" s="31"/>
      <c r="M9" s="30" t="s">
        <v>80</v>
      </c>
      <c r="N9" s="31"/>
      <c r="O9" s="30">
        <v>360</v>
      </c>
      <c r="P9" s="31">
        <v>4.0510887300962096E-3</v>
      </c>
      <c r="Q9" s="30">
        <v>-17</v>
      </c>
      <c r="R9" s="31">
        <v>-1.71576790706594E-4</v>
      </c>
      <c r="S9" s="30" t="s">
        <v>80</v>
      </c>
      <c r="T9" s="31"/>
      <c r="U9" s="30" t="s">
        <v>80</v>
      </c>
      <c r="V9" s="31"/>
      <c r="W9" s="30" t="s">
        <v>80</v>
      </c>
      <c r="X9" s="31"/>
      <c r="Y9" s="30" t="s">
        <v>80</v>
      </c>
      <c r="Z9" s="31"/>
      <c r="AA9" s="30" t="s">
        <v>80</v>
      </c>
      <c r="AB9" s="31"/>
      <c r="AC9" s="30" t="s">
        <v>80</v>
      </c>
      <c r="AD9" s="31"/>
      <c r="AE9" s="30" t="s">
        <v>80</v>
      </c>
      <c r="AF9" s="31"/>
      <c r="AG9" s="30" t="s">
        <v>80</v>
      </c>
      <c r="AH9" s="31"/>
      <c r="AI9" s="30" t="s">
        <v>80</v>
      </c>
      <c r="AJ9" s="31"/>
      <c r="AK9" s="30" t="s">
        <v>80</v>
      </c>
      <c r="AL9" s="31"/>
      <c r="AM9" s="30" t="s">
        <v>80</v>
      </c>
      <c r="AN9" s="31"/>
      <c r="AO9" s="30" t="s">
        <v>80</v>
      </c>
      <c r="AP9" s="31"/>
    </row>
    <row r="10" spans="1:42" x14ac:dyDescent="0.25">
      <c r="A10" s="10" t="s">
        <v>1394</v>
      </c>
      <c r="B10" s="10"/>
      <c r="C10" s="30" t="s">
        <v>80</v>
      </c>
      <c r="D10" s="31"/>
      <c r="E10" s="30" t="s">
        <v>80</v>
      </c>
      <c r="F10" s="31"/>
      <c r="G10" s="30" t="s">
        <v>80</v>
      </c>
      <c r="H10" s="31"/>
      <c r="I10" s="30" t="s">
        <v>80</v>
      </c>
      <c r="J10" s="31"/>
      <c r="K10" s="30" t="s">
        <v>80</v>
      </c>
      <c r="L10" s="31"/>
      <c r="M10" s="30" t="s">
        <v>80</v>
      </c>
      <c r="N10" s="31"/>
      <c r="O10" s="30">
        <v>371</v>
      </c>
      <c r="P10" s="31">
        <v>4.1748719968491502E-3</v>
      </c>
      <c r="Q10" s="30">
        <v>488</v>
      </c>
      <c r="R10" s="31">
        <v>4.9252631685186904E-3</v>
      </c>
      <c r="S10" s="30" t="s">
        <v>80</v>
      </c>
      <c r="T10" s="31"/>
      <c r="U10" s="30" t="s">
        <v>80</v>
      </c>
      <c r="V10" s="31"/>
      <c r="W10" s="30" t="s">
        <v>80</v>
      </c>
      <c r="X10" s="31"/>
      <c r="Y10" s="30" t="s">
        <v>80</v>
      </c>
      <c r="Z10" s="31"/>
      <c r="AA10" s="30" t="s">
        <v>80</v>
      </c>
      <c r="AB10" s="31"/>
      <c r="AC10" s="30" t="s">
        <v>80</v>
      </c>
      <c r="AD10" s="31"/>
      <c r="AE10" s="30" t="s">
        <v>80</v>
      </c>
      <c r="AF10" s="31"/>
      <c r="AG10" s="30" t="s">
        <v>80</v>
      </c>
      <c r="AH10" s="31"/>
      <c r="AI10" s="30" t="s">
        <v>80</v>
      </c>
      <c r="AJ10" s="31"/>
      <c r="AK10" s="30" t="s">
        <v>80</v>
      </c>
      <c r="AL10" s="31"/>
      <c r="AM10" s="30" t="s">
        <v>80</v>
      </c>
      <c r="AN10" s="31"/>
      <c r="AO10" s="30" t="s">
        <v>80</v>
      </c>
      <c r="AP10" s="31"/>
    </row>
    <row r="11" spans="1:42" x14ac:dyDescent="0.25">
      <c r="A11" s="10" t="s">
        <v>1395</v>
      </c>
      <c r="B11" s="10"/>
      <c r="C11" s="30" t="s">
        <v>80</v>
      </c>
      <c r="D11" s="31"/>
      <c r="E11" s="30" t="s">
        <v>80</v>
      </c>
      <c r="F11" s="31"/>
      <c r="G11" s="30" t="s">
        <v>80</v>
      </c>
      <c r="H11" s="31"/>
      <c r="I11" s="30" t="s">
        <v>80</v>
      </c>
      <c r="J11" s="31"/>
      <c r="K11" s="30" t="s">
        <v>80</v>
      </c>
      <c r="L11" s="31"/>
      <c r="M11" s="30" t="s">
        <v>80</v>
      </c>
      <c r="N11" s="31"/>
      <c r="O11" s="30">
        <v>421</v>
      </c>
      <c r="P11" s="31">
        <v>4.7375232093625199E-3</v>
      </c>
      <c r="Q11" s="30">
        <v>885</v>
      </c>
      <c r="R11" s="31">
        <v>8.9320858691373708E-3</v>
      </c>
      <c r="S11" s="30">
        <v>965</v>
      </c>
      <c r="T11" s="31">
        <v>8.1539189508905898E-3</v>
      </c>
      <c r="U11" s="30" t="s">
        <v>80</v>
      </c>
      <c r="V11" s="31"/>
      <c r="W11" s="30" t="s">
        <v>80</v>
      </c>
      <c r="X11" s="31"/>
      <c r="Y11" s="30" t="s">
        <v>80</v>
      </c>
      <c r="Z11" s="31"/>
      <c r="AA11" s="30" t="s">
        <v>80</v>
      </c>
      <c r="AB11" s="31"/>
      <c r="AC11" s="30" t="s">
        <v>80</v>
      </c>
      <c r="AD11" s="31"/>
      <c r="AE11" s="30" t="s">
        <v>80</v>
      </c>
      <c r="AF11" s="31"/>
      <c r="AG11" s="30" t="s">
        <v>80</v>
      </c>
      <c r="AH11" s="31"/>
      <c r="AI11" s="30" t="s">
        <v>80</v>
      </c>
      <c r="AJ11" s="31"/>
      <c r="AK11" s="30" t="s">
        <v>80</v>
      </c>
      <c r="AL11" s="31"/>
      <c r="AM11" s="30" t="s">
        <v>80</v>
      </c>
      <c r="AN11" s="31"/>
      <c r="AO11" s="30" t="s">
        <v>80</v>
      </c>
      <c r="AP11" s="31"/>
    </row>
    <row r="12" spans="1:42" x14ac:dyDescent="0.25">
      <c r="A12" s="10" t="s">
        <v>1396</v>
      </c>
      <c r="B12" s="10"/>
      <c r="C12" s="30" t="s">
        <v>80</v>
      </c>
      <c r="D12" s="31"/>
      <c r="E12" s="30" t="s">
        <v>80</v>
      </c>
      <c r="F12" s="31"/>
      <c r="G12" s="30" t="s">
        <v>80</v>
      </c>
      <c r="H12" s="31"/>
      <c r="I12" s="30" t="s">
        <v>80</v>
      </c>
      <c r="J12" s="31"/>
      <c r="K12" s="30" t="s">
        <v>80</v>
      </c>
      <c r="L12" s="31"/>
      <c r="M12" s="30" t="s">
        <v>80</v>
      </c>
      <c r="N12" s="31"/>
      <c r="O12" s="30">
        <v>5784</v>
      </c>
      <c r="P12" s="31">
        <v>6.5087492263545793E-2</v>
      </c>
      <c r="Q12" s="30">
        <v>7519</v>
      </c>
      <c r="R12" s="31">
        <v>7.5887405254286902E-2</v>
      </c>
      <c r="S12" s="30" t="s">
        <v>80</v>
      </c>
      <c r="T12" s="31"/>
      <c r="U12" s="30" t="s">
        <v>80</v>
      </c>
      <c r="V12" s="31"/>
      <c r="W12" s="30" t="s">
        <v>80</v>
      </c>
      <c r="X12" s="31"/>
      <c r="Y12" s="30" t="s">
        <v>80</v>
      </c>
      <c r="Z12" s="31"/>
      <c r="AA12" s="30" t="s">
        <v>80</v>
      </c>
      <c r="AB12" s="31"/>
      <c r="AC12" s="30" t="s">
        <v>80</v>
      </c>
      <c r="AD12" s="31"/>
      <c r="AE12" s="30" t="s">
        <v>80</v>
      </c>
      <c r="AF12" s="31"/>
      <c r="AG12" s="30" t="s">
        <v>80</v>
      </c>
      <c r="AH12" s="31"/>
      <c r="AI12" s="30" t="s">
        <v>80</v>
      </c>
      <c r="AJ12" s="31"/>
      <c r="AK12" s="30" t="s">
        <v>80</v>
      </c>
      <c r="AL12" s="31"/>
      <c r="AM12" s="30" t="s">
        <v>80</v>
      </c>
      <c r="AN12" s="31"/>
      <c r="AO12" s="30" t="s">
        <v>80</v>
      </c>
      <c r="AP12" s="31"/>
    </row>
    <row r="13" spans="1:42" x14ac:dyDescent="0.25">
      <c r="A13" s="10" t="s">
        <v>1397</v>
      </c>
      <c r="B13" s="10"/>
      <c r="C13" s="30" t="s">
        <v>80</v>
      </c>
      <c r="D13" s="31"/>
      <c r="E13" s="30" t="s">
        <v>80</v>
      </c>
      <c r="F13" s="31"/>
      <c r="G13" s="30" t="s">
        <v>80</v>
      </c>
      <c r="H13" s="31"/>
      <c r="I13" s="30" t="s">
        <v>80</v>
      </c>
      <c r="J13" s="31"/>
      <c r="K13" s="30" t="s">
        <v>80</v>
      </c>
      <c r="L13" s="31"/>
      <c r="M13" s="30" t="s">
        <v>80</v>
      </c>
      <c r="N13" s="31"/>
      <c r="O13" s="30" t="s">
        <v>80</v>
      </c>
      <c r="P13" s="31"/>
      <c r="Q13" s="30">
        <v>1274</v>
      </c>
      <c r="R13" s="31">
        <v>1.28581665506E-2</v>
      </c>
      <c r="S13" s="30">
        <v>330</v>
      </c>
      <c r="T13" s="31">
        <v>2.7883867914962699E-3</v>
      </c>
      <c r="U13" s="30" t="s">
        <v>80</v>
      </c>
      <c r="V13" s="31"/>
      <c r="W13" s="30" t="s">
        <v>80</v>
      </c>
      <c r="X13" s="31"/>
      <c r="Y13" s="30" t="s">
        <v>80</v>
      </c>
      <c r="Z13" s="31"/>
      <c r="AA13" s="30" t="s">
        <v>80</v>
      </c>
      <c r="AB13" s="31"/>
      <c r="AC13" s="30" t="s">
        <v>80</v>
      </c>
      <c r="AD13" s="31"/>
      <c r="AE13" s="30" t="s">
        <v>80</v>
      </c>
      <c r="AF13" s="31"/>
      <c r="AG13" s="30" t="s">
        <v>80</v>
      </c>
      <c r="AH13" s="31"/>
      <c r="AI13" s="30" t="s">
        <v>80</v>
      </c>
      <c r="AJ13" s="31"/>
      <c r="AK13" s="30" t="s">
        <v>80</v>
      </c>
      <c r="AL13" s="31"/>
      <c r="AM13" s="30" t="s">
        <v>80</v>
      </c>
      <c r="AN13" s="31"/>
      <c r="AO13" s="30" t="s">
        <v>80</v>
      </c>
      <c r="AP13" s="31"/>
    </row>
    <row r="14" spans="1:42" x14ac:dyDescent="0.25">
      <c r="A14" s="10" t="s">
        <v>1398</v>
      </c>
      <c r="B14" s="10"/>
      <c r="C14" s="30" t="s">
        <v>80</v>
      </c>
      <c r="D14" s="31"/>
      <c r="E14" s="30" t="s">
        <v>80</v>
      </c>
      <c r="F14" s="31"/>
      <c r="G14" s="30" t="s">
        <v>80</v>
      </c>
      <c r="H14" s="31"/>
      <c r="I14" s="30" t="s">
        <v>80</v>
      </c>
      <c r="J14" s="31"/>
      <c r="K14" s="30" t="s">
        <v>80</v>
      </c>
      <c r="L14" s="31"/>
      <c r="M14" s="30" t="s">
        <v>80</v>
      </c>
      <c r="N14" s="31"/>
      <c r="O14" s="30" t="s">
        <v>80</v>
      </c>
      <c r="P14" s="31"/>
      <c r="Q14" s="30">
        <v>-5390</v>
      </c>
      <c r="R14" s="31">
        <v>-5.43999354063847E-2</v>
      </c>
      <c r="S14" s="30">
        <v>5203</v>
      </c>
      <c r="T14" s="31">
        <v>4.3963565079257798E-2</v>
      </c>
      <c r="U14" s="30" t="s">
        <v>80</v>
      </c>
      <c r="V14" s="31"/>
      <c r="W14" s="30" t="s">
        <v>80</v>
      </c>
      <c r="X14" s="31"/>
      <c r="Y14" s="30" t="s">
        <v>80</v>
      </c>
      <c r="Z14" s="31"/>
      <c r="AA14" s="30" t="s">
        <v>80</v>
      </c>
      <c r="AB14" s="31"/>
      <c r="AC14" s="30" t="s">
        <v>80</v>
      </c>
      <c r="AD14" s="31"/>
      <c r="AE14" s="30" t="s">
        <v>80</v>
      </c>
      <c r="AF14" s="31"/>
      <c r="AG14" s="30" t="s">
        <v>80</v>
      </c>
      <c r="AH14" s="31"/>
      <c r="AI14" s="30" t="s">
        <v>80</v>
      </c>
      <c r="AJ14" s="31"/>
      <c r="AK14" s="30" t="s">
        <v>80</v>
      </c>
      <c r="AL14" s="31"/>
      <c r="AM14" s="30" t="s">
        <v>80</v>
      </c>
      <c r="AN14" s="31"/>
      <c r="AO14" s="30" t="s">
        <v>80</v>
      </c>
      <c r="AP14" s="31"/>
    </row>
    <row r="15" spans="1:42" x14ac:dyDescent="0.25">
      <c r="A15" s="10" t="s">
        <v>1399</v>
      </c>
      <c r="B15" s="10"/>
      <c r="C15" s="30" t="s">
        <v>80</v>
      </c>
      <c r="D15" s="31"/>
      <c r="E15" s="30" t="s">
        <v>80</v>
      </c>
      <c r="F15" s="31"/>
      <c r="G15" s="30" t="s">
        <v>80</v>
      </c>
      <c r="H15" s="31"/>
      <c r="I15" s="30" t="s">
        <v>80</v>
      </c>
      <c r="J15" s="31"/>
      <c r="K15" s="30" t="s">
        <v>80</v>
      </c>
      <c r="L15" s="31"/>
      <c r="M15" s="30" t="s">
        <v>80</v>
      </c>
      <c r="N15" s="31"/>
      <c r="O15" s="30">
        <v>46</v>
      </c>
      <c r="P15" s="31">
        <v>5.1763911551229403E-4</v>
      </c>
      <c r="Q15" s="30">
        <v>17</v>
      </c>
      <c r="R15" s="31">
        <v>1.71576790706594E-4</v>
      </c>
      <c r="S15" s="30">
        <v>29</v>
      </c>
      <c r="T15" s="31">
        <v>2.4504005137391399E-4</v>
      </c>
      <c r="U15" s="30" t="s">
        <v>80</v>
      </c>
      <c r="V15" s="31"/>
      <c r="W15" s="30" t="s">
        <v>80</v>
      </c>
      <c r="X15" s="31"/>
      <c r="Y15" s="30" t="s">
        <v>80</v>
      </c>
      <c r="Z15" s="31"/>
      <c r="AA15" s="30" t="s">
        <v>80</v>
      </c>
      <c r="AB15" s="31"/>
      <c r="AC15" s="30" t="s">
        <v>80</v>
      </c>
      <c r="AD15" s="31"/>
      <c r="AE15" s="30" t="s">
        <v>80</v>
      </c>
      <c r="AF15" s="31"/>
      <c r="AG15" s="30" t="s">
        <v>80</v>
      </c>
      <c r="AH15" s="31"/>
      <c r="AI15" s="30" t="s">
        <v>80</v>
      </c>
      <c r="AJ15" s="31"/>
      <c r="AK15" s="30" t="s">
        <v>80</v>
      </c>
      <c r="AL15" s="31"/>
      <c r="AM15" s="30" t="s">
        <v>80</v>
      </c>
      <c r="AN15" s="31"/>
      <c r="AO15" s="30" t="s">
        <v>80</v>
      </c>
      <c r="AP15" s="31"/>
    </row>
    <row r="16" spans="1:42" x14ac:dyDescent="0.25">
      <c r="A16" s="10" t="s">
        <v>1400</v>
      </c>
      <c r="B16" s="10"/>
      <c r="C16" s="30" t="s">
        <v>80</v>
      </c>
      <c r="D16" s="31"/>
      <c r="E16" s="30" t="s">
        <v>80</v>
      </c>
      <c r="F16" s="31"/>
      <c r="G16" s="30" t="s">
        <v>80</v>
      </c>
      <c r="H16" s="31"/>
      <c r="I16" s="30" t="s">
        <v>80</v>
      </c>
      <c r="J16" s="31"/>
      <c r="K16" s="30" t="s">
        <v>80</v>
      </c>
      <c r="L16" s="31"/>
      <c r="M16" s="30" t="s">
        <v>80</v>
      </c>
      <c r="N16" s="31"/>
      <c r="O16" s="30">
        <v>84</v>
      </c>
      <c r="P16" s="31">
        <v>9.4525403702244997E-4</v>
      </c>
      <c r="Q16" s="30">
        <v>95</v>
      </c>
      <c r="R16" s="31">
        <v>9.58811477478023E-4</v>
      </c>
      <c r="S16" s="30">
        <v>90</v>
      </c>
      <c r="T16" s="31">
        <v>7.6046912495352696E-4</v>
      </c>
      <c r="U16" s="30" t="s">
        <v>80</v>
      </c>
      <c r="V16" s="31"/>
      <c r="W16" s="30" t="s">
        <v>80</v>
      </c>
      <c r="X16" s="31"/>
      <c r="Y16" s="30" t="s">
        <v>80</v>
      </c>
      <c r="Z16" s="31"/>
      <c r="AA16" s="30" t="s">
        <v>80</v>
      </c>
      <c r="AB16" s="31"/>
      <c r="AC16" s="30" t="s">
        <v>80</v>
      </c>
      <c r="AD16" s="31"/>
      <c r="AE16" s="30" t="s">
        <v>80</v>
      </c>
      <c r="AF16" s="31"/>
      <c r="AG16" s="30" t="s">
        <v>80</v>
      </c>
      <c r="AH16" s="31"/>
      <c r="AI16" s="30" t="s">
        <v>80</v>
      </c>
      <c r="AJ16" s="31"/>
      <c r="AK16" s="30" t="s">
        <v>80</v>
      </c>
      <c r="AL16" s="31"/>
      <c r="AM16" s="30" t="s">
        <v>80</v>
      </c>
      <c r="AN16" s="31"/>
      <c r="AO16" s="30" t="s">
        <v>80</v>
      </c>
      <c r="AP16" s="31"/>
    </row>
    <row r="17" spans="1:42" x14ac:dyDescent="0.25">
      <c r="A17" s="10" t="s">
        <v>1401</v>
      </c>
      <c r="B17" s="10"/>
      <c r="C17" s="30" t="s">
        <v>80</v>
      </c>
      <c r="D17" s="31"/>
      <c r="E17" s="30" t="s">
        <v>80</v>
      </c>
      <c r="F17" s="31"/>
      <c r="G17" s="30" t="s">
        <v>80</v>
      </c>
      <c r="H17" s="31"/>
      <c r="I17" s="30" t="s">
        <v>80</v>
      </c>
      <c r="J17" s="31"/>
      <c r="K17" s="30" t="s">
        <v>80</v>
      </c>
      <c r="L17" s="31"/>
      <c r="M17" s="30" t="s">
        <v>80</v>
      </c>
      <c r="N17" s="31"/>
      <c r="O17" s="30">
        <v>9</v>
      </c>
      <c r="P17" s="31">
        <v>1.01277218252405E-4</v>
      </c>
      <c r="Q17" s="30">
        <v>42</v>
      </c>
      <c r="R17" s="31">
        <v>4.2389560056923099E-4</v>
      </c>
      <c r="S17" s="30">
        <v>452</v>
      </c>
      <c r="T17" s="31">
        <v>3.81924493865549E-3</v>
      </c>
      <c r="U17" s="30" t="s">
        <v>80</v>
      </c>
      <c r="V17" s="31"/>
      <c r="W17" s="30" t="s">
        <v>80</v>
      </c>
      <c r="X17" s="31"/>
      <c r="Y17" s="30" t="s">
        <v>80</v>
      </c>
      <c r="Z17" s="31"/>
      <c r="AA17" s="30" t="s">
        <v>80</v>
      </c>
      <c r="AB17" s="31"/>
      <c r="AC17" s="30" t="s">
        <v>80</v>
      </c>
      <c r="AD17" s="31"/>
      <c r="AE17" s="30" t="s">
        <v>80</v>
      </c>
      <c r="AF17" s="31"/>
      <c r="AG17" s="30" t="s">
        <v>80</v>
      </c>
      <c r="AH17" s="31"/>
      <c r="AI17" s="30" t="s">
        <v>80</v>
      </c>
      <c r="AJ17" s="31"/>
      <c r="AK17" s="30" t="s">
        <v>80</v>
      </c>
      <c r="AL17" s="31"/>
      <c r="AM17" s="30" t="s">
        <v>80</v>
      </c>
      <c r="AN17" s="31"/>
      <c r="AO17" s="30" t="s">
        <v>80</v>
      </c>
      <c r="AP17" s="31"/>
    </row>
    <row r="18" spans="1:42" x14ac:dyDescent="0.25">
      <c r="A18" s="10" t="s">
        <v>1402</v>
      </c>
      <c r="B18" s="10"/>
      <c r="C18" s="30" t="s">
        <v>80</v>
      </c>
      <c r="D18" s="31"/>
      <c r="E18" s="30" t="s">
        <v>80</v>
      </c>
      <c r="F18" s="31"/>
      <c r="G18" s="30" t="s">
        <v>80</v>
      </c>
      <c r="H18" s="31"/>
      <c r="I18" s="30" t="s">
        <v>80</v>
      </c>
      <c r="J18" s="31"/>
      <c r="K18" s="30" t="s">
        <v>80</v>
      </c>
      <c r="L18" s="31"/>
      <c r="M18" s="30" t="s">
        <v>80</v>
      </c>
      <c r="N18" s="31"/>
      <c r="O18" s="30">
        <v>1851</v>
      </c>
      <c r="P18" s="31">
        <v>2.0829347887244699E-2</v>
      </c>
      <c r="Q18" s="30">
        <v>2645</v>
      </c>
      <c r="R18" s="31">
        <v>2.6695330083467101E-2</v>
      </c>
      <c r="S18" s="30">
        <v>2430</v>
      </c>
      <c r="T18" s="31">
        <v>2.0532666373745199E-2</v>
      </c>
      <c r="U18" s="30" t="s">
        <v>80</v>
      </c>
      <c r="V18" s="31"/>
      <c r="W18" s="30" t="s">
        <v>80</v>
      </c>
      <c r="X18" s="31"/>
      <c r="Y18" s="30" t="s">
        <v>80</v>
      </c>
      <c r="Z18" s="31"/>
      <c r="AA18" s="30" t="s">
        <v>80</v>
      </c>
      <c r="AB18" s="31"/>
      <c r="AC18" s="30" t="s">
        <v>80</v>
      </c>
      <c r="AD18" s="31"/>
      <c r="AE18" s="30" t="s">
        <v>80</v>
      </c>
      <c r="AF18" s="31"/>
      <c r="AG18" s="30" t="s">
        <v>80</v>
      </c>
      <c r="AH18" s="31"/>
      <c r="AI18" s="30" t="s">
        <v>80</v>
      </c>
      <c r="AJ18" s="31"/>
      <c r="AK18" s="30" t="s">
        <v>80</v>
      </c>
      <c r="AL18" s="31"/>
      <c r="AM18" s="30" t="s">
        <v>80</v>
      </c>
      <c r="AN18" s="31"/>
      <c r="AO18" s="30" t="s">
        <v>80</v>
      </c>
      <c r="AP18" s="31"/>
    </row>
    <row r="19" spans="1:42" x14ac:dyDescent="0.25">
      <c r="A19" s="10" t="s">
        <v>1403</v>
      </c>
      <c r="B19" s="10"/>
      <c r="C19" s="30" t="s">
        <v>80</v>
      </c>
      <c r="D19" s="31"/>
      <c r="E19" s="30" t="s">
        <v>80</v>
      </c>
      <c r="F19" s="31"/>
      <c r="G19" s="30" t="s">
        <v>80</v>
      </c>
      <c r="H19" s="31"/>
      <c r="I19" s="30" t="s">
        <v>80</v>
      </c>
      <c r="J19" s="31"/>
      <c r="K19" s="30" t="s">
        <v>80</v>
      </c>
      <c r="L19" s="31"/>
      <c r="M19" s="30" t="s">
        <v>80</v>
      </c>
      <c r="N19" s="31"/>
      <c r="O19" s="30">
        <v>8266</v>
      </c>
      <c r="P19" s="31">
        <v>9.3017498452709194E-2</v>
      </c>
      <c r="Q19" s="30">
        <v>9727</v>
      </c>
      <c r="R19" s="31">
        <v>9.81722025413551E-2</v>
      </c>
      <c r="S19" s="30">
        <v>11006</v>
      </c>
      <c r="T19" s="31">
        <v>9.2996924324872401E-2</v>
      </c>
      <c r="U19" s="30" t="s">
        <v>80</v>
      </c>
      <c r="V19" s="31"/>
      <c r="W19" s="30" t="s">
        <v>80</v>
      </c>
      <c r="X19" s="31"/>
      <c r="Y19" s="30" t="s">
        <v>80</v>
      </c>
      <c r="Z19" s="31"/>
      <c r="AA19" s="30" t="s">
        <v>80</v>
      </c>
      <c r="AB19" s="31"/>
      <c r="AC19" s="30" t="s">
        <v>80</v>
      </c>
      <c r="AD19" s="31"/>
      <c r="AE19" s="30" t="s">
        <v>80</v>
      </c>
      <c r="AF19" s="31"/>
      <c r="AG19" s="30" t="s">
        <v>80</v>
      </c>
      <c r="AH19" s="31"/>
      <c r="AI19" s="30" t="s">
        <v>80</v>
      </c>
      <c r="AJ19" s="31"/>
      <c r="AK19" s="30" t="s">
        <v>80</v>
      </c>
      <c r="AL19" s="31"/>
      <c r="AM19" s="30" t="s">
        <v>80</v>
      </c>
      <c r="AN19" s="31"/>
      <c r="AO19" s="30" t="s">
        <v>80</v>
      </c>
      <c r="AP19" s="31"/>
    </row>
    <row r="20" spans="1:42" x14ac:dyDescent="0.25">
      <c r="A20" s="10" t="s">
        <v>1404</v>
      </c>
      <c r="B20" s="10"/>
      <c r="C20" s="30" t="s">
        <v>80</v>
      </c>
      <c r="D20" s="31"/>
      <c r="E20" s="30" t="s">
        <v>80</v>
      </c>
      <c r="F20" s="31"/>
      <c r="G20" s="30" t="s">
        <v>80</v>
      </c>
      <c r="H20" s="31"/>
      <c r="I20" s="30" t="s">
        <v>80</v>
      </c>
      <c r="J20" s="31"/>
      <c r="K20" s="30" t="s">
        <v>80</v>
      </c>
      <c r="L20" s="31"/>
      <c r="M20" s="30" t="s">
        <v>80</v>
      </c>
      <c r="N20" s="31"/>
      <c r="O20" s="30">
        <v>1732</v>
      </c>
      <c r="P20" s="31">
        <v>1.9490238001462899E-2</v>
      </c>
      <c r="Q20" s="30">
        <v>9927</v>
      </c>
      <c r="R20" s="31">
        <v>0.100190753020256</v>
      </c>
      <c r="S20" s="30">
        <v>10927</v>
      </c>
      <c r="T20" s="31">
        <v>9.2329401426302096E-2</v>
      </c>
      <c r="U20" s="30" t="s">
        <v>80</v>
      </c>
      <c r="V20" s="31"/>
      <c r="W20" s="30" t="s">
        <v>80</v>
      </c>
      <c r="X20" s="31"/>
      <c r="Y20" s="30" t="s">
        <v>80</v>
      </c>
      <c r="Z20" s="31"/>
      <c r="AA20" s="30" t="s">
        <v>80</v>
      </c>
      <c r="AB20" s="31"/>
      <c r="AC20" s="30" t="s">
        <v>80</v>
      </c>
      <c r="AD20" s="31"/>
      <c r="AE20" s="30" t="s">
        <v>80</v>
      </c>
      <c r="AF20" s="31"/>
      <c r="AG20" s="30" t="s">
        <v>80</v>
      </c>
      <c r="AH20" s="31"/>
      <c r="AI20" s="30" t="s">
        <v>80</v>
      </c>
      <c r="AJ20" s="31"/>
      <c r="AK20" s="30" t="s">
        <v>80</v>
      </c>
      <c r="AL20" s="31"/>
      <c r="AM20" s="30" t="s">
        <v>80</v>
      </c>
      <c r="AN20" s="31"/>
      <c r="AO20" s="30" t="s">
        <v>80</v>
      </c>
      <c r="AP20" s="31"/>
    </row>
    <row r="21" spans="1:42" x14ac:dyDescent="0.25">
      <c r="A21" s="10" t="s">
        <v>1405</v>
      </c>
      <c r="B21" s="10"/>
      <c r="C21" s="30" t="s">
        <v>80</v>
      </c>
      <c r="D21" s="31"/>
      <c r="E21" s="30" t="s">
        <v>80</v>
      </c>
      <c r="F21" s="31"/>
      <c r="G21" s="30" t="s">
        <v>80</v>
      </c>
      <c r="H21" s="31"/>
      <c r="I21" s="30" t="s">
        <v>80</v>
      </c>
      <c r="J21" s="31"/>
      <c r="K21" s="30" t="s">
        <v>80</v>
      </c>
      <c r="L21" s="31"/>
      <c r="M21" s="30" t="s">
        <v>80</v>
      </c>
      <c r="N21" s="31"/>
      <c r="O21" s="30">
        <v>10537</v>
      </c>
      <c r="P21" s="31">
        <v>0.118573116525066</v>
      </c>
      <c r="Q21" s="30">
        <v>11152</v>
      </c>
      <c r="R21" s="31">
        <v>0.112554374703525</v>
      </c>
      <c r="S21" s="30">
        <v>12533</v>
      </c>
      <c r="T21" s="31">
        <v>0.105899550478251</v>
      </c>
      <c r="U21" s="30" t="s">
        <v>80</v>
      </c>
      <c r="V21" s="31"/>
      <c r="W21" s="30" t="s">
        <v>80</v>
      </c>
      <c r="X21" s="31"/>
      <c r="Y21" s="30" t="s">
        <v>80</v>
      </c>
      <c r="Z21" s="31"/>
      <c r="AA21" s="30" t="s">
        <v>80</v>
      </c>
      <c r="AB21" s="31"/>
      <c r="AC21" s="30" t="s">
        <v>80</v>
      </c>
      <c r="AD21" s="31"/>
      <c r="AE21" s="30" t="s">
        <v>80</v>
      </c>
      <c r="AF21" s="31"/>
      <c r="AG21" s="30" t="s">
        <v>80</v>
      </c>
      <c r="AH21" s="31"/>
      <c r="AI21" s="30" t="s">
        <v>80</v>
      </c>
      <c r="AJ21" s="31"/>
      <c r="AK21" s="30" t="s">
        <v>80</v>
      </c>
      <c r="AL21" s="31"/>
      <c r="AM21" s="30" t="s">
        <v>80</v>
      </c>
      <c r="AN21" s="31"/>
      <c r="AO21" s="30" t="s">
        <v>80</v>
      </c>
      <c r="AP21" s="31"/>
    </row>
    <row r="22" spans="1:42" x14ac:dyDescent="0.25">
      <c r="A22" s="10" t="s">
        <v>1406</v>
      </c>
      <c r="B22" s="10"/>
      <c r="C22" s="30" t="s">
        <v>80</v>
      </c>
      <c r="D22" s="31"/>
      <c r="E22" s="30" t="s">
        <v>80</v>
      </c>
      <c r="F22" s="31"/>
      <c r="G22" s="30" t="s">
        <v>80</v>
      </c>
      <c r="H22" s="31"/>
      <c r="I22" s="30" t="s">
        <v>80</v>
      </c>
      <c r="J22" s="31"/>
      <c r="K22" s="30" t="s">
        <v>80</v>
      </c>
      <c r="L22" s="31"/>
      <c r="M22" s="30" t="s">
        <v>80</v>
      </c>
      <c r="N22" s="31"/>
      <c r="O22" s="30">
        <v>56620</v>
      </c>
      <c r="P22" s="31">
        <v>0.63714623305013196</v>
      </c>
      <c r="Q22" s="30">
        <v>61361</v>
      </c>
      <c r="R22" s="31">
        <v>0.61930137967925203</v>
      </c>
      <c r="S22" s="30">
        <v>73393</v>
      </c>
      <c r="T22" s="31">
        <v>0.62014567208571303</v>
      </c>
      <c r="U22" s="30" t="s">
        <v>80</v>
      </c>
      <c r="V22" s="31"/>
      <c r="W22" s="30" t="s">
        <v>80</v>
      </c>
      <c r="X22" s="31"/>
      <c r="Y22" s="30" t="s">
        <v>80</v>
      </c>
      <c r="Z22" s="31"/>
      <c r="AA22" s="30" t="s">
        <v>80</v>
      </c>
      <c r="AB22" s="31"/>
      <c r="AC22" s="30" t="s">
        <v>80</v>
      </c>
      <c r="AD22" s="31"/>
      <c r="AE22" s="30" t="s">
        <v>80</v>
      </c>
      <c r="AF22" s="31"/>
      <c r="AG22" s="30" t="s">
        <v>80</v>
      </c>
      <c r="AH22" s="31"/>
      <c r="AI22" s="30" t="s">
        <v>80</v>
      </c>
      <c r="AJ22" s="31"/>
      <c r="AK22" s="30" t="s">
        <v>80</v>
      </c>
      <c r="AL22" s="31"/>
      <c r="AM22" s="30" t="s">
        <v>80</v>
      </c>
      <c r="AN22" s="31"/>
      <c r="AO22" s="30" t="s">
        <v>80</v>
      </c>
      <c r="AP22" s="31"/>
    </row>
    <row r="23" spans="1:42" x14ac:dyDescent="0.25">
      <c r="A23" s="6" t="s">
        <v>1407</v>
      </c>
      <c r="B23" s="6"/>
      <c r="C23" s="34">
        <v>16296</v>
      </c>
      <c r="D23" s="35">
        <v>1</v>
      </c>
      <c r="E23" s="34">
        <v>20763</v>
      </c>
      <c r="F23" s="35">
        <v>1</v>
      </c>
      <c r="G23" s="34">
        <v>22637</v>
      </c>
      <c r="H23" s="35">
        <v>1</v>
      </c>
      <c r="I23" s="34" t="s">
        <v>80</v>
      </c>
      <c r="J23" s="35"/>
      <c r="K23" s="34" t="s">
        <v>80</v>
      </c>
      <c r="L23" s="35"/>
      <c r="M23" s="34" t="s">
        <v>80</v>
      </c>
      <c r="N23" s="35"/>
      <c r="O23" s="34">
        <v>38720</v>
      </c>
      <c r="P23" s="35">
        <v>1</v>
      </c>
      <c r="Q23" s="34">
        <v>40828</v>
      </c>
      <c r="R23" s="35">
        <v>1</v>
      </c>
      <c r="S23" s="34">
        <v>46028</v>
      </c>
      <c r="T23" s="35">
        <v>1</v>
      </c>
      <c r="U23" s="34">
        <v>52281</v>
      </c>
      <c r="V23" s="35">
        <v>1</v>
      </c>
      <c r="W23" s="34">
        <v>97078</v>
      </c>
      <c r="X23" s="35">
        <v>1</v>
      </c>
      <c r="Y23" s="34">
        <v>81218</v>
      </c>
      <c r="Z23" s="35">
        <v>1</v>
      </c>
      <c r="AA23" s="34">
        <v>136950</v>
      </c>
      <c r="AB23" s="35">
        <v>1</v>
      </c>
      <c r="AC23" s="34">
        <v>147974</v>
      </c>
      <c r="AD23" s="35">
        <v>1</v>
      </c>
      <c r="AE23" s="34">
        <v>154383</v>
      </c>
      <c r="AF23" s="35">
        <v>1</v>
      </c>
      <c r="AG23" s="34">
        <v>121411</v>
      </c>
      <c r="AH23" s="35">
        <v>1</v>
      </c>
      <c r="AI23" s="34">
        <v>61022</v>
      </c>
      <c r="AJ23" s="35">
        <v>1</v>
      </c>
      <c r="AK23" s="34">
        <v>214726.3</v>
      </c>
      <c r="AL23" s="35">
        <v>1</v>
      </c>
      <c r="AM23" s="34">
        <v>240896</v>
      </c>
      <c r="AN23" s="35">
        <v>1</v>
      </c>
      <c r="AO23" s="34">
        <v>265307</v>
      </c>
      <c r="AP23" s="35">
        <v>1</v>
      </c>
    </row>
    <row r="24" spans="1:42" x14ac:dyDescent="0.25">
      <c r="A24" s="10" t="s">
        <v>1408</v>
      </c>
      <c r="B24" s="10"/>
      <c r="C24" s="30">
        <v>-31</v>
      </c>
      <c r="D24" s="31"/>
      <c r="E24" s="30">
        <v>-131</v>
      </c>
      <c r="F24" s="31"/>
      <c r="G24" s="30">
        <v>-221</v>
      </c>
      <c r="H24" s="31"/>
      <c r="I24" s="30" t="s">
        <v>80</v>
      </c>
      <c r="J24" s="31"/>
      <c r="K24" s="30" t="s">
        <v>80</v>
      </c>
      <c r="L24" s="31"/>
      <c r="M24" s="30" t="s">
        <v>80</v>
      </c>
      <c r="N24" s="31"/>
      <c r="O24" s="30" t="s">
        <v>80</v>
      </c>
      <c r="P24" s="31"/>
      <c r="Q24" s="30" t="s">
        <v>80</v>
      </c>
      <c r="R24" s="31"/>
      <c r="S24" s="30" t="s">
        <v>80</v>
      </c>
      <c r="T24" s="31"/>
      <c r="U24" s="30" t="s">
        <v>80</v>
      </c>
      <c r="V24" s="31"/>
      <c r="W24" s="30">
        <v>24109</v>
      </c>
      <c r="X24" s="31"/>
      <c r="Y24" s="30">
        <v>-3256</v>
      </c>
      <c r="Z24" s="31"/>
      <c r="AA24" s="30">
        <v>34287</v>
      </c>
      <c r="AB24" s="31"/>
      <c r="AC24" s="30">
        <v>36591</v>
      </c>
      <c r="AD24" s="31"/>
      <c r="AE24" s="30">
        <v>46353</v>
      </c>
      <c r="AF24" s="31"/>
      <c r="AG24" s="30">
        <v>295</v>
      </c>
      <c r="AH24" s="31"/>
      <c r="AI24" s="30">
        <v>1</v>
      </c>
      <c r="AJ24" s="31"/>
      <c r="AK24" s="30">
        <v>145166.29999999999</v>
      </c>
      <c r="AL24" s="31"/>
      <c r="AM24" s="30">
        <v>167277</v>
      </c>
      <c r="AN24" s="31"/>
      <c r="AO24" s="30">
        <v>183413</v>
      </c>
      <c r="AP24" s="31"/>
    </row>
    <row r="25" spans="1:42" x14ac:dyDescent="0.25">
      <c r="A25" s="10" t="s">
        <v>1406</v>
      </c>
      <c r="B25" s="10"/>
      <c r="C25" s="30">
        <v>15371</v>
      </c>
      <c r="D25" s="31">
        <v>0.94144668340785198</v>
      </c>
      <c r="E25" s="30">
        <v>19554</v>
      </c>
      <c r="F25" s="31">
        <v>0.93586675600650904</v>
      </c>
      <c r="G25" s="30">
        <v>21191</v>
      </c>
      <c r="H25" s="31">
        <v>0.927071484819319</v>
      </c>
      <c r="I25" s="30" t="s">
        <v>80</v>
      </c>
      <c r="J25" s="31"/>
      <c r="K25" s="30" t="s">
        <v>80</v>
      </c>
      <c r="L25" s="31"/>
      <c r="M25" s="30" t="s">
        <v>80</v>
      </c>
      <c r="N25" s="31"/>
      <c r="O25" s="30">
        <v>29474</v>
      </c>
      <c r="P25" s="31">
        <v>0.76120867768595002</v>
      </c>
      <c r="Q25" s="30">
        <v>32637</v>
      </c>
      <c r="R25" s="31">
        <v>0.79937787792691295</v>
      </c>
      <c r="S25" s="30">
        <v>39210</v>
      </c>
      <c r="T25" s="31">
        <v>0.85187277309463805</v>
      </c>
      <c r="U25" s="30">
        <v>44686</v>
      </c>
      <c r="V25" s="31">
        <v>0.85472733880377205</v>
      </c>
      <c r="W25" s="30">
        <v>75556</v>
      </c>
      <c r="X25" s="31">
        <v>1.03545341172279</v>
      </c>
      <c r="Y25" s="30">
        <v>71810</v>
      </c>
      <c r="Z25" s="31">
        <v>0.85008404953003303</v>
      </c>
      <c r="AA25" s="30">
        <v>86877</v>
      </c>
      <c r="AB25" s="31">
        <v>0.846234768124836</v>
      </c>
      <c r="AC25" s="30">
        <v>94191</v>
      </c>
      <c r="AD25" s="31">
        <v>0.84564969519585598</v>
      </c>
      <c r="AE25" s="30">
        <v>89561</v>
      </c>
      <c r="AF25" s="31">
        <v>0.82903823012126299</v>
      </c>
      <c r="AG25" s="30">
        <v>104426</v>
      </c>
      <c r="AH25" s="31">
        <v>0.86219822319099004</v>
      </c>
      <c r="AI25" s="30">
        <v>46867</v>
      </c>
      <c r="AJ25" s="31">
        <v>0.76804706576424497</v>
      </c>
      <c r="AK25" s="30">
        <v>56166</v>
      </c>
      <c r="AL25" s="31">
        <v>0.80744680851063799</v>
      </c>
      <c r="AM25" s="30">
        <v>59262</v>
      </c>
      <c r="AN25" s="31">
        <v>0.804982409432348</v>
      </c>
      <c r="AO25" s="30">
        <v>64800</v>
      </c>
      <c r="AP25" s="31">
        <v>0.79126675946955805</v>
      </c>
    </row>
    <row r="26" spans="1:42" x14ac:dyDescent="0.25">
      <c r="A26" s="10" t="s">
        <v>1397</v>
      </c>
      <c r="B26" s="10"/>
      <c r="C26" s="30" t="s">
        <v>80</v>
      </c>
      <c r="D26" s="31"/>
      <c r="E26" s="30" t="s">
        <v>80</v>
      </c>
      <c r="F26" s="31"/>
      <c r="G26" s="30" t="s">
        <v>80</v>
      </c>
      <c r="H26" s="31"/>
      <c r="I26" s="30" t="s">
        <v>80</v>
      </c>
      <c r="J26" s="31"/>
      <c r="K26" s="30" t="s">
        <v>80</v>
      </c>
      <c r="L26" s="31"/>
      <c r="M26" s="30" t="s">
        <v>80</v>
      </c>
      <c r="N26" s="31"/>
      <c r="O26" s="30">
        <v>-13542</v>
      </c>
      <c r="P26" s="31">
        <v>-0.34974173553719001</v>
      </c>
      <c r="Q26" s="30">
        <v>-972</v>
      </c>
      <c r="R26" s="31">
        <v>-2.3807191143333E-2</v>
      </c>
      <c r="S26" s="30">
        <v>-1499</v>
      </c>
      <c r="T26" s="31">
        <v>-3.2567133049448201E-2</v>
      </c>
      <c r="U26" s="30">
        <v>-1344</v>
      </c>
      <c r="V26" s="31">
        <v>-2.5707235898318699E-2</v>
      </c>
      <c r="W26" s="30">
        <v>-1924</v>
      </c>
      <c r="X26" s="31">
        <v>-2.63673614822733E-2</v>
      </c>
      <c r="Y26" s="30">
        <v>-1628</v>
      </c>
      <c r="Z26" s="31">
        <v>-1.9272202097686899E-2</v>
      </c>
      <c r="AA26" s="30">
        <v>-2232</v>
      </c>
      <c r="AB26" s="31">
        <v>-2.1741036205838501E-2</v>
      </c>
      <c r="AC26" s="30">
        <v>-2311</v>
      </c>
      <c r="AD26" s="31">
        <v>-2.0748229083432799E-2</v>
      </c>
      <c r="AE26" s="30">
        <v>-2268</v>
      </c>
      <c r="AF26" s="31">
        <v>-2.0994168286587098E-2</v>
      </c>
      <c r="AG26" s="30">
        <v>-2491</v>
      </c>
      <c r="AH26" s="31">
        <v>-2.0567059678324898E-2</v>
      </c>
      <c r="AI26" s="30">
        <v>15832</v>
      </c>
      <c r="AJ26" s="31">
        <v>0.25945166418118398</v>
      </c>
      <c r="AK26" s="30">
        <v>15016</v>
      </c>
      <c r="AL26" s="31">
        <v>0.21587119033927499</v>
      </c>
      <c r="AM26" s="30">
        <v>16620</v>
      </c>
      <c r="AN26" s="31">
        <v>0.225756937747049</v>
      </c>
      <c r="AO26" s="30">
        <v>17957</v>
      </c>
      <c r="AP26" s="31">
        <v>0.21927125308325399</v>
      </c>
    </row>
    <row r="27" spans="1:42" x14ac:dyDescent="0.25">
      <c r="A27" s="10" t="s">
        <v>1409</v>
      </c>
      <c r="B27" s="10"/>
      <c r="C27" s="30" t="s">
        <v>80</v>
      </c>
      <c r="D27" s="31"/>
      <c r="E27" s="30" t="s">
        <v>80</v>
      </c>
      <c r="F27" s="31"/>
      <c r="G27" s="30" t="s">
        <v>80</v>
      </c>
      <c r="H27" s="31"/>
      <c r="I27" s="30" t="s">
        <v>80</v>
      </c>
      <c r="J27" s="31"/>
      <c r="K27" s="30" t="s">
        <v>80</v>
      </c>
      <c r="L27" s="31"/>
      <c r="M27" s="30" t="s">
        <v>80</v>
      </c>
      <c r="N27" s="31"/>
      <c r="O27" s="30" t="s">
        <v>80</v>
      </c>
      <c r="P27" s="31"/>
      <c r="Q27" s="30" t="s">
        <v>80</v>
      </c>
      <c r="R27" s="31"/>
      <c r="S27" s="30" t="s">
        <v>80</v>
      </c>
      <c r="T27" s="31"/>
      <c r="U27" s="30">
        <v>4133</v>
      </c>
      <c r="V27" s="31">
        <v>7.9053575868862497E-2</v>
      </c>
      <c r="W27" s="30">
        <v>0</v>
      </c>
      <c r="X27" s="31"/>
      <c r="Y27" s="30">
        <v>11001</v>
      </c>
      <c r="Z27" s="31">
        <v>0.130229419703104</v>
      </c>
      <c r="AA27" s="30">
        <v>13407</v>
      </c>
      <c r="AB27" s="31">
        <v>0.130592326349318</v>
      </c>
      <c r="AC27" s="30">
        <v>14043</v>
      </c>
      <c r="AD27" s="31">
        <v>0.12607848594489299</v>
      </c>
      <c r="AE27" s="30">
        <v>14377</v>
      </c>
      <c r="AF27" s="31">
        <v>0.13308340275849301</v>
      </c>
      <c r="AG27" s="30">
        <v>12341</v>
      </c>
      <c r="AH27" s="31">
        <v>0.101894051983223</v>
      </c>
      <c r="AI27" s="30">
        <v>9485</v>
      </c>
      <c r="AJ27" s="31">
        <v>0.15543829173563201</v>
      </c>
      <c r="AK27" s="30">
        <v>9792</v>
      </c>
      <c r="AL27" s="31">
        <v>0.14077055779183401</v>
      </c>
      <c r="AM27" s="30">
        <v>11428</v>
      </c>
      <c r="AN27" s="31">
        <v>0.155231665738464</v>
      </c>
      <c r="AO27" s="30">
        <v>12676</v>
      </c>
      <c r="AP27" s="31">
        <v>0.154785454367841</v>
      </c>
    </row>
    <row r="28" spans="1:42" x14ac:dyDescent="0.25">
      <c r="A28" s="10" t="s">
        <v>1402</v>
      </c>
      <c r="B28" s="10"/>
      <c r="C28" s="30">
        <v>199</v>
      </c>
      <c r="D28" s="31">
        <v>1.2188399583512E-2</v>
      </c>
      <c r="E28" s="30">
        <v>261</v>
      </c>
      <c r="F28" s="31">
        <v>1.2491624389777E-2</v>
      </c>
      <c r="G28" s="30">
        <v>358</v>
      </c>
      <c r="H28" s="31">
        <v>1.56619126782746E-2</v>
      </c>
      <c r="I28" s="30" t="s">
        <v>80</v>
      </c>
      <c r="J28" s="31"/>
      <c r="K28" s="30" t="s">
        <v>80</v>
      </c>
      <c r="L28" s="31"/>
      <c r="M28" s="30" t="s">
        <v>80</v>
      </c>
      <c r="N28" s="31"/>
      <c r="O28" s="30">
        <v>1036</v>
      </c>
      <c r="P28" s="31">
        <v>2.67561983471074E-2</v>
      </c>
      <c r="Q28" s="30">
        <v>723</v>
      </c>
      <c r="R28" s="31">
        <v>1.77084353874792E-2</v>
      </c>
      <c r="S28" s="30">
        <v>808</v>
      </c>
      <c r="T28" s="31">
        <v>1.7554532023985402E-2</v>
      </c>
      <c r="U28" s="30">
        <v>974</v>
      </c>
      <c r="V28" s="31">
        <v>1.8630095063216098E-2</v>
      </c>
      <c r="W28" s="30">
        <v>1299</v>
      </c>
      <c r="X28" s="31">
        <v>1.7802080335484902E-2</v>
      </c>
      <c r="Y28" s="30">
        <v>1425</v>
      </c>
      <c r="Z28" s="31">
        <v>1.6869095816464199E-2</v>
      </c>
      <c r="AA28" s="30">
        <v>1587</v>
      </c>
      <c r="AB28" s="31">
        <v>1.54583442915169E-2</v>
      </c>
      <c r="AC28" s="30">
        <v>1697</v>
      </c>
      <c r="AD28" s="31">
        <v>1.52357181975705E-2</v>
      </c>
      <c r="AE28" s="30">
        <v>1489</v>
      </c>
      <c r="AF28" s="31">
        <v>1.3783208368045899E-2</v>
      </c>
      <c r="AG28" s="30">
        <v>1664</v>
      </c>
      <c r="AH28" s="31">
        <v>1.3738894943690299E-2</v>
      </c>
      <c r="AI28" s="30">
        <v>656</v>
      </c>
      <c r="AJ28" s="31">
        <v>1.07503974041723E-2</v>
      </c>
      <c r="AK28" s="30">
        <v>875</v>
      </c>
      <c r="AL28" s="31">
        <v>1.25790684301323E-2</v>
      </c>
      <c r="AM28" s="30">
        <v>1348</v>
      </c>
      <c r="AN28" s="31">
        <v>1.83104904983768E-2</v>
      </c>
      <c r="AO28" s="30">
        <v>1611</v>
      </c>
      <c r="AP28" s="31">
        <v>1.9671770825701498E-2</v>
      </c>
    </row>
    <row r="29" spans="1:42" x14ac:dyDescent="0.25">
      <c r="A29" s="10" t="s">
        <v>1404</v>
      </c>
      <c r="B29" s="10"/>
      <c r="C29" s="30" t="s">
        <v>80</v>
      </c>
      <c r="D29" s="31"/>
      <c r="E29" s="30" t="s">
        <v>80</v>
      </c>
      <c r="F29" s="31"/>
      <c r="G29" s="30" t="s">
        <v>80</v>
      </c>
      <c r="H29" s="31"/>
      <c r="I29" s="30" t="s">
        <v>80</v>
      </c>
      <c r="J29" s="31"/>
      <c r="K29" s="30" t="s">
        <v>80</v>
      </c>
      <c r="L29" s="31"/>
      <c r="M29" s="30" t="s">
        <v>80</v>
      </c>
      <c r="N29" s="31"/>
      <c r="O29" s="30">
        <v>686</v>
      </c>
      <c r="P29" s="31">
        <v>1.7716942148760299E-2</v>
      </c>
      <c r="Q29" s="30">
        <v>1862</v>
      </c>
      <c r="R29" s="31">
        <v>4.56059566963848E-2</v>
      </c>
      <c r="S29" s="30">
        <v>1781</v>
      </c>
      <c r="T29" s="31">
        <v>3.86938385330668E-2</v>
      </c>
      <c r="U29" s="30">
        <v>1741</v>
      </c>
      <c r="V29" s="31">
        <v>3.3300816740307201E-2</v>
      </c>
      <c r="W29" s="30">
        <v>1787</v>
      </c>
      <c r="X29" s="31">
        <v>2.4489851854897299E-2</v>
      </c>
      <c r="Y29" s="30">
        <v>2446</v>
      </c>
      <c r="Z29" s="31">
        <v>2.8955654994436201E-2</v>
      </c>
      <c r="AA29" s="30">
        <v>2690</v>
      </c>
      <c r="AB29" s="31">
        <v>2.6202234495387802E-2</v>
      </c>
      <c r="AC29" s="30">
        <v>2759</v>
      </c>
      <c r="AD29" s="31">
        <v>2.4770386863345401E-2</v>
      </c>
      <c r="AE29" s="30">
        <v>3028</v>
      </c>
      <c r="AF29" s="31">
        <v>2.8029251133944302E-2</v>
      </c>
      <c r="AG29" s="30">
        <v>3368</v>
      </c>
      <c r="AH29" s="31">
        <v>2.78080517850656E-2</v>
      </c>
      <c r="AI29" s="30">
        <v>1739</v>
      </c>
      <c r="AJ29" s="31">
        <v>2.8498385801609301E-2</v>
      </c>
      <c r="AK29" s="30">
        <v>443</v>
      </c>
      <c r="AL29" s="31">
        <v>6.3686026451983896E-3</v>
      </c>
      <c r="AM29" s="30">
        <v>611</v>
      </c>
      <c r="AN29" s="31">
        <v>8.2994879039378407E-3</v>
      </c>
      <c r="AO29" s="30">
        <v>1138</v>
      </c>
      <c r="AP29" s="31">
        <v>1.3896011917844999E-2</v>
      </c>
    </row>
    <row r="30" spans="1:42" x14ac:dyDescent="0.25">
      <c r="A30" s="10" t="s">
        <v>1395</v>
      </c>
      <c r="B30" s="10"/>
      <c r="C30" s="30" t="s">
        <v>80</v>
      </c>
      <c r="D30" s="31"/>
      <c r="E30" s="30" t="s">
        <v>80</v>
      </c>
      <c r="F30" s="31"/>
      <c r="G30" s="30" t="s">
        <v>80</v>
      </c>
      <c r="H30" s="31"/>
      <c r="I30" s="30" t="s">
        <v>80</v>
      </c>
      <c r="J30" s="31"/>
      <c r="K30" s="30" t="s">
        <v>80</v>
      </c>
      <c r="L30" s="31"/>
      <c r="M30" s="30" t="s">
        <v>80</v>
      </c>
      <c r="N30" s="31"/>
      <c r="O30" s="30">
        <v>70</v>
      </c>
      <c r="P30" s="31">
        <v>1.80785123966942E-3</v>
      </c>
      <c r="Q30" s="30">
        <v>146</v>
      </c>
      <c r="R30" s="31">
        <v>3.5759772705006398E-3</v>
      </c>
      <c r="S30" s="30">
        <v>151</v>
      </c>
      <c r="T30" s="31">
        <v>3.2806118015121198E-3</v>
      </c>
      <c r="U30" s="30">
        <v>364</v>
      </c>
      <c r="V30" s="31">
        <v>6.96237638912798E-3</v>
      </c>
      <c r="W30" s="30">
        <v>370</v>
      </c>
      <c r="X30" s="31">
        <v>5.0706464388987097E-3</v>
      </c>
      <c r="Y30" s="30">
        <v>2292</v>
      </c>
      <c r="Z30" s="31">
        <v>2.71326088500604E-2</v>
      </c>
      <c r="AA30" s="30">
        <v>2882</v>
      </c>
      <c r="AB30" s="31">
        <v>2.8072431158255699E-2</v>
      </c>
      <c r="AC30" s="30">
        <v>3154</v>
      </c>
      <c r="AD30" s="31">
        <v>2.8316709013045099E-2</v>
      </c>
      <c r="AE30" s="30">
        <v>3413</v>
      </c>
      <c r="AF30" s="31">
        <v>3.1593075997408099E-2</v>
      </c>
      <c r="AG30" s="30">
        <v>3529</v>
      </c>
      <c r="AH30" s="31">
        <v>2.91373559232471E-2</v>
      </c>
      <c r="AI30" s="30">
        <v>493</v>
      </c>
      <c r="AJ30" s="31">
        <v>8.0791858540502394E-3</v>
      </c>
      <c r="AK30" s="30">
        <v>508</v>
      </c>
      <c r="AL30" s="31">
        <v>7.3030477285796402E-3</v>
      </c>
      <c r="AM30" s="30">
        <v>643</v>
      </c>
      <c r="AN30" s="31">
        <v>8.7341583015254198E-3</v>
      </c>
      <c r="AO30" s="30">
        <v>825</v>
      </c>
      <c r="AP30" s="31">
        <v>1.0073998095098499E-2</v>
      </c>
    </row>
    <row r="31" spans="1:42" x14ac:dyDescent="0.25">
      <c r="A31" s="10" t="s">
        <v>1401</v>
      </c>
      <c r="B31" s="10"/>
      <c r="C31" s="30">
        <v>5</v>
      </c>
      <c r="D31" s="31">
        <v>3.0624119556562799E-4</v>
      </c>
      <c r="E31" s="30">
        <v>2</v>
      </c>
      <c r="F31" s="31">
        <v>9.5721259691777496E-5</v>
      </c>
      <c r="G31" s="30">
        <v>7</v>
      </c>
      <c r="H31" s="31">
        <v>3.0623851605564799E-4</v>
      </c>
      <c r="I31" s="30" t="s">
        <v>80</v>
      </c>
      <c r="J31" s="31"/>
      <c r="K31" s="30" t="s">
        <v>80</v>
      </c>
      <c r="L31" s="31"/>
      <c r="M31" s="30" t="s">
        <v>80</v>
      </c>
      <c r="N31" s="31"/>
      <c r="O31" s="30">
        <v>9</v>
      </c>
      <c r="P31" s="31">
        <v>2.32438016528926E-4</v>
      </c>
      <c r="Q31" s="30">
        <v>42</v>
      </c>
      <c r="R31" s="31">
        <v>1.0287057901440201E-3</v>
      </c>
      <c r="S31" s="30">
        <v>224</v>
      </c>
      <c r="T31" s="31">
        <v>4.8666029373424903E-3</v>
      </c>
      <c r="U31" s="30">
        <v>46</v>
      </c>
      <c r="V31" s="31">
        <v>8.7986075247221702E-4</v>
      </c>
      <c r="W31" s="30">
        <v>60</v>
      </c>
      <c r="X31" s="31">
        <v>8.22266990091683E-4</v>
      </c>
      <c r="Y31" s="30">
        <v>241</v>
      </c>
      <c r="Z31" s="31">
        <v>2.85294883632834E-3</v>
      </c>
      <c r="AA31" s="30">
        <v>609</v>
      </c>
      <c r="AB31" s="31">
        <v>5.9320300400339003E-3</v>
      </c>
      <c r="AC31" s="30">
        <v>318</v>
      </c>
      <c r="AD31" s="31">
        <v>2.85501378127721E-3</v>
      </c>
      <c r="AE31" s="30">
        <v>780</v>
      </c>
      <c r="AF31" s="31">
        <v>7.2202166064982004E-3</v>
      </c>
      <c r="AG31" s="30">
        <v>688</v>
      </c>
      <c r="AH31" s="31">
        <v>5.6805046401796604E-3</v>
      </c>
      <c r="AI31" s="30">
        <v>1501</v>
      </c>
      <c r="AJ31" s="31">
        <v>2.4598089182412599E-2</v>
      </c>
      <c r="AK31" s="30">
        <v>1633</v>
      </c>
      <c r="AL31" s="31">
        <v>2.34761357101783E-2</v>
      </c>
      <c r="AM31" s="30">
        <v>1691</v>
      </c>
      <c r="AN31" s="31">
        <v>2.2969613822518602E-2</v>
      </c>
      <c r="AO31" s="30">
        <v>754</v>
      </c>
      <c r="AP31" s="31">
        <v>9.2070237135809703E-3</v>
      </c>
    </row>
    <row r="32" spans="1:42" x14ac:dyDescent="0.25">
      <c r="A32" s="10" t="s">
        <v>1400</v>
      </c>
      <c r="B32" s="10"/>
      <c r="C32" s="30">
        <v>24</v>
      </c>
      <c r="D32" s="31">
        <v>1.46995773871501E-3</v>
      </c>
      <c r="E32" s="30">
        <v>29</v>
      </c>
      <c r="F32" s="31">
        <v>1.38795826553077E-3</v>
      </c>
      <c r="G32" s="30">
        <v>139</v>
      </c>
      <c r="H32" s="31">
        <v>6.0810219616764397E-3</v>
      </c>
      <c r="I32" s="30" t="s">
        <v>80</v>
      </c>
      <c r="J32" s="31"/>
      <c r="K32" s="30" t="s">
        <v>80</v>
      </c>
      <c r="L32" s="31"/>
      <c r="M32" s="30" t="s">
        <v>80</v>
      </c>
      <c r="N32" s="31"/>
      <c r="O32" s="30">
        <v>82</v>
      </c>
      <c r="P32" s="31">
        <v>2.1177685950413199E-3</v>
      </c>
      <c r="Q32" s="30">
        <v>95</v>
      </c>
      <c r="R32" s="31">
        <v>2.3268345253257602E-3</v>
      </c>
      <c r="S32" s="30">
        <v>89</v>
      </c>
      <c r="T32" s="31">
        <v>1.9336056313548301E-3</v>
      </c>
      <c r="U32" s="30">
        <v>80</v>
      </c>
      <c r="V32" s="31">
        <v>1.5301926129951599E-3</v>
      </c>
      <c r="W32" s="30">
        <v>73</v>
      </c>
      <c r="X32" s="31">
        <v>1.0004248379448799E-3</v>
      </c>
      <c r="Y32" s="30">
        <v>96</v>
      </c>
      <c r="Z32" s="31">
        <v>1.1364443497407499E-3</v>
      </c>
      <c r="AA32" s="30">
        <v>88</v>
      </c>
      <c r="AB32" s="31">
        <v>8.5717347048108901E-4</v>
      </c>
      <c r="AC32" s="30">
        <v>56</v>
      </c>
      <c r="AD32" s="31">
        <v>5.0276972248906903E-4</v>
      </c>
      <c r="AE32" s="30">
        <v>94</v>
      </c>
      <c r="AF32" s="31">
        <v>8.7012866796260305E-4</v>
      </c>
      <c r="AG32" s="30">
        <v>88</v>
      </c>
      <c r="AH32" s="31">
        <v>7.2657617490670104E-4</v>
      </c>
      <c r="AI32" s="30">
        <v>68</v>
      </c>
      <c r="AJ32" s="31">
        <v>1.11437046262762E-3</v>
      </c>
      <c r="AK32" s="30">
        <v>81</v>
      </c>
      <c r="AL32" s="31">
        <v>1.1644623346750999E-3</v>
      </c>
      <c r="AM32" s="30">
        <v>40</v>
      </c>
      <c r="AN32" s="31">
        <v>5.43337996984474E-4</v>
      </c>
      <c r="AO32" s="30">
        <v>90</v>
      </c>
      <c r="AP32" s="31">
        <v>1.0989816103743901E-3</v>
      </c>
    </row>
    <row r="33" spans="1:42" x14ac:dyDescent="0.25">
      <c r="A33" s="10" t="s">
        <v>1398</v>
      </c>
      <c r="B33" s="10"/>
      <c r="C33" s="30" t="s">
        <v>80</v>
      </c>
      <c r="D33" s="31"/>
      <c r="E33" s="30" t="s">
        <v>80</v>
      </c>
      <c r="F33" s="31"/>
      <c r="G33" s="30" t="s">
        <v>80</v>
      </c>
      <c r="H33" s="31"/>
      <c r="I33" s="30" t="s">
        <v>80</v>
      </c>
      <c r="J33" s="31"/>
      <c r="K33" s="30" t="s">
        <v>80</v>
      </c>
      <c r="L33" s="31"/>
      <c r="M33" s="30" t="s">
        <v>80</v>
      </c>
      <c r="N33" s="31"/>
      <c r="O33" s="30">
        <v>15459</v>
      </c>
      <c r="P33" s="31">
        <v>0.39925103305785098</v>
      </c>
      <c r="Q33" s="30">
        <v>1917</v>
      </c>
      <c r="R33" s="31">
        <v>4.69530714215734E-2</v>
      </c>
      <c r="S33" s="30">
        <v>1967</v>
      </c>
      <c r="T33" s="31">
        <v>4.2734857043538702E-2</v>
      </c>
      <c r="U33" s="30">
        <v>1398</v>
      </c>
      <c r="V33" s="31">
        <v>2.6740115912090402E-2</v>
      </c>
      <c r="W33" s="30">
        <v>-4126</v>
      </c>
      <c r="X33" s="31">
        <v>-5.6544560018638099E-2</v>
      </c>
      <c r="Y33" s="30">
        <v>-1891</v>
      </c>
      <c r="Z33" s="31">
        <v>-2.2385586097497499E-2</v>
      </c>
      <c r="AA33" s="30">
        <v>-2141</v>
      </c>
      <c r="AB33" s="31">
        <v>-2.08546409125001E-2</v>
      </c>
      <c r="AC33" s="30">
        <v>-2310</v>
      </c>
      <c r="AD33" s="31">
        <v>-2.0739251052674101E-2</v>
      </c>
      <c r="AE33" s="30">
        <v>-2446</v>
      </c>
      <c r="AF33" s="31">
        <v>-2.2641858742941799E-2</v>
      </c>
      <c r="AG33" s="30">
        <v>-2491</v>
      </c>
      <c r="AH33" s="31">
        <v>-2.0567059678324898E-2</v>
      </c>
      <c r="AI33" s="30">
        <v>-15671</v>
      </c>
      <c r="AJ33" s="31">
        <v>-0.25681322823290298</v>
      </c>
      <c r="AK33" s="30">
        <v>-15021</v>
      </c>
      <c r="AL33" s="31">
        <v>-0.215943070730305</v>
      </c>
      <c r="AM33" s="30">
        <v>-16620</v>
      </c>
      <c r="AN33" s="31">
        <v>-0.225756937747049</v>
      </c>
      <c r="AO33" s="30">
        <v>-17957</v>
      </c>
      <c r="AP33" s="31">
        <v>-0.21927125308325399</v>
      </c>
    </row>
    <row r="34" spans="1:42" x14ac:dyDescent="0.25">
      <c r="A34" s="10" t="s">
        <v>1399</v>
      </c>
      <c r="B34" s="10"/>
      <c r="C34" s="30" t="s">
        <v>80</v>
      </c>
      <c r="D34" s="31"/>
      <c r="E34" s="30" t="s">
        <v>80</v>
      </c>
      <c r="F34" s="31"/>
      <c r="G34" s="30" t="s">
        <v>80</v>
      </c>
      <c r="H34" s="31"/>
      <c r="I34" s="30" t="s">
        <v>80</v>
      </c>
      <c r="J34" s="31"/>
      <c r="K34" s="30" t="s">
        <v>80</v>
      </c>
      <c r="L34" s="31"/>
      <c r="M34" s="30" t="s">
        <v>80</v>
      </c>
      <c r="N34" s="31"/>
      <c r="O34" s="30">
        <v>46</v>
      </c>
      <c r="P34" s="31">
        <v>1.18801652892562E-3</v>
      </c>
      <c r="Q34" s="30">
        <v>16</v>
      </c>
      <c r="R34" s="31">
        <v>3.91887920054864E-4</v>
      </c>
      <c r="S34" s="30">
        <v>28</v>
      </c>
      <c r="T34" s="31">
        <v>6.0832536716781097E-4</v>
      </c>
      <c r="U34" s="30">
        <v>3</v>
      </c>
      <c r="V34" s="31">
        <v>5.7382222987318498E-5</v>
      </c>
      <c r="W34" s="30">
        <v>1</v>
      </c>
      <c r="X34" s="31">
        <v>1.37044498348614E-5</v>
      </c>
      <c r="Y34" s="30">
        <v>2</v>
      </c>
      <c r="Z34" s="31">
        <v>2.3675923952932301E-5</v>
      </c>
      <c r="AA34" s="30">
        <v>3</v>
      </c>
      <c r="AB34" s="31">
        <v>2.92218228573098E-5</v>
      </c>
      <c r="AC34" s="30">
        <v>3</v>
      </c>
      <c r="AD34" s="31">
        <v>2.6934092276200099E-5</v>
      </c>
      <c r="AE34" s="30">
        <v>2</v>
      </c>
      <c r="AF34" s="31">
        <v>1.8513375914097899E-5</v>
      </c>
      <c r="AG34" s="30">
        <v>-6</v>
      </c>
      <c r="AH34" s="31">
        <v>-4.9539284652729598E-5</v>
      </c>
      <c r="AI34" s="30">
        <v>51</v>
      </c>
      <c r="AJ34" s="31">
        <v>8.3577784697071503E-4</v>
      </c>
      <c r="AK34" s="30">
        <v>67</v>
      </c>
      <c r="AL34" s="31">
        <v>9.6319723979298403E-4</v>
      </c>
      <c r="AM34" s="30">
        <v>-1404</v>
      </c>
      <c r="AN34" s="31">
        <v>-1.9071163694154999E-2</v>
      </c>
      <c r="AO34" s="30" t="s">
        <v>80</v>
      </c>
      <c r="AP34" s="31"/>
    </row>
    <row r="35" spans="1:42" x14ac:dyDescent="0.25">
      <c r="A35" s="10" t="s">
        <v>1410</v>
      </c>
      <c r="B35" s="10"/>
      <c r="C35" s="30">
        <v>107</v>
      </c>
      <c r="D35" s="31">
        <v>6.5535615851044296E-3</v>
      </c>
      <c r="E35" s="30">
        <v>127</v>
      </c>
      <c r="F35" s="31">
        <v>6.0782999904278696E-3</v>
      </c>
      <c r="G35" s="30">
        <v>160</v>
      </c>
      <c r="H35" s="31">
        <v>6.99973750984338E-3</v>
      </c>
      <c r="I35" s="30" t="s">
        <v>80</v>
      </c>
      <c r="J35" s="31"/>
      <c r="K35" s="30" t="s">
        <v>80</v>
      </c>
      <c r="L35" s="31"/>
      <c r="M35" s="30" t="s">
        <v>80</v>
      </c>
      <c r="N35" s="31"/>
      <c r="O35" s="30" t="s">
        <v>80</v>
      </c>
      <c r="P35" s="31"/>
      <c r="Q35" s="30" t="s">
        <v>80</v>
      </c>
      <c r="R35" s="31"/>
      <c r="S35" s="30" t="s">
        <v>80</v>
      </c>
      <c r="T35" s="31"/>
      <c r="U35" s="30" t="s">
        <v>80</v>
      </c>
      <c r="V35" s="31"/>
      <c r="W35" s="30" t="s">
        <v>80</v>
      </c>
      <c r="X35" s="31"/>
      <c r="Y35" s="30" t="s">
        <v>80</v>
      </c>
      <c r="Z35" s="31"/>
      <c r="AA35" s="30" t="s">
        <v>80</v>
      </c>
      <c r="AB35" s="31"/>
      <c r="AC35" s="30" t="s">
        <v>80</v>
      </c>
      <c r="AD35" s="31"/>
      <c r="AE35" s="30" t="s">
        <v>80</v>
      </c>
      <c r="AF35" s="31"/>
      <c r="AG35" s="30" t="s">
        <v>80</v>
      </c>
      <c r="AH35" s="31"/>
      <c r="AI35" s="30" t="s">
        <v>80</v>
      </c>
      <c r="AJ35" s="31"/>
      <c r="AK35" s="30" t="s">
        <v>80</v>
      </c>
      <c r="AL35" s="31"/>
      <c r="AM35" s="30" t="s">
        <v>80</v>
      </c>
      <c r="AN35" s="31"/>
      <c r="AO35" s="30" t="s">
        <v>80</v>
      </c>
      <c r="AP35" s="31"/>
    </row>
    <row r="36" spans="1:42" x14ac:dyDescent="0.25">
      <c r="A36" s="10" t="s">
        <v>1411</v>
      </c>
      <c r="B36" s="10"/>
      <c r="C36" s="30">
        <v>45</v>
      </c>
      <c r="D36" s="31">
        <v>2.7561707600906502E-3</v>
      </c>
      <c r="E36" s="30">
        <v>148</v>
      </c>
      <c r="F36" s="31">
        <v>7.0833732171915404E-3</v>
      </c>
      <c r="G36" s="30">
        <v>38</v>
      </c>
      <c r="H36" s="31">
        <v>1.6624376585878001E-3</v>
      </c>
      <c r="I36" s="30" t="s">
        <v>80</v>
      </c>
      <c r="J36" s="31"/>
      <c r="K36" s="30" t="s">
        <v>80</v>
      </c>
      <c r="L36" s="31"/>
      <c r="M36" s="30" t="s">
        <v>80</v>
      </c>
      <c r="N36" s="31"/>
      <c r="O36" s="30" t="s">
        <v>80</v>
      </c>
      <c r="P36" s="31"/>
      <c r="Q36" s="30" t="s">
        <v>80</v>
      </c>
      <c r="R36" s="31"/>
      <c r="S36" s="30" t="s">
        <v>80</v>
      </c>
      <c r="T36" s="31"/>
      <c r="U36" s="30" t="s">
        <v>80</v>
      </c>
      <c r="V36" s="31"/>
      <c r="W36" s="30" t="s">
        <v>80</v>
      </c>
      <c r="X36" s="31"/>
      <c r="Y36" s="30" t="s">
        <v>80</v>
      </c>
      <c r="Z36" s="31"/>
      <c r="AA36" s="30" t="s">
        <v>80</v>
      </c>
      <c r="AB36" s="31"/>
      <c r="AC36" s="30" t="s">
        <v>80</v>
      </c>
      <c r="AD36" s="31"/>
      <c r="AE36" s="30" t="s">
        <v>80</v>
      </c>
      <c r="AF36" s="31"/>
      <c r="AG36" s="30" t="s">
        <v>80</v>
      </c>
      <c r="AH36" s="31"/>
      <c r="AI36" s="30" t="s">
        <v>80</v>
      </c>
      <c r="AJ36" s="31"/>
      <c r="AK36" s="30" t="s">
        <v>80</v>
      </c>
      <c r="AL36" s="31"/>
      <c r="AM36" s="30" t="s">
        <v>80</v>
      </c>
      <c r="AN36" s="31"/>
      <c r="AO36" s="30" t="s">
        <v>80</v>
      </c>
      <c r="AP36" s="31"/>
    </row>
    <row r="37" spans="1:42" x14ac:dyDescent="0.25">
      <c r="A37" s="10" t="s">
        <v>1391</v>
      </c>
      <c r="B37" s="10"/>
      <c r="C37" s="30">
        <v>576</v>
      </c>
      <c r="D37" s="31">
        <v>3.52789857291603E-2</v>
      </c>
      <c r="E37" s="30">
        <v>773</v>
      </c>
      <c r="F37" s="31">
        <v>3.6996266870871999E-2</v>
      </c>
      <c r="G37" s="30">
        <v>965</v>
      </c>
      <c r="H37" s="31">
        <v>4.2217166856242903E-2</v>
      </c>
      <c r="I37" s="30" t="s">
        <v>80</v>
      </c>
      <c r="J37" s="31"/>
      <c r="K37" s="30" t="s">
        <v>80</v>
      </c>
      <c r="L37" s="31"/>
      <c r="M37" s="30" t="s">
        <v>80</v>
      </c>
      <c r="N37" s="31"/>
      <c r="O37" s="30">
        <v>858</v>
      </c>
      <c r="P37" s="31">
        <v>2.2159090909090899E-2</v>
      </c>
      <c r="Q37" s="30" t="s">
        <v>80</v>
      </c>
      <c r="R37" s="31"/>
      <c r="S37" s="30" t="s">
        <v>80</v>
      </c>
      <c r="T37" s="31"/>
      <c r="U37" s="30" t="s">
        <v>80</v>
      </c>
      <c r="V37" s="31"/>
      <c r="W37" s="30" t="s">
        <v>80</v>
      </c>
      <c r="X37" s="31"/>
      <c r="Y37" s="30" t="s">
        <v>80</v>
      </c>
      <c r="Z37" s="31"/>
      <c r="AA37" s="30" t="s">
        <v>80</v>
      </c>
      <c r="AB37" s="31"/>
      <c r="AC37" s="30" t="s">
        <v>80</v>
      </c>
      <c r="AD37" s="31"/>
      <c r="AE37" s="30" t="s">
        <v>80</v>
      </c>
      <c r="AF37" s="31"/>
      <c r="AG37" s="30" t="s">
        <v>80</v>
      </c>
      <c r="AH37" s="31"/>
      <c r="AI37" s="30" t="s">
        <v>80</v>
      </c>
      <c r="AJ37" s="31"/>
      <c r="AK37" s="30" t="s">
        <v>80</v>
      </c>
      <c r="AL37" s="31"/>
      <c r="AM37" s="30" t="s">
        <v>80</v>
      </c>
      <c r="AN37" s="31"/>
      <c r="AO37" s="30" t="s">
        <v>80</v>
      </c>
      <c r="AP37" s="31"/>
    </row>
    <row r="38" spans="1:42" x14ac:dyDescent="0.25">
      <c r="A38" s="10" t="s">
        <v>1392</v>
      </c>
      <c r="B38" s="10"/>
      <c r="C38" s="30" t="s">
        <v>80</v>
      </c>
      <c r="D38" s="31"/>
      <c r="E38" s="30" t="s">
        <v>80</v>
      </c>
      <c r="F38" s="31"/>
      <c r="G38" s="30" t="s">
        <v>80</v>
      </c>
      <c r="H38" s="31"/>
      <c r="I38" s="30" t="s">
        <v>80</v>
      </c>
      <c r="J38" s="31"/>
      <c r="K38" s="30" t="s">
        <v>80</v>
      </c>
      <c r="L38" s="31"/>
      <c r="M38" s="30" t="s">
        <v>80</v>
      </c>
      <c r="N38" s="31"/>
      <c r="O38" s="30">
        <v>-35</v>
      </c>
      <c r="P38" s="31">
        <v>-9.0392561983471099E-4</v>
      </c>
      <c r="Q38" s="30">
        <v>-875</v>
      </c>
      <c r="R38" s="31">
        <v>-2.14313706280004E-2</v>
      </c>
      <c r="S38" s="30">
        <v>425</v>
      </c>
      <c r="T38" s="31">
        <v>9.23351003736856E-3</v>
      </c>
      <c r="U38" s="30" t="s">
        <v>80</v>
      </c>
      <c r="V38" s="31"/>
      <c r="W38" s="30" t="s">
        <v>80</v>
      </c>
      <c r="X38" s="31"/>
      <c r="Y38" s="30" t="s">
        <v>80</v>
      </c>
      <c r="Z38" s="31"/>
      <c r="AA38" s="30" t="s">
        <v>80</v>
      </c>
      <c r="AB38" s="31"/>
      <c r="AC38" s="30" t="s">
        <v>80</v>
      </c>
      <c r="AD38" s="31"/>
      <c r="AE38" s="30" t="s">
        <v>80</v>
      </c>
      <c r="AF38" s="31"/>
      <c r="AG38" s="30" t="s">
        <v>80</v>
      </c>
      <c r="AH38" s="31"/>
      <c r="AI38" s="30" t="s">
        <v>80</v>
      </c>
      <c r="AJ38" s="31"/>
      <c r="AK38" s="30" t="s">
        <v>80</v>
      </c>
      <c r="AL38" s="31"/>
      <c r="AM38" s="30" t="s">
        <v>80</v>
      </c>
      <c r="AN38" s="31"/>
      <c r="AO38" s="30" t="s">
        <v>80</v>
      </c>
      <c r="AP38" s="31"/>
    </row>
    <row r="39" spans="1:42" x14ac:dyDescent="0.25">
      <c r="A39" s="10" t="s">
        <v>1393</v>
      </c>
      <c r="B39" s="10"/>
      <c r="C39" s="30" t="s">
        <v>80</v>
      </c>
      <c r="D39" s="31"/>
      <c r="E39" s="30" t="s">
        <v>80</v>
      </c>
      <c r="F39" s="31"/>
      <c r="G39" s="30" t="s">
        <v>80</v>
      </c>
      <c r="H39" s="31"/>
      <c r="I39" s="30" t="s">
        <v>80</v>
      </c>
      <c r="J39" s="31"/>
      <c r="K39" s="30" t="s">
        <v>80</v>
      </c>
      <c r="L39" s="31"/>
      <c r="M39" s="30" t="s">
        <v>80</v>
      </c>
      <c r="N39" s="31"/>
      <c r="O39" s="30">
        <v>172</v>
      </c>
      <c r="P39" s="31">
        <v>4.4421487603305797E-3</v>
      </c>
      <c r="Q39" s="30">
        <v>-978</v>
      </c>
      <c r="R39" s="31">
        <v>-2.3954149113353598E-2</v>
      </c>
      <c r="S39" s="30" t="s">
        <v>80</v>
      </c>
      <c r="T39" s="31"/>
      <c r="U39" s="30" t="s">
        <v>80</v>
      </c>
      <c r="V39" s="31"/>
      <c r="W39" s="30" t="s">
        <v>80</v>
      </c>
      <c r="X39" s="31"/>
      <c r="Y39" s="30" t="s">
        <v>80</v>
      </c>
      <c r="Z39" s="31"/>
      <c r="AA39" s="30" t="s">
        <v>80</v>
      </c>
      <c r="AB39" s="31"/>
      <c r="AC39" s="30" t="s">
        <v>80</v>
      </c>
      <c r="AD39" s="31"/>
      <c r="AE39" s="30" t="s">
        <v>80</v>
      </c>
      <c r="AF39" s="31"/>
      <c r="AG39" s="30" t="s">
        <v>80</v>
      </c>
      <c r="AH39" s="31"/>
      <c r="AI39" s="30" t="s">
        <v>80</v>
      </c>
      <c r="AJ39" s="31"/>
      <c r="AK39" s="30" t="s">
        <v>80</v>
      </c>
      <c r="AL39" s="31"/>
      <c r="AM39" s="30" t="s">
        <v>80</v>
      </c>
      <c r="AN39" s="31"/>
      <c r="AO39" s="30" t="s">
        <v>80</v>
      </c>
      <c r="AP39" s="31"/>
    </row>
    <row r="40" spans="1:42" x14ac:dyDescent="0.25">
      <c r="A40" s="10" t="s">
        <v>1394</v>
      </c>
      <c r="B40" s="10"/>
      <c r="C40" s="30" t="s">
        <v>80</v>
      </c>
      <c r="D40" s="31"/>
      <c r="E40" s="30" t="s">
        <v>80</v>
      </c>
      <c r="F40" s="31"/>
      <c r="G40" s="30" t="s">
        <v>80</v>
      </c>
      <c r="H40" s="31"/>
      <c r="I40" s="30" t="s">
        <v>80</v>
      </c>
      <c r="J40" s="31"/>
      <c r="K40" s="30" t="s">
        <v>80</v>
      </c>
      <c r="L40" s="31"/>
      <c r="M40" s="30" t="s">
        <v>80</v>
      </c>
      <c r="N40" s="31"/>
      <c r="O40" s="30">
        <v>99</v>
      </c>
      <c r="P40" s="31">
        <v>2.5568181818181801E-3</v>
      </c>
      <c r="Q40" s="30">
        <v>122</v>
      </c>
      <c r="R40" s="31">
        <v>2.9881453904183398E-3</v>
      </c>
      <c r="S40" s="30" t="s">
        <v>80</v>
      </c>
      <c r="T40" s="31"/>
      <c r="U40" s="30" t="s">
        <v>80</v>
      </c>
      <c r="V40" s="31"/>
      <c r="W40" s="30" t="s">
        <v>80</v>
      </c>
      <c r="X40" s="31"/>
      <c r="Y40" s="30" t="s">
        <v>80</v>
      </c>
      <c r="Z40" s="31"/>
      <c r="AA40" s="30" t="s">
        <v>80</v>
      </c>
      <c r="AB40" s="31"/>
      <c r="AC40" s="30" t="s">
        <v>80</v>
      </c>
      <c r="AD40" s="31"/>
      <c r="AE40" s="30" t="s">
        <v>80</v>
      </c>
      <c r="AF40" s="31"/>
      <c r="AG40" s="30" t="s">
        <v>80</v>
      </c>
      <c r="AH40" s="31"/>
      <c r="AI40" s="30" t="s">
        <v>80</v>
      </c>
      <c r="AJ40" s="31"/>
      <c r="AK40" s="30" t="s">
        <v>80</v>
      </c>
      <c r="AL40" s="31"/>
      <c r="AM40" s="30" t="s">
        <v>80</v>
      </c>
      <c r="AN40" s="31"/>
      <c r="AO40" s="30" t="s">
        <v>80</v>
      </c>
      <c r="AP40" s="31"/>
    </row>
    <row r="41" spans="1:42" x14ac:dyDescent="0.25">
      <c r="A41" s="10" t="s">
        <v>1396</v>
      </c>
      <c r="B41" s="10"/>
      <c r="C41" s="30" t="s">
        <v>80</v>
      </c>
      <c r="D41" s="31"/>
      <c r="E41" s="30" t="s">
        <v>80</v>
      </c>
      <c r="F41" s="31"/>
      <c r="G41" s="30" t="s">
        <v>80</v>
      </c>
      <c r="H41" s="31"/>
      <c r="I41" s="30" t="s">
        <v>80</v>
      </c>
      <c r="J41" s="31"/>
      <c r="K41" s="30" t="s">
        <v>80</v>
      </c>
      <c r="L41" s="31"/>
      <c r="M41" s="30" t="s">
        <v>80</v>
      </c>
      <c r="N41" s="31"/>
      <c r="O41" s="30">
        <v>2534</v>
      </c>
      <c r="P41" s="31">
        <v>6.5444214876033094E-2</v>
      </c>
      <c r="Q41" s="30">
        <v>3591</v>
      </c>
      <c r="R41" s="31">
        <v>8.7954345057313602E-2</v>
      </c>
      <c r="S41" s="30" t="s">
        <v>80</v>
      </c>
      <c r="T41" s="31"/>
      <c r="U41" s="30" t="s">
        <v>80</v>
      </c>
      <c r="V41" s="31"/>
      <c r="W41" s="30" t="s">
        <v>80</v>
      </c>
      <c r="X41" s="31"/>
      <c r="Y41" s="30" t="s">
        <v>80</v>
      </c>
      <c r="Z41" s="31"/>
      <c r="AA41" s="30" t="s">
        <v>80</v>
      </c>
      <c r="AB41" s="31"/>
      <c r="AC41" s="30" t="s">
        <v>80</v>
      </c>
      <c r="AD41" s="31"/>
      <c r="AE41" s="30" t="s">
        <v>80</v>
      </c>
      <c r="AF41" s="31"/>
      <c r="AG41" s="30" t="s">
        <v>80</v>
      </c>
      <c r="AH41" s="31"/>
      <c r="AI41" s="30" t="s">
        <v>80</v>
      </c>
      <c r="AJ41" s="31"/>
      <c r="AK41" s="30" t="s">
        <v>80</v>
      </c>
      <c r="AL41" s="31"/>
      <c r="AM41" s="30" t="s">
        <v>80</v>
      </c>
      <c r="AN41" s="31"/>
      <c r="AO41" s="30" t="s">
        <v>80</v>
      </c>
      <c r="AP41" s="31"/>
    </row>
    <row r="42" spans="1:42" x14ac:dyDescent="0.25">
      <c r="A42" s="10" t="s">
        <v>1412</v>
      </c>
      <c r="B42" s="10"/>
      <c r="C42" s="30" t="s">
        <v>80</v>
      </c>
      <c r="D42" s="31"/>
      <c r="E42" s="30" t="s">
        <v>80</v>
      </c>
      <c r="F42" s="31"/>
      <c r="G42" s="30" t="s">
        <v>80</v>
      </c>
      <c r="H42" s="31"/>
      <c r="I42" s="30" t="s">
        <v>80</v>
      </c>
      <c r="J42" s="31"/>
      <c r="K42" s="30" t="s">
        <v>80</v>
      </c>
      <c r="L42" s="31"/>
      <c r="M42" s="30" t="s">
        <v>80</v>
      </c>
      <c r="N42" s="31"/>
      <c r="O42" s="30" t="s">
        <v>80</v>
      </c>
      <c r="P42" s="31"/>
      <c r="Q42" s="30" t="s">
        <v>80</v>
      </c>
      <c r="R42" s="31"/>
      <c r="S42" s="30" t="s">
        <v>80</v>
      </c>
      <c r="T42" s="31"/>
      <c r="U42" s="30">
        <v>200</v>
      </c>
      <c r="V42" s="31">
        <v>3.8254815324879001E-3</v>
      </c>
      <c r="W42" s="30">
        <v>-127</v>
      </c>
      <c r="X42" s="31">
        <v>-1.7404651290273999E-3</v>
      </c>
      <c r="Y42" s="30">
        <v>-1320</v>
      </c>
      <c r="Z42" s="31">
        <v>-1.56261098089353E-2</v>
      </c>
      <c r="AA42" s="30">
        <v>-1107</v>
      </c>
      <c r="AB42" s="31">
        <v>-1.0782852634347299E-2</v>
      </c>
      <c r="AC42" s="30">
        <v>-217</v>
      </c>
      <c r="AD42" s="31">
        <v>-1.9482326746451399E-3</v>
      </c>
      <c r="AE42" s="30" t="s">
        <v>80</v>
      </c>
      <c r="AF42" s="31"/>
      <c r="AG42" s="30" t="s">
        <v>80</v>
      </c>
      <c r="AH42" s="31"/>
      <c r="AI42" s="30" t="s">
        <v>80</v>
      </c>
      <c r="AJ42" s="31"/>
      <c r="AK42" s="30" t="s">
        <v>80</v>
      </c>
      <c r="AL42" s="31"/>
      <c r="AM42" s="30" t="s">
        <v>80</v>
      </c>
      <c r="AN42" s="31"/>
      <c r="AO42" s="30" t="s">
        <v>80</v>
      </c>
      <c r="AP42" s="31"/>
    </row>
    <row r="43" spans="1:42" x14ac:dyDescent="0.25">
      <c r="A43" s="10" t="s">
        <v>1403</v>
      </c>
      <c r="B43" s="10"/>
      <c r="C43" s="30" t="s">
        <v>80</v>
      </c>
      <c r="D43" s="31"/>
      <c r="E43" s="30" t="s">
        <v>80</v>
      </c>
      <c r="F43" s="31"/>
      <c r="G43" s="30" t="s">
        <v>80</v>
      </c>
      <c r="H43" s="31"/>
      <c r="I43" s="30" t="s">
        <v>80</v>
      </c>
      <c r="J43" s="31"/>
      <c r="K43" s="30" t="s">
        <v>80</v>
      </c>
      <c r="L43" s="31"/>
      <c r="M43" s="30" t="s">
        <v>80</v>
      </c>
      <c r="N43" s="31"/>
      <c r="O43" s="30">
        <v>1616</v>
      </c>
      <c r="P43" s="31">
        <v>4.1735537190082599E-2</v>
      </c>
      <c r="Q43" s="30">
        <v>2137</v>
      </c>
      <c r="R43" s="31">
        <v>5.2341530322327801E-2</v>
      </c>
      <c r="S43" s="30">
        <v>2334</v>
      </c>
      <c r="T43" s="31">
        <v>5.0708264534631099E-2</v>
      </c>
      <c r="U43" s="30" t="s">
        <v>80</v>
      </c>
      <c r="V43" s="31"/>
      <c r="W43" s="30" t="s">
        <v>80</v>
      </c>
      <c r="X43" s="31"/>
      <c r="Y43" s="30" t="s">
        <v>80</v>
      </c>
      <c r="Z43" s="31"/>
      <c r="AA43" s="30" t="s">
        <v>80</v>
      </c>
      <c r="AB43" s="31"/>
      <c r="AC43" s="30" t="s">
        <v>80</v>
      </c>
      <c r="AD43" s="31"/>
      <c r="AE43" s="30" t="s">
        <v>80</v>
      </c>
      <c r="AF43" s="31"/>
      <c r="AG43" s="30" t="s">
        <v>80</v>
      </c>
      <c r="AH43" s="31"/>
      <c r="AI43" s="30" t="s">
        <v>80</v>
      </c>
      <c r="AJ43" s="31"/>
      <c r="AK43" s="30" t="s">
        <v>80</v>
      </c>
      <c r="AL43" s="31"/>
      <c r="AM43" s="30" t="s">
        <v>80</v>
      </c>
      <c r="AN43" s="31"/>
      <c r="AO43" s="30" t="s">
        <v>80</v>
      </c>
      <c r="AP43" s="31"/>
    </row>
    <row r="44" spans="1:42" x14ac:dyDescent="0.25">
      <c r="A44" s="10" t="s">
        <v>1405</v>
      </c>
      <c r="B44" s="10"/>
      <c r="C44" s="30" t="s">
        <v>80</v>
      </c>
      <c r="D44" s="31"/>
      <c r="E44" s="30" t="s">
        <v>80</v>
      </c>
      <c r="F44" s="31"/>
      <c r="G44" s="30" t="s">
        <v>80</v>
      </c>
      <c r="H44" s="31"/>
      <c r="I44" s="30" t="s">
        <v>80</v>
      </c>
      <c r="J44" s="31"/>
      <c r="K44" s="30" t="s">
        <v>80</v>
      </c>
      <c r="L44" s="31"/>
      <c r="M44" s="30" t="s">
        <v>80</v>
      </c>
      <c r="N44" s="31"/>
      <c r="O44" s="30">
        <v>156</v>
      </c>
      <c r="P44" s="31">
        <v>4.0289256198347096E-3</v>
      </c>
      <c r="Q44" s="30">
        <v>365</v>
      </c>
      <c r="R44" s="31">
        <v>8.9399431762515903E-3</v>
      </c>
      <c r="S44" s="30">
        <v>510</v>
      </c>
      <c r="T44" s="31">
        <v>1.1080212044842301E-2</v>
      </c>
      <c r="U44" s="30" t="s">
        <v>80</v>
      </c>
      <c r="V44" s="31"/>
      <c r="W44" s="30" t="s">
        <v>80</v>
      </c>
      <c r="X44" s="31"/>
      <c r="Y44" s="30" t="s">
        <v>80</v>
      </c>
      <c r="Z44" s="31"/>
      <c r="AA44" s="30" t="s">
        <v>80</v>
      </c>
      <c r="AB44" s="31"/>
      <c r="AC44" s="30" t="s">
        <v>80</v>
      </c>
      <c r="AD44" s="31"/>
      <c r="AE44" s="30" t="s">
        <v>80</v>
      </c>
      <c r="AF44" s="31"/>
      <c r="AG44" s="30" t="s">
        <v>80</v>
      </c>
      <c r="AH44" s="31"/>
      <c r="AI44" s="30" t="s">
        <v>80</v>
      </c>
      <c r="AJ44" s="31"/>
      <c r="AK44" s="30" t="s">
        <v>80</v>
      </c>
      <c r="AL44" s="31"/>
      <c r="AM44" s="30" t="s">
        <v>80</v>
      </c>
      <c r="AN44" s="31"/>
      <c r="AO44" s="30" t="s">
        <v>80</v>
      </c>
      <c r="AP44" s="31"/>
    </row>
    <row r="45" spans="1:42" x14ac:dyDescent="0.25">
      <c r="A45" s="6" t="s">
        <v>418</v>
      </c>
      <c r="B45" s="6"/>
      <c r="C45" s="34">
        <v>5983</v>
      </c>
      <c r="D45" s="35">
        <v>1</v>
      </c>
      <c r="E45" s="34">
        <v>8306</v>
      </c>
      <c r="F45" s="35">
        <v>1</v>
      </c>
      <c r="G45" s="34">
        <v>8205</v>
      </c>
      <c r="H45" s="35">
        <v>1</v>
      </c>
      <c r="I45" s="34" t="s">
        <v>80</v>
      </c>
      <c r="J45" s="35"/>
      <c r="K45" s="34" t="s">
        <v>80</v>
      </c>
      <c r="L45" s="35"/>
      <c r="M45" s="34" t="s">
        <v>80</v>
      </c>
      <c r="N45" s="35"/>
      <c r="O45" s="34" t="s">
        <v>80</v>
      </c>
      <c r="P45" s="35"/>
      <c r="Q45" s="34" t="s">
        <v>80</v>
      </c>
      <c r="R45" s="35"/>
      <c r="S45" s="34" t="s">
        <v>80</v>
      </c>
      <c r="T45" s="35"/>
      <c r="U45" s="34" t="s">
        <v>80</v>
      </c>
      <c r="V45" s="35"/>
      <c r="W45" s="34" t="s">
        <v>80</v>
      </c>
      <c r="X45" s="35"/>
      <c r="Y45" s="34" t="s">
        <v>80</v>
      </c>
      <c r="Z45" s="35"/>
      <c r="AA45" s="34" t="s">
        <v>80</v>
      </c>
      <c r="AB45" s="35"/>
      <c r="AC45" s="34" t="s">
        <v>80</v>
      </c>
      <c r="AD45" s="35"/>
      <c r="AE45" s="34" t="s">
        <v>80</v>
      </c>
      <c r="AF45" s="35"/>
      <c r="AG45" s="34" t="s">
        <v>80</v>
      </c>
      <c r="AH45" s="35"/>
      <c r="AI45" s="34" t="s">
        <v>80</v>
      </c>
      <c r="AJ45" s="35"/>
      <c r="AK45" s="34" t="s">
        <v>80</v>
      </c>
      <c r="AL45" s="35"/>
      <c r="AM45" s="34" t="s">
        <v>80</v>
      </c>
      <c r="AN45" s="35"/>
      <c r="AO45" s="34" t="s">
        <v>80</v>
      </c>
      <c r="AP45" s="35"/>
    </row>
    <row r="46" spans="1:42" x14ac:dyDescent="0.25">
      <c r="A46" s="10" t="s">
        <v>1408</v>
      </c>
      <c r="B46" s="10"/>
      <c r="C46" s="30">
        <v>69</v>
      </c>
      <c r="D46" s="31"/>
      <c r="E46" s="30">
        <v>76</v>
      </c>
      <c r="F46" s="31"/>
      <c r="G46" s="30">
        <v>108</v>
      </c>
      <c r="H46" s="31"/>
      <c r="I46" s="30" t="s">
        <v>80</v>
      </c>
      <c r="J46" s="31"/>
      <c r="K46" s="30" t="s">
        <v>80</v>
      </c>
      <c r="L46" s="31"/>
      <c r="M46" s="30" t="s">
        <v>80</v>
      </c>
      <c r="N46" s="31"/>
      <c r="O46" s="30" t="s">
        <v>80</v>
      </c>
      <c r="P46" s="31"/>
      <c r="Q46" s="30" t="s">
        <v>80</v>
      </c>
      <c r="R46" s="31"/>
      <c r="S46" s="30" t="s">
        <v>80</v>
      </c>
      <c r="T46" s="31"/>
      <c r="U46" s="30" t="s">
        <v>80</v>
      </c>
      <c r="V46" s="31"/>
      <c r="W46" s="30" t="s">
        <v>80</v>
      </c>
      <c r="X46" s="31"/>
      <c r="Y46" s="30" t="s">
        <v>80</v>
      </c>
      <c r="Z46" s="31"/>
      <c r="AA46" s="30" t="s">
        <v>80</v>
      </c>
      <c r="AB46" s="31"/>
      <c r="AC46" s="30" t="s">
        <v>80</v>
      </c>
      <c r="AD46" s="31"/>
      <c r="AE46" s="30" t="s">
        <v>80</v>
      </c>
      <c r="AF46" s="31"/>
      <c r="AG46" s="30" t="s">
        <v>80</v>
      </c>
      <c r="AH46" s="31"/>
      <c r="AI46" s="30" t="s">
        <v>80</v>
      </c>
      <c r="AJ46" s="31"/>
      <c r="AK46" s="30" t="s">
        <v>80</v>
      </c>
      <c r="AL46" s="31"/>
      <c r="AM46" s="30" t="s">
        <v>80</v>
      </c>
      <c r="AN46" s="31"/>
      <c r="AO46" s="30" t="s">
        <v>80</v>
      </c>
      <c r="AP46" s="31"/>
    </row>
    <row r="47" spans="1:42" x14ac:dyDescent="0.25">
      <c r="A47" s="10" t="s">
        <v>1410</v>
      </c>
      <c r="B47" s="10"/>
      <c r="C47" s="30">
        <v>83</v>
      </c>
      <c r="D47" s="31">
        <v>1.40344944200203E-2</v>
      </c>
      <c r="E47" s="30">
        <v>99</v>
      </c>
      <c r="F47" s="31">
        <v>1.20291616038882E-2</v>
      </c>
      <c r="G47" s="30">
        <v>131</v>
      </c>
      <c r="H47" s="31">
        <v>1.61788316660492E-2</v>
      </c>
      <c r="I47" s="30" t="s">
        <v>80</v>
      </c>
      <c r="J47" s="31"/>
      <c r="K47" s="30" t="s">
        <v>80</v>
      </c>
      <c r="L47" s="31"/>
      <c r="M47" s="30" t="s">
        <v>80</v>
      </c>
      <c r="N47" s="31"/>
      <c r="O47" s="30" t="s">
        <v>80</v>
      </c>
      <c r="P47" s="31"/>
      <c r="Q47" s="30" t="s">
        <v>80</v>
      </c>
      <c r="R47" s="31"/>
      <c r="S47" s="30" t="s">
        <v>80</v>
      </c>
      <c r="T47" s="31"/>
      <c r="U47" s="30" t="s">
        <v>80</v>
      </c>
      <c r="V47" s="31"/>
      <c r="W47" s="30" t="s">
        <v>80</v>
      </c>
      <c r="X47" s="31"/>
      <c r="Y47" s="30" t="s">
        <v>80</v>
      </c>
      <c r="Z47" s="31"/>
      <c r="AA47" s="30" t="s">
        <v>80</v>
      </c>
      <c r="AB47" s="31"/>
      <c r="AC47" s="30" t="s">
        <v>80</v>
      </c>
      <c r="AD47" s="31"/>
      <c r="AE47" s="30" t="s">
        <v>80</v>
      </c>
      <c r="AF47" s="31"/>
      <c r="AG47" s="30" t="s">
        <v>80</v>
      </c>
      <c r="AH47" s="31"/>
      <c r="AI47" s="30" t="s">
        <v>80</v>
      </c>
      <c r="AJ47" s="31"/>
      <c r="AK47" s="30" t="s">
        <v>80</v>
      </c>
      <c r="AL47" s="31"/>
      <c r="AM47" s="30" t="s">
        <v>80</v>
      </c>
      <c r="AN47" s="31"/>
      <c r="AO47" s="30" t="s">
        <v>80</v>
      </c>
      <c r="AP47" s="31"/>
    </row>
    <row r="48" spans="1:42" x14ac:dyDescent="0.25">
      <c r="A48" s="10" t="s">
        <v>1411</v>
      </c>
      <c r="B48" s="10"/>
      <c r="C48" s="30">
        <v>-23</v>
      </c>
      <c r="D48" s="31">
        <v>-3.8890767669935702E-3</v>
      </c>
      <c r="E48" s="30">
        <v>32</v>
      </c>
      <c r="F48" s="31">
        <v>3.88821385176185E-3</v>
      </c>
      <c r="G48" s="30">
        <v>17</v>
      </c>
      <c r="H48" s="31">
        <v>2.0995430406323301E-3</v>
      </c>
      <c r="I48" s="30" t="s">
        <v>80</v>
      </c>
      <c r="J48" s="31"/>
      <c r="K48" s="30" t="s">
        <v>80</v>
      </c>
      <c r="L48" s="31"/>
      <c r="M48" s="30" t="s">
        <v>80</v>
      </c>
      <c r="N48" s="31"/>
      <c r="O48" s="30" t="s">
        <v>80</v>
      </c>
      <c r="P48" s="31"/>
      <c r="Q48" s="30" t="s">
        <v>80</v>
      </c>
      <c r="R48" s="31"/>
      <c r="S48" s="30" t="s">
        <v>80</v>
      </c>
      <c r="T48" s="31"/>
      <c r="U48" s="30" t="s">
        <v>80</v>
      </c>
      <c r="V48" s="31"/>
      <c r="W48" s="30" t="s">
        <v>80</v>
      </c>
      <c r="X48" s="31"/>
      <c r="Y48" s="30" t="s">
        <v>80</v>
      </c>
      <c r="Z48" s="31"/>
      <c r="AA48" s="30" t="s">
        <v>80</v>
      </c>
      <c r="AB48" s="31"/>
      <c r="AC48" s="30" t="s">
        <v>80</v>
      </c>
      <c r="AD48" s="31"/>
      <c r="AE48" s="30" t="s">
        <v>80</v>
      </c>
      <c r="AF48" s="31"/>
      <c r="AG48" s="30" t="s">
        <v>80</v>
      </c>
      <c r="AH48" s="31"/>
      <c r="AI48" s="30" t="s">
        <v>80</v>
      </c>
      <c r="AJ48" s="31"/>
      <c r="AK48" s="30" t="s">
        <v>80</v>
      </c>
      <c r="AL48" s="31"/>
      <c r="AM48" s="30" t="s">
        <v>80</v>
      </c>
      <c r="AN48" s="31"/>
      <c r="AO48" s="30" t="s">
        <v>80</v>
      </c>
      <c r="AP48" s="31"/>
    </row>
    <row r="49" spans="1:42" x14ac:dyDescent="0.25">
      <c r="A49" s="10" t="s">
        <v>1391</v>
      </c>
      <c r="B49" s="10"/>
      <c r="C49" s="30">
        <v>100</v>
      </c>
      <c r="D49" s="31">
        <v>1.69090294217112E-2</v>
      </c>
      <c r="E49" s="30">
        <v>259</v>
      </c>
      <c r="F49" s="31">
        <v>3.1470230862697499E-2</v>
      </c>
      <c r="G49" s="30">
        <v>415</v>
      </c>
      <c r="H49" s="31">
        <v>5.12535506977893E-2</v>
      </c>
      <c r="I49" s="30" t="s">
        <v>80</v>
      </c>
      <c r="J49" s="31"/>
      <c r="K49" s="30" t="s">
        <v>80</v>
      </c>
      <c r="L49" s="31"/>
      <c r="M49" s="30" t="s">
        <v>80</v>
      </c>
      <c r="N49" s="31"/>
      <c r="O49" s="30" t="s">
        <v>80</v>
      </c>
      <c r="P49" s="31"/>
      <c r="Q49" s="30" t="s">
        <v>80</v>
      </c>
      <c r="R49" s="31"/>
      <c r="S49" s="30" t="s">
        <v>80</v>
      </c>
      <c r="T49" s="31"/>
      <c r="U49" s="30" t="s">
        <v>80</v>
      </c>
      <c r="V49" s="31"/>
      <c r="W49" s="30" t="s">
        <v>80</v>
      </c>
      <c r="X49" s="31"/>
      <c r="Y49" s="30" t="s">
        <v>80</v>
      </c>
      <c r="Z49" s="31"/>
      <c r="AA49" s="30" t="s">
        <v>80</v>
      </c>
      <c r="AB49" s="31"/>
      <c r="AC49" s="30" t="s">
        <v>80</v>
      </c>
      <c r="AD49" s="31"/>
      <c r="AE49" s="30" t="s">
        <v>80</v>
      </c>
      <c r="AF49" s="31"/>
      <c r="AG49" s="30" t="s">
        <v>80</v>
      </c>
      <c r="AH49" s="31"/>
      <c r="AI49" s="30" t="s">
        <v>80</v>
      </c>
      <c r="AJ49" s="31"/>
      <c r="AK49" s="30" t="s">
        <v>80</v>
      </c>
      <c r="AL49" s="31"/>
      <c r="AM49" s="30" t="s">
        <v>80</v>
      </c>
      <c r="AN49" s="31"/>
      <c r="AO49" s="30" t="s">
        <v>80</v>
      </c>
      <c r="AP49" s="31"/>
    </row>
    <row r="50" spans="1:42" x14ac:dyDescent="0.25">
      <c r="A50" s="10" t="s">
        <v>1400</v>
      </c>
      <c r="B50" s="10"/>
      <c r="C50" s="30">
        <v>11</v>
      </c>
      <c r="D50" s="31">
        <v>1.8599932363882301E-3</v>
      </c>
      <c r="E50" s="30">
        <v>13</v>
      </c>
      <c r="F50" s="31">
        <v>1.5795868772782501E-3</v>
      </c>
      <c r="G50" s="30">
        <v>-47</v>
      </c>
      <c r="H50" s="31">
        <v>-5.80461899468939E-3</v>
      </c>
      <c r="I50" s="30" t="s">
        <v>80</v>
      </c>
      <c r="J50" s="31"/>
      <c r="K50" s="30" t="s">
        <v>80</v>
      </c>
      <c r="L50" s="31"/>
      <c r="M50" s="30" t="s">
        <v>80</v>
      </c>
      <c r="N50" s="31"/>
      <c r="O50" s="30" t="s">
        <v>80</v>
      </c>
      <c r="P50" s="31"/>
      <c r="Q50" s="30" t="s">
        <v>80</v>
      </c>
      <c r="R50" s="31"/>
      <c r="S50" s="30" t="s">
        <v>80</v>
      </c>
      <c r="T50" s="31"/>
      <c r="U50" s="30" t="s">
        <v>80</v>
      </c>
      <c r="V50" s="31"/>
      <c r="W50" s="30" t="s">
        <v>80</v>
      </c>
      <c r="X50" s="31"/>
      <c r="Y50" s="30" t="s">
        <v>80</v>
      </c>
      <c r="Z50" s="31"/>
      <c r="AA50" s="30" t="s">
        <v>80</v>
      </c>
      <c r="AB50" s="31"/>
      <c r="AC50" s="30" t="s">
        <v>80</v>
      </c>
      <c r="AD50" s="31"/>
      <c r="AE50" s="30" t="s">
        <v>80</v>
      </c>
      <c r="AF50" s="31"/>
      <c r="AG50" s="30" t="s">
        <v>80</v>
      </c>
      <c r="AH50" s="31"/>
      <c r="AI50" s="30" t="s">
        <v>80</v>
      </c>
      <c r="AJ50" s="31"/>
      <c r="AK50" s="30" t="s">
        <v>80</v>
      </c>
      <c r="AL50" s="31"/>
      <c r="AM50" s="30" t="s">
        <v>80</v>
      </c>
      <c r="AN50" s="31"/>
      <c r="AO50" s="30" t="s">
        <v>80</v>
      </c>
      <c r="AP50" s="31"/>
    </row>
    <row r="51" spans="1:42" x14ac:dyDescent="0.25">
      <c r="A51" s="10" t="s">
        <v>1401</v>
      </c>
      <c r="B51" s="10"/>
      <c r="C51" s="30">
        <v>4</v>
      </c>
      <c r="D51" s="31">
        <v>6.7636117686844805E-4</v>
      </c>
      <c r="E51" s="30">
        <v>-1</v>
      </c>
      <c r="F51" s="31">
        <v>-1.21506682867558E-4</v>
      </c>
      <c r="G51" s="30" t="s">
        <v>80</v>
      </c>
      <c r="H51" s="31"/>
      <c r="I51" s="30" t="s">
        <v>80</v>
      </c>
      <c r="J51" s="31"/>
      <c r="K51" s="30" t="s">
        <v>80</v>
      </c>
      <c r="L51" s="31"/>
      <c r="M51" s="30" t="s">
        <v>80</v>
      </c>
      <c r="N51" s="31"/>
      <c r="O51" s="30" t="s">
        <v>80</v>
      </c>
      <c r="P51" s="31"/>
      <c r="Q51" s="30" t="s">
        <v>80</v>
      </c>
      <c r="R51" s="31"/>
      <c r="S51" s="30" t="s">
        <v>80</v>
      </c>
      <c r="T51" s="31"/>
      <c r="U51" s="30" t="s">
        <v>80</v>
      </c>
      <c r="V51" s="31"/>
      <c r="W51" s="30" t="s">
        <v>80</v>
      </c>
      <c r="X51" s="31"/>
      <c r="Y51" s="30" t="s">
        <v>80</v>
      </c>
      <c r="Z51" s="31"/>
      <c r="AA51" s="30" t="s">
        <v>80</v>
      </c>
      <c r="AB51" s="31"/>
      <c r="AC51" s="30" t="s">
        <v>80</v>
      </c>
      <c r="AD51" s="31"/>
      <c r="AE51" s="30" t="s">
        <v>80</v>
      </c>
      <c r="AF51" s="31"/>
      <c r="AG51" s="30" t="s">
        <v>80</v>
      </c>
      <c r="AH51" s="31"/>
      <c r="AI51" s="30" t="s">
        <v>80</v>
      </c>
      <c r="AJ51" s="31"/>
      <c r="AK51" s="30" t="s">
        <v>80</v>
      </c>
      <c r="AL51" s="31"/>
      <c r="AM51" s="30" t="s">
        <v>80</v>
      </c>
      <c r="AN51" s="31"/>
      <c r="AO51" s="30" t="s">
        <v>80</v>
      </c>
      <c r="AP51" s="31"/>
    </row>
    <row r="52" spans="1:42" x14ac:dyDescent="0.25">
      <c r="A52" s="10" t="s">
        <v>1402</v>
      </c>
      <c r="B52" s="10"/>
      <c r="C52" s="30">
        <v>58</v>
      </c>
      <c r="D52" s="31">
        <v>9.8072370645924892E-3</v>
      </c>
      <c r="E52" s="30">
        <v>89</v>
      </c>
      <c r="F52" s="31">
        <v>1.08140947752126E-2</v>
      </c>
      <c r="G52" s="30">
        <v>96</v>
      </c>
      <c r="H52" s="31">
        <v>1.18562430529826E-2</v>
      </c>
      <c r="I52" s="30" t="s">
        <v>80</v>
      </c>
      <c r="J52" s="31"/>
      <c r="K52" s="30" t="s">
        <v>80</v>
      </c>
      <c r="L52" s="31"/>
      <c r="M52" s="30" t="s">
        <v>80</v>
      </c>
      <c r="N52" s="31"/>
      <c r="O52" s="30" t="s">
        <v>80</v>
      </c>
      <c r="P52" s="31"/>
      <c r="Q52" s="30" t="s">
        <v>80</v>
      </c>
      <c r="R52" s="31"/>
      <c r="S52" s="30" t="s">
        <v>80</v>
      </c>
      <c r="T52" s="31"/>
      <c r="U52" s="30" t="s">
        <v>80</v>
      </c>
      <c r="V52" s="31"/>
      <c r="W52" s="30" t="s">
        <v>80</v>
      </c>
      <c r="X52" s="31"/>
      <c r="Y52" s="30" t="s">
        <v>80</v>
      </c>
      <c r="Z52" s="31"/>
      <c r="AA52" s="30" t="s">
        <v>80</v>
      </c>
      <c r="AB52" s="31"/>
      <c r="AC52" s="30" t="s">
        <v>80</v>
      </c>
      <c r="AD52" s="31"/>
      <c r="AE52" s="30" t="s">
        <v>80</v>
      </c>
      <c r="AF52" s="31"/>
      <c r="AG52" s="30" t="s">
        <v>80</v>
      </c>
      <c r="AH52" s="31"/>
      <c r="AI52" s="30" t="s">
        <v>80</v>
      </c>
      <c r="AJ52" s="31"/>
      <c r="AK52" s="30" t="s">
        <v>80</v>
      </c>
      <c r="AL52" s="31"/>
      <c r="AM52" s="30" t="s">
        <v>80</v>
      </c>
      <c r="AN52" s="31"/>
      <c r="AO52" s="30" t="s">
        <v>80</v>
      </c>
      <c r="AP52" s="31"/>
    </row>
    <row r="53" spans="1:42" x14ac:dyDescent="0.25">
      <c r="A53" s="10" t="s">
        <v>1406</v>
      </c>
      <c r="B53" s="10"/>
      <c r="C53" s="30">
        <v>5681</v>
      </c>
      <c r="D53" s="31">
        <v>0.96060196144741306</v>
      </c>
      <c r="E53" s="30">
        <v>7739</v>
      </c>
      <c r="F53" s="31">
        <v>0.940340218712029</v>
      </c>
      <c r="G53" s="30">
        <v>7485</v>
      </c>
      <c r="H53" s="31">
        <v>0.92441645053723598</v>
      </c>
      <c r="I53" s="30" t="s">
        <v>80</v>
      </c>
      <c r="J53" s="31"/>
      <c r="K53" s="30" t="s">
        <v>80</v>
      </c>
      <c r="L53" s="31"/>
      <c r="M53" s="30" t="s">
        <v>80</v>
      </c>
      <c r="N53" s="31"/>
      <c r="O53" s="30" t="s">
        <v>80</v>
      </c>
      <c r="P53" s="31"/>
      <c r="Q53" s="30" t="s">
        <v>80</v>
      </c>
      <c r="R53" s="31"/>
      <c r="S53" s="30" t="s">
        <v>80</v>
      </c>
      <c r="T53" s="31"/>
      <c r="U53" s="30" t="s">
        <v>80</v>
      </c>
      <c r="V53" s="31"/>
      <c r="W53" s="30" t="s">
        <v>80</v>
      </c>
      <c r="X53" s="31"/>
      <c r="Y53" s="30" t="s">
        <v>80</v>
      </c>
      <c r="Z53" s="31"/>
      <c r="AA53" s="30" t="s">
        <v>80</v>
      </c>
      <c r="AB53" s="31"/>
      <c r="AC53" s="30" t="s">
        <v>80</v>
      </c>
      <c r="AD53" s="31"/>
      <c r="AE53" s="30" t="s">
        <v>80</v>
      </c>
      <c r="AF53" s="31"/>
      <c r="AG53" s="30" t="s">
        <v>80</v>
      </c>
      <c r="AH53" s="31"/>
      <c r="AI53" s="30" t="s">
        <v>80</v>
      </c>
      <c r="AJ53" s="31"/>
      <c r="AK53" s="30" t="s">
        <v>80</v>
      </c>
      <c r="AL53" s="31"/>
      <c r="AM53" s="30" t="s">
        <v>80</v>
      </c>
      <c r="AN53" s="31"/>
      <c r="AO53" s="30" t="s">
        <v>80</v>
      </c>
      <c r="AP53" s="31"/>
    </row>
    <row r="54" spans="1:42" x14ac:dyDescent="0.25">
      <c r="A54" s="6" t="s">
        <v>1282</v>
      </c>
      <c r="B54" s="6"/>
      <c r="C54" s="34" t="s">
        <v>80</v>
      </c>
      <c r="D54" s="35"/>
      <c r="E54" s="34" t="s">
        <v>80</v>
      </c>
      <c r="F54" s="35"/>
      <c r="G54" s="34" t="s">
        <v>80</v>
      </c>
      <c r="H54" s="35"/>
      <c r="I54" s="34" t="s">
        <v>80</v>
      </c>
      <c r="J54" s="35"/>
      <c r="K54" s="34" t="s">
        <v>80</v>
      </c>
      <c r="L54" s="35"/>
      <c r="M54" s="34" t="s">
        <v>80</v>
      </c>
      <c r="N54" s="35"/>
      <c r="O54" s="34">
        <v>24626</v>
      </c>
      <c r="P54" s="35">
        <v>1</v>
      </c>
      <c r="Q54" s="34">
        <v>30872</v>
      </c>
      <c r="R54" s="35">
        <v>1</v>
      </c>
      <c r="S54" s="34">
        <v>31457</v>
      </c>
      <c r="T54" s="35">
        <v>1</v>
      </c>
      <c r="U54" s="34">
        <v>23747</v>
      </c>
      <c r="V54" s="35">
        <v>1</v>
      </c>
      <c r="W54" s="34">
        <v>27382</v>
      </c>
      <c r="X54" s="35">
        <v>1</v>
      </c>
      <c r="Y54" s="34">
        <v>44635</v>
      </c>
      <c r="Z54" s="35">
        <v>1</v>
      </c>
      <c r="AA54" s="34">
        <v>60754</v>
      </c>
      <c r="AB54" s="35">
        <v>1</v>
      </c>
      <c r="AC54" s="34">
        <v>68693</v>
      </c>
      <c r="AD54" s="35">
        <v>1</v>
      </c>
      <c r="AE54" s="34">
        <v>47898</v>
      </c>
      <c r="AF54" s="35">
        <v>1</v>
      </c>
      <c r="AG54" s="34">
        <v>40772</v>
      </c>
      <c r="AH54" s="35">
        <v>1</v>
      </c>
      <c r="AI54" s="34">
        <v>152469</v>
      </c>
      <c r="AJ54" s="35">
        <v>1</v>
      </c>
      <c r="AK54" s="34">
        <v>248015</v>
      </c>
      <c r="AL54" s="35">
        <v>1</v>
      </c>
      <c r="AM54" s="34">
        <v>266073</v>
      </c>
      <c r="AN54" s="35">
        <v>1</v>
      </c>
      <c r="AO54" s="34">
        <v>258460</v>
      </c>
      <c r="AP54" s="35">
        <v>1</v>
      </c>
    </row>
    <row r="55" spans="1:42" x14ac:dyDescent="0.25">
      <c r="A55" s="10" t="s">
        <v>1406</v>
      </c>
      <c r="B55" s="10"/>
      <c r="C55" s="30" t="s">
        <v>80</v>
      </c>
      <c r="D55" s="31"/>
      <c r="E55" s="30" t="s">
        <v>80</v>
      </c>
      <c r="F55" s="31"/>
      <c r="G55" s="30" t="s">
        <v>80</v>
      </c>
      <c r="H55" s="31"/>
      <c r="I55" s="30" t="s">
        <v>80</v>
      </c>
      <c r="J55" s="31"/>
      <c r="K55" s="30" t="s">
        <v>80</v>
      </c>
      <c r="L55" s="31"/>
      <c r="M55" s="30" t="s">
        <v>80</v>
      </c>
      <c r="N55" s="31"/>
      <c r="O55" s="30">
        <v>20460</v>
      </c>
      <c r="P55" s="31">
        <v>0.83082920490538503</v>
      </c>
      <c r="Q55" s="30">
        <v>20735</v>
      </c>
      <c r="R55" s="31">
        <v>0.67164420834413097</v>
      </c>
      <c r="S55" s="30">
        <v>22498</v>
      </c>
      <c r="T55" s="31">
        <v>0.715198524970595</v>
      </c>
      <c r="U55" s="30">
        <v>19474</v>
      </c>
      <c r="V55" s="31">
        <v>0.82006148145028801</v>
      </c>
      <c r="W55" s="30">
        <v>23244</v>
      </c>
      <c r="X55" s="31">
        <v>0.84890982798290804</v>
      </c>
      <c r="Y55" s="30">
        <v>40062</v>
      </c>
      <c r="Z55" s="31">
        <v>0.89758698720677499</v>
      </c>
      <c r="AA55" s="30">
        <v>53466</v>
      </c>
      <c r="AB55" s="31">
        <v>0.88002633528104701</v>
      </c>
      <c r="AC55" s="30">
        <v>58621</v>
      </c>
      <c r="AD55" s="31">
        <v>0.85337661770486095</v>
      </c>
      <c r="AE55" s="30">
        <v>41293</v>
      </c>
      <c r="AF55" s="31">
        <v>0.86210280178713095</v>
      </c>
      <c r="AG55" s="30">
        <v>36919</v>
      </c>
      <c r="AH55" s="31">
        <v>0.90547666347828204</v>
      </c>
      <c r="AI55" s="30">
        <v>141399</v>
      </c>
      <c r="AJ55" s="31">
        <v>0.92739507703205204</v>
      </c>
      <c r="AK55" s="30">
        <v>226764</v>
      </c>
      <c r="AL55" s="31">
        <v>0.91431197987226598</v>
      </c>
      <c r="AM55" s="30">
        <v>241664</v>
      </c>
      <c r="AN55" s="31">
        <v>0.90826201831828102</v>
      </c>
      <c r="AO55" s="30">
        <v>240075</v>
      </c>
      <c r="AP55" s="31">
        <v>0.928870729980384</v>
      </c>
    </row>
    <row r="56" spans="1:42" x14ac:dyDescent="0.25">
      <c r="A56" s="10" t="s">
        <v>1404</v>
      </c>
      <c r="B56" s="10"/>
      <c r="C56" s="30" t="s">
        <v>80</v>
      </c>
      <c r="D56" s="31"/>
      <c r="E56" s="30" t="s">
        <v>80</v>
      </c>
      <c r="F56" s="31"/>
      <c r="G56" s="30" t="s">
        <v>80</v>
      </c>
      <c r="H56" s="31"/>
      <c r="I56" s="30" t="s">
        <v>80</v>
      </c>
      <c r="J56" s="31"/>
      <c r="K56" s="30" t="s">
        <v>80</v>
      </c>
      <c r="L56" s="31"/>
      <c r="M56" s="30" t="s">
        <v>80</v>
      </c>
      <c r="N56" s="31"/>
      <c r="O56" s="30">
        <v>981</v>
      </c>
      <c r="P56" s="31">
        <v>3.9835945748396002E-2</v>
      </c>
      <c r="Q56" s="30">
        <v>8005</v>
      </c>
      <c r="R56" s="31">
        <v>0.25929644985747602</v>
      </c>
      <c r="S56" s="30">
        <v>9066</v>
      </c>
      <c r="T56" s="31">
        <v>0.28820294370092497</v>
      </c>
      <c r="U56" s="30">
        <v>4210</v>
      </c>
      <c r="V56" s="31">
        <v>0.17728555185918199</v>
      </c>
      <c r="W56" s="30">
        <v>4627</v>
      </c>
      <c r="X56" s="31">
        <v>0.16898579306818601</v>
      </c>
      <c r="Y56" s="30">
        <v>6349</v>
      </c>
      <c r="Z56" s="31">
        <v>0.14224900858109499</v>
      </c>
      <c r="AA56" s="30">
        <v>13325</v>
      </c>
      <c r="AB56" s="31">
        <v>0.21932351246810999</v>
      </c>
      <c r="AC56" s="30">
        <v>16309</v>
      </c>
      <c r="AD56" s="31">
        <v>0.23741865983433499</v>
      </c>
      <c r="AE56" s="30">
        <v>11438</v>
      </c>
      <c r="AF56" s="31">
        <v>0.23879911478558599</v>
      </c>
      <c r="AG56" s="30">
        <v>12263</v>
      </c>
      <c r="AH56" s="31">
        <v>0.30076275966938898</v>
      </c>
      <c r="AI56" s="30">
        <v>20841</v>
      </c>
      <c r="AJ56" s="31">
        <v>0.13669008126242099</v>
      </c>
      <c r="AK56" s="30">
        <v>27014</v>
      </c>
      <c r="AL56" s="31">
        <v>0.108920392232759</v>
      </c>
      <c r="AM56" s="30">
        <v>29396</v>
      </c>
      <c r="AN56" s="31">
        <v>0.11048095823326699</v>
      </c>
      <c r="AO56" s="30">
        <v>23818</v>
      </c>
      <c r="AP56" s="31">
        <v>9.2153881273238702E-2</v>
      </c>
    </row>
    <row r="57" spans="1:42" x14ac:dyDescent="0.25">
      <c r="A57" s="10" t="s">
        <v>1402</v>
      </c>
      <c r="B57" s="10"/>
      <c r="C57" s="30" t="s">
        <v>80</v>
      </c>
      <c r="D57" s="31"/>
      <c r="E57" s="30" t="s">
        <v>80</v>
      </c>
      <c r="F57" s="31"/>
      <c r="G57" s="30" t="s">
        <v>80</v>
      </c>
      <c r="H57" s="31"/>
      <c r="I57" s="30" t="s">
        <v>80</v>
      </c>
      <c r="J57" s="31"/>
      <c r="K57" s="30" t="s">
        <v>80</v>
      </c>
      <c r="L57" s="31"/>
      <c r="M57" s="30" t="s">
        <v>80</v>
      </c>
      <c r="N57" s="31"/>
      <c r="O57" s="30">
        <v>758</v>
      </c>
      <c r="P57" s="31">
        <v>3.07804759197596E-2</v>
      </c>
      <c r="Q57" s="30">
        <v>1186</v>
      </c>
      <c r="R57" s="31">
        <v>3.8416688261207602E-2</v>
      </c>
      <c r="S57" s="30">
        <v>1451</v>
      </c>
      <c r="T57" s="31">
        <v>4.61264583399561E-2</v>
      </c>
      <c r="U57" s="30">
        <v>1290</v>
      </c>
      <c r="V57" s="31">
        <v>5.4322651282267202E-2</v>
      </c>
      <c r="W57" s="30">
        <v>824</v>
      </c>
      <c r="X57" s="31">
        <v>3.00938607063292E-2</v>
      </c>
      <c r="Y57" s="30">
        <v>1241</v>
      </c>
      <c r="Z57" s="31">
        <v>2.7804539242264701E-2</v>
      </c>
      <c r="AA57" s="30">
        <v>1571</v>
      </c>
      <c r="AB57" s="31">
        <v>2.5857954077853702E-2</v>
      </c>
      <c r="AC57" s="30">
        <v>1696</v>
      </c>
      <c r="AD57" s="31">
        <v>2.4689560799499199E-2</v>
      </c>
      <c r="AE57" s="30">
        <v>1801</v>
      </c>
      <c r="AF57" s="31">
        <v>3.7600734894985201E-2</v>
      </c>
      <c r="AG57" s="30">
        <v>1426</v>
      </c>
      <c r="AH57" s="31">
        <v>3.4974125033723297E-2</v>
      </c>
      <c r="AI57" s="30">
        <v>2162</v>
      </c>
      <c r="AJ57" s="31">
        <v>1.4179931658238699E-2</v>
      </c>
      <c r="AK57" s="30">
        <v>3497</v>
      </c>
      <c r="AL57" s="31">
        <v>1.40998967808528E-2</v>
      </c>
      <c r="AM57" s="30">
        <v>4215</v>
      </c>
      <c r="AN57" s="31">
        <v>1.5841517177616699E-2</v>
      </c>
      <c r="AO57" s="30">
        <v>3536</v>
      </c>
      <c r="AP57" s="31">
        <v>1.36810867487687E-2</v>
      </c>
    </row>
    <row r="58" spans="1:42" x14ac:dyDescent="0.25">
      <c r="A58" s="10" t="s">
        <v>1409</v>
      </c>
      <c r="B58" s="10"/>
      <c r="C58" s="30" t="s">
        <v>80</v>
      </c>
      <c r="D58" s="31"/>
      <c r="E58" s="30" t="s">
        <v>80</v>
      </c>
      <c r="F58" s="31"/>
      <c r="G58" s="30" t="s">
        <v>80</v>
      </c>
      <c r="H58" s="31"/>
      <c r="I58" s="30" t="s">
        <v>80</v>
      </c>
      <c r="J58" s="31"/>
      <c r="K58" s="30" t="s">
        <v>80</v>
      </c>
      <c r="L58" s="31"/>
      <c r="M58" s="30" t="s">
        <v>80</v>
      </c>
      <c r="N58" s="31"/>
      <c r="O58" s="30" t="s">
        <v>80</v>
      </c>
      <c r="P58" s="31"/>
      <c r="Q58" s="30" t="s">
        <v>80</v>
      </c>
      <c r="R58" s="31"/>
      <c r="S58" s="30" t="s">
        <v>80</v>
      </c>
      <c r="T58" s="31"/>
      <c r="U58" s="30" t="s">
        <v>80</v>
      </c>
      <c r="V58" s="31"/>
      <c r="W58" s="30" t="s">
        <v>80</v>
      </c>
      <c r="X58" s="31"/>
      <c r="Y58" s="30" t="s">
        <v>80</v>
      </c>
      <c r="Z58" s="31"/>
      <c r="AA58" s="30" t="s">
        <v>80</v>
      </c>
      <c r="AB58" s="31"/>
      <c r="AC58" s="30" t="s">
        <v>80</v>
      </c>
      <c r="AD58" s="31"/>
      <c r="AE58" s="30" t="s">
        <v>80</v>
      </c>
      <c r="AF58" s="31"/>
      <c r="AG58" s="30" t="s">
        <v>80</v>
      </c>
      <c r="AH58" s="31"/>
      <c r="AI58" s="30">
        <v>11</v>
      </c>
      <c r="AJ58" s="31">
        <v>7.2145813247283095E-5</v>
      </c>
      <c r="AK58" s="30">
        <v>8</v>
      </c>
      <c r="AL58" s="31">
        <v>3.2255983484936497E-5</v>
      </c>
      <c r="AM58" s="30">
        <v>8</v>
      </c>
      <c r="AN58" s="31">
        <v>3.0066936517421901E-5</v>
      </c>
      <c r="AO58" s="30">
        <v>10</v>
      </c>
      <c r="AP58" s="31">
        <v>3.8690856189956597E-5</v>
      </c>
    </row>
    <row r="59" spans="1:42" x14ac:dyDescent="0.25">
      <c r="A59" s="10" t="s">
        <v>1408</v>
      </c>
      <c r="B59" s="10"/>
      <c r="C59" s="30" t="s">
        <v>80</v>
      </c>
      <c r="D59" s="31"/>
      <c r="E59" s="30" t="s">
        <v>80</v>
      </c>
      <c r="F59" s="31"/>
      <c r="G59" s="30" t="s">
        <v>80</v>
      </c>
      <c r="H59" s="31"/>
      <c r="I59" s="30" t="s">
        <v>80</v>
      </c>
      <c r="J59" s="31"/>
      <c r="K59" s="30" t="s">
        <v>80</v>
      </c>
      <c r="L59" s="31"/>
      <c r="M59" s="30" t="s">
        <v>80</v>
      </c>
      <c r="N59" s="31"/>
      <c r="O59" s="30" t="s">
        <v>80</v>
      </c>
      <c r="P59" s="31"/>
      <c r="Q59" s="30" t="s">
        <v>80</v>
      </c>
      <c r="R59" s="31"/>
      <c r="S59" s="30" t="s">
        <v>80</v>
      </c>
      <c r="T59" s="31"/>
      <c r="U59" s="30" t="s">
        <v>80</v>
      </c>
      <c r="V59" s="31"/>
      <c r="W59" s="30">
        <v>1</v>
      </c>
      <c r="X59" s="31"/>
      <c r="Y59" s="30">
        <v>2</v>
      </c>
      <c r="Z59" s="31"/>
      <c r="AA59" s="30">
        <v>-1</v>
      </c>
      <c r="AB59" s="31"/>
      <c r="AC59" s="30" t="s">
        <v>80</v>
      </c>
      <c r="AD59" s="31"/>
      <c r="AE59" s="30" t="s">
        <v>80</v>
      </c>
      <c r="AF59" s="31"/>
      <c r="AG59" s="30">
        <v>-1</v>
      </c>
      <c r="AH59" s="31"/>
      <c r="AI59" s="30">
        <v>0</v>
      </c>
      <c r="AJ59" s="31"/>
      <c r="AK59" s="30">
        <v>-1</v>
      </c>
      <c r="AL59" s="31"/>
      <c r="AM59" s="30">
        <v>0</v>
      </c>
      <c r="AN59" s="31"/>
      <c r="AO59" s="30">
        <v>1</v>
      </c>
      <c r="AP59" s="31"/>
    </row>
    <row r="60" spans="1:42" x14ac:dyDescent="0.25">
      <c r="A60" s="10" t="s">
        <v>1397</v>
      </c>
      <c r="B60" s="10"/>
      <c r="C60" s="30" t="s">
        <v>80</v>
      </c>
      <c r="D60" s="31"/>
      <c r="E60" s="30" t="s">
        <v>80</v>
      </c>
      <c r="F60" s="31"/>
      <c r="G60" s="30" t="s">
        <v>80</v>
      </c>
      <c r="H60" s="31"/>
      <c r="I60" s="30" t="s">
        <v>80</v>
      </c>
      <c r="J60" s="31"/>
      <c r="K60" s="30" t="s">
        <v>80</v>
      </c>
      <c r="L60" s="31"/>
      <c r="M60" s="30" t="s">
        <v>80</v>
      </c>
      <c r="N60" s="31"/>
      <c r="O60" s="30">
        <v>-2404</v>
      </c>
      <c r="P60" s="31">
        <v>-9.7620401201981594E-2</v>
      </c>
      <c r="Q60" s="30">
        <v>-2930</v>
      </c>
      <c r="R60" s="31">
        <v>-9.4908007255765703E-2</v>
      </c>
      <c r="S60" s="30">
        <v>-2301</v>
      </c>
      <c r="T60" s="31">
        <v>-7.31474711510951E-2</v>
      </c>
      <c r="U60" s="30">
        <v>-1712</v>
      </c>
      <c r="V60" s="31">
        <v>-7.2093317050574798E-2</v>
      </c>
      <c r="W60" s="30">
        <v>-1939</v>
      </c>
      <c r="X60" s="31">
        <v>-7.0815529016471299E-2</v>
      </c>
      <c r="Y60" s="30">
        <v>-3922</v>
      </c>
      <c r="Z60" s="31">
        <v>-8.7872202182241801E-2</v>
      </c>
      <c r="AA60" s="30">
        <v>-8547</v>
      </c>
      <c r="AB60" s="31">
        <v>-0.14067977944202101</v>
      </c>
      <c r="AC60" s="30">
        <v>-8475</v>
      </c>
      <c r="AD60" s="31">
        <v>-0.123375016377215</v>
      </c>
      <c r="AE60" s="30">
        <v>-6635</v>
      </c>
      <c r="AF60" s="31">
        <v>-0.13852352916614499</v>
      </c>
      <c r="AG60" s="30">
        <v>-9836</v>
      </c>
      <c r="AH60" s="31">
        <v>-0.24123807421578</v>
      </c>
      <c r="AI60" s="30">
        <v>-11944</v>
      </c>
      <c r="AJ60" s="31">
        <v>-7.8337235765958996E-2</v>
      </c>
      <c r="AK60" s="30">
        <v>-9267</v>
      </c>
      <c r="AL60" s="31">
        <v>-3.73645248693633E-2</v>
      </c>
      <c r="AM60" s="30">
        <v>-9210</v>
      </c>
      <c r="AN60" s="31">
        <v>-3.4614560665681998E-2</v>
      </c>
      <c r="AO60" s="30">
        <v>-8980</v>
      </c>
      <c r="AP60" s="31">
        <v>-3.4744388858581103E-2</v>
      </c>
    </row>
    <row r="61" spans="1:42" x14ac:dyDescent="0.25">
      <c r="A61" s="10" t="s">
        <v>1399</v>
      </c>
      <c r="B61" s="10"/>
      <c r="C61" s="30" t="s">
        <v>80</v>
      </c>
      <c r="D61" s="31"/>
      <c r="E61" s="30" t="s">
        <v>80</v>
      </c>
      <c r="F61" s="31"/>
      <c r="G61" s="30" t="s">
        <v>80</v>
      </c>
      <c r="H61" s="31"/>
      <c r="I61" s="30" t="s">
        <v>80</v>
      </c>
      <c r="J61" s="31"/>
      <c r="K61" s="30" t="s">
        <v>80</v>
      </c>
      <c r="L61" s="31"/>
      <c r="M61" s="30" t="s">
        <v>80</v>
      </c>
      <c r="N61" s="31"/>
      <c r="O61" s="30" t="s">
        <v>80</v>
      </c>
      <c r="P61" s="31"/>
      <c r="Q61" s="30">
        <v>0</v>
      </c>
      <c r="R61" s="31"/>
      <c r="S61" s="30" t="s">
        <v>80</v>
      </c>
      <c r="T61" s="31"/>
      <c r="U61" s="30" t="s">
        <v>80</v>
      </c>
      <c r="V61" s="31"/>
      <c r="W61" s="30" t="s">
        <v>80</v>
      </c>
      <c r="X61" s="31"/>
      <c r="Y61" s="30" t="s">
        <v>80</v>
      </c>
      <c r="Z61" s="31"/>
      <c r="AA61" s="30" t="s">
        <v>80</v>
      </c>
      <c r="AB61" s="31"/>
      <c r="AC61" s="30" t="s">
        <v>80</v>
      </c>
      <c r="AD61" s="31"/>
      <c r="AE61" s="30" t="s">
        <v>80</v>
      </c>
      <c r="AF61" s="31"/>
      <c r="AG61" s="30" t="s">
        <v>80</v>
      </c>
      <c r="AH61" s="31"/>
      <c r="AI61" s="30" t="s">
        <v>80</v>
      </c>
      <c r="AJ61" s="31"/>
      <c r="AK61" s="30">
        <v>0</v>
      </c>
      <c r="AL61" s="31"/>
      <c r="AM61" s="30">
        <v>0</v>
      </c>
      <c r="AN61" s="31"/>
      <c r="AO61" s="30" t="s">
        <v>80</v>
      </c>
      <c r="AP61" s="31"/>
    </row>
    <row r="62" spans="1:42" x14ac:dyDescent="0.25">
      <c r="A62" s="10" t="s">
        <v>1400</v>
      </c>
      <c r="B62" s="10"/>
      <c r="C62" s="30" t="s">
        <v>80</v>
      </c>
      <c r="D62" s="31"/>
      <c r="E62" s="30" t="s">
        <v>80</v>
      </c>
      <c r="F62" s="31"/>
      <c r="G62" s="30" t="s">
        <v>80</v>
      </c>
      <c r="H62" s="31"/>
      <c r="I62" s="30" t="s">
        <v>80</v>
      </c>
      <c r="J62" s="31"/>
      <c r="K62" s="30" t="s">
        <v>80</v>
      </c>
      <c r="L62" s="31"/>
      <c r="M62" s="30" t="s">
        <v>80</v>
      </c>
      <c r="N62" s="31"/>
      <c r="O62" s="30">
        <v>2</v>
      </c>
      <c r="P62" s="31">
        <v>8.1214976041582096E-5</v>
      </c>
      <c r="Q62" s="30">
        <v>1</v>
      </c>
      <c r="R62" s="31">
        <v>3.2391811350090698E-5</v>
      </c>
      <c r="S62" s="30">
        <v>1</v>
      </c>
      <c r="T62" s="31">
        <v>3.1789426836634102E-5</v>
      </c>
      <c r="U62" s="30" t="s">
        <v>80</v>
      </c>
      <c r="V62" s="31"/>
      <c r="W62" s="30" t="s">
        <v>80</v>
      </c>
      <c r="X62" s="31"/>
      <c r="Y62" s="30" t="s">
        <v>80</v>
      </c>
      <c r="Z62" s="31"/>
      <c r="AA62" s="30" t="s">
        <v>80</v>
      </c>
      <c r="AB62" s="31"/>
      <c r="AC62" s="30" t="s">
        <v>80</v>
      </c>
      <c r="AD62" s="31"/>
      <c r="AE62" s="30">
        <v>1</v>
      </c>
      <c r="AF62" s="31">
        <v>2.0877698442523699E-5</v>
      </c>
      <c r="AG62" s="30">
        <v>1</v>
      </c>
      <c r="AH62" s="31">
        <v>2.45260343855002E-5</v>
      </c>
      <c r="AI62" s="30">
        <v>0</v>
      </c>
      <c r="AJ62" s="31"/>
      <c r="AK62" s="30">
        <v>0</v>
      </c>
      <c r="AL62" s="31"/>
      <c r="AM62" s="30">
        <v>0</v>
      </c>
      <c r="AN62" s="31"/>
      <c r="AO62" s="30" t="s">
        <v>80</v>
      </c>
      <c r="AP62" s="31"/>
    </row>
    <row r="63" spans="1:42" x14ac:dyDescent="0.25">
      <c r="A63" s="10" t="s">
        <v>1391</v>
      </c>
      <c r="B63" s="10"/>
      <c r="C63" s="30" t="s">
        <v>80</v>
      </c>
      <c r="D63" s="31"/>
      <c r="E63" s="30" t="s">
        <v>80</v>
      </c>
      <c r="F63" s="31"/>
      <c r="G63" s="30" t="s">
        <v>80</v>
      </c>
      <c r="H63" s="31"/>
      <c r="I63" s="30" t="s">
        <v>80</v>
      </c>
      <c r="J63" s="31"/>
      <c r="K63" s="30" t="s">
        <v>80</v>
      </c>
      <c r="L63" s="31"/>
      <c r="M63" s="30" t="s">
        <v>80</v>
      </c>
      <c r="N63" s="31"/>
      <c r="O63" s="30">
        <v>1831</v>
      </c>
      <c r="P63" s="31">
        <v>7.4352310566068405E-2</v>
      </c>
      <c r="Q63" s="30" t="s">
        <v>80</v>
      </c>
      <c r="R63" s="31"/>
      <c r="S63" s="30" t="s">
        <v>80</v>
      </c>
      <c r="T63" s="31"/>
      <c r="U63" s="30" t="s">
        <v>80</v>
      </c>
      <c r="V63" s="31"/>
      <c r="W63" s="30" t="s">
        <v>80</v>
      </c>
      <c r="X63" s="31"/>
      <c r="Y63" s="30" t="s">
        <v>80</v>
      </c>
      <c r="Z63" s="31"/>
      <c r="AA63" s="30" t="s">
        <v>80</v>
      </c>
      <c r="AB63" s="31"/>
      <c r="AC63" s="30" t="s">
        <v>80</v>
      </c>
      <c r="AD63" s="31"/>
      <c r="AE63" s="30" t="s">
        <v>80</v>
      </c>
      <c r="AF63" s="31"/>
      <c r="AG63" s="30" t="s">
        <v>80</v>
      </c>
      <c r="AH63" s="31"/>
      <c r="AI63" s="30" t="s">
        <v>80</v>
      </c>
      <c r="AJ63" s="31"/>
      <c r="AK63" s="30" t="s">
        <v>80</v>
      </c>
      <c r="AL63" s="31"/>
      <c r="AM63" s="30" t="s">
        <v>80</v>
      </c>
      <c r="AN63" s="31"/>
      <c r="AO63" s="30" t="s">
        <v>80</v>
      </c>
      <c r="AP63" s="31"/>
    </row>
    <row r="64" spans="1:42" x14ac:dyDescent="0.25">
      <c r="A64" s="10" t="s">
        <v>1392</v>
      </c>
      <c r="B64" s="10"/>
      <c r="C64" s="30" t="s">
        <v>80</v>
      </c>
      <c r="D64" s="31"/>
      <c r="E64" s="30" t="s">
        <v>80</v>
      </c>
      <c r="F64" s="31"/>
      <c r="G64" s="30" t="s">
        <v>80</v>
      </c>
      <c r="H64" s="31"/>
      <c r="I64" s="30" t="s">
        <v>80</v>
      </c>
      <c r="J64" s="31"/>
      <c r="K64" s="30" t="s">
        <v>80</v>
      </c>
      <c r="L64" s="31"/>
      <c r="M64" s="30" t="s">
        <v>80</v>
      </c>
      <c r="N64" s="31"/>
      <c r="O64" s="30">
        <v>52</v>
      </c>
      <c r="P64" s="31">
        <v>2.1115893770811299E-3</v>
      </c>
      <c r="Q64" s="30">
        <v>58</v>
      </c>
      <c r="R64" s="31">
        <v>1.8787250583052601E-3</v>
      </c>
      <c r="S64" s="30">
        <v>500</v>
      </c>
      <c r="T64" s="31">
        <v>1.5894713418317101E-2</v>
      </c>
      <c r="U64" s="30" t="s">
        <v>80</v>
      </c>
      <c r="V64" s="31"/>
      <c r="W64" s="30" t="s">
        <v>80</v>
      </c>
      <c r="X64" s="31"/>
      <c r="Y64" s="30" t="s">
        <v>80</v>
      </c>
      <c r="Z64" s="31"/>
      <c r="AA64" s="30" t="s">
        <v>80</v>
      </c>
      <c r="AB64" s="31"/>
      <c r="AC64" s="30" t="s">
        <v>80</v>
      </c>
      <c r="AD64" s="31"/>
      <c r="AE64" s="30" t="s">
        <v>80</v>
      </c>
      <c r="AF64" s="31"/>
      <c r="AG64" s="30" t="s">
        <v>80</v>
      </c>
      <c r="AH64" s="31"/>
      <c r="AI64" s="30" t="s">
        <v>80</v>
      </c>
      <c r="AJ64" s="31"/>
      <c r="AK64" s="30" t="s">
        <v>80</v>
      </c>
      <c r="AL64" s="31"/>
      <c r="AM64" s="30" t="s">
        <v>80</v>
      </c>
      <c r="AN64" s="31"/>
      <c r="AO64" s="30" t="s">
        <v>80</v>
      </c>
      <c r="AP64" s="31"/>
    </row>
    <row r="65" spans="1:42" x14ac:dyDescent="0.25">
      <c r="A65" s="10" t="s">
        <v>1393</v>
      </c>
      <c r="B65" s="10"/>
      <c r="C65" s="30" t="s">
        <v>80</v>
      </c>
      <c r="D65" s="31"/>
      <c r="E65" s="30" t="s">
        <v>80</v>
      </c>
      <c r="F65" s="31"/>
      <c r="G65" s="30" t="s">
        <v>80</v>
      </c>
      <c r="H65" s="31"/>
      <c r="I65" s="30" t="s">
        <v>80</v>
      </c>
      <c r="J65" s="31"/>
      <c r="K65" s="30" t="s">
        <v>80</v>
      </c>
      <c r="L65" s="31"/>
      <c r="M65" s="30" t="s">
        <v>80</v>
      </c>
      <c r="N65" s="31"/>
      <c r="O65" s="30">
        <v>178</v>
      </c>
      <c r="P65" s="31">
        <v>7.2281328677008001E-3</v>
      </c>
      <c r="Q65" s="30">
        <v>207</v>
      </c>
      <c r="R65" s="31">
        <v>6.70510494946877E-3</v>
      </c>
      <c r="S65" s="30" t="s">
        <v>80</v>
      </c>
      <c r="T65" s="31"/>
      <c r="U65" s="30" t="s">
        <v>80</v>
      </c>
      <c r="V65" s="31"/>
      <c r="W65" s="30" t="s">
        <v>80</v>
      </c>
      <c r="X65" s="31"/>
      <c r="Y65" s="30" t="s">
        <v>80</v>
      </c>
      <c r="Z65" s="31"/>
      <c r="AA65" s="30" t="s">
        <v>80</v>
      </c>
      <c r="AB65" s="31"/>
      <c r="AC65" s="30" t="s">
        <v>80</v>
      </c>
      <c r="AD65" s="31"/>
      <c r="AE65" s="30" t="s">
        <v>80</v>
      </c>
      <c r="AF65" s="31"/>
      <c r="AG65" s="30" t="s">
        <v>80</v>
      </c>
      <c r="AH65" s="31"/>
      <c r="AI65" s="30" t="s">
        <v>80</v>
      </c>
      <c r="AJ65" s="31"/>
      <c r="AK65" s="30" t="s">
        <v>80</v>
      </c>
      <c r="AL65" s="31"/>
      <c r="AM65" s="30" t="s">
        <v>80</v>
      </c>
      <c r="AN65" s="31"/>
      <c r="AO65" s="30" t="s">
        <v>80</v>
      </c>
      <c r="AP65" s="31"/>
    </row>
    <row r="66" spans="1:42" x14ac:dyDescent="0.25">
      <c r="A66" s="10" t="s">
        <v>1394</v>
      </c>
      <c r="B66" s="10"/>
      <c r="C66" s="30" t="s">
        <v>80</v>
      </c>
      <c r="D66" s="31"/>
      <c r="E66" s="30" t="s">
        <v>80</v>
      </c>
      <c r="F66" s="31"/>
      <c r="G66" s="30" t="s">
        <v>80</v>
      </c>
      <c r="H66" s="31"/>
      <c r="I66" s="30" t="s">
        <v>80</v>
      </c>
      <c r="J66" s="31"/>
      <c r="K66" s="30" t="s">
        <v>80</v>
      </c>
      <c r="L66" s="31"/>
      <c r="M66" s="30" t="s">
        <v>80</v>
      </c>
      <c r="N66" s="31"/>
      <c r="O66" s="30">
        <v>270</v>
      </c>
      <c r="P66" s="31">
        <v>1.0964021765613599E-2</v>
      </c>
      <c r="Q66" s="30">
        <v>336</v>
      </c>
      <c r="R66" s="31">
        <v>1.08836486136305E-2</v>
      </c>
      <c r="S66" s="30" t="s">
        <v>80</v>
      </c>
      <c r="T66" s="31"/>
      <c r="U66" s="30" t="s">
        <v>80</v>
      </c>
      <c r="V66" s="31"/>
      <c r="W66" s="30" t="s">
        <v>80</v>
      </c>
      <c r="X66" s="31"/>
      <c r="Y66" s="30" t="s">
        <v>80</v>
      </c>
      <c r="Z66" s="31"/>
      <c r="AA66" s="30" t="s">
        <v>80</v>
      </c>
      <c r="AB66" s="31"/>
      <c r="AC66" s="30" t="s">
        <v>80</v>
      </c>
      <c r="AD66" s="31"/>
      <c r="AE66" s="30" t="s">
        <v>80</v>
      </c>
      <c r="AF66" s="31"/>
      <c r="AG66" s="30" t="s">
        <v>80</v>
      </c>
      <c r="AH66" s="31"/>
      <c r="AI66" s="30" t="s">
        <v>80</v>
      </c>
      <c r="AJ66" s="31"/>
      <c r="AK66" s="30" t="s">
        <v>80</v>
      </c>
      <c r="AL66" s="31"/>
      <c r="AM66" s="30" t="s">
        <v>80</v>
      </c>
      <c r="AN66" s="31"/>
      <c r="AO66" s="30" t="s">
        <v>80</v>
      </c>
      <c r="AP66" s="31"/>
    </row>
    <row r="67" spans="1:42" x14ac:dyDescent="0.25">
      <c r="A67" s="10" t="s">
        <v>1396</v>
      </c>
      <c r="B67" s="10"/>
      <c r="C67" s="30" t="s">
        <v>80</v>
      </c>
      <c r="D67" s="31"/>
      <c r="E67" s="30" t="s">
        <v>80</v>
      </c>
      <c r="F67" s="31"/>
      <c r="G67" s="30" t="s">
        <v>80</v>
      </c>
      <c r="H67" s="31"/>
      <c r="I67" s="30" t="s">
        <v>80</v>
      </c>
      <c r="J67" s="31"/>
      <c r="K67" s="30" t="s">
        <v>80</v>
      </c>
      <c r="L67" s="31"/>
      <c r="M67" s="30" t="s">
        <v>80</v>
      </c>
      <c r="N67" s="31"/>
      <c r="O67" s="30">
        <v>2476</v>
      </c>
      <c r="P67" s="31">
        <v>0.100544140339479</v>
      </c>
      <c r="Q67" s="30">
        <v>3270</v>
      </c>
      <c r="R67" s="31">
        <v>0.105921223114797</v>
      </c>
      <c r="S67" s="30" t="s">
        <v>80</v>
      </c>
      <c r="T67" s="31"/>
      <c r="U67" s="30" t="s">
        <v>80</v>
      </c>
      <c r="V67" s="31"/>
      <c r="W67" s="30" t="s">
        <v>80</v>
      </c>
      <c r="X67" s="31"/>
      <c r="Y67" s="30" t="s">
        <v>80</v>
      </c>
      <c r="Z67" s="31"/>
      <c r="AA67" s="30" t="s">
        <v>80</v>
      </c>
      <c r="AB67" s="31"/>
      <c r="AC67" s="30" t="s">
        <v>80</v>
      </c>
      <c r="AD67" s="31"/>
      <c r="AE67" s="30" t="s">
        <v>80</v>
      </c>
      <c r="AF67" s="31"/>
      <c r="AG67" s="30" t="s">
        <v>80</v>
      </c>
      <c r="AH67" s="31"/>
      <c r="AI67" s="30" t="s">
        <v>80</v>
      </c>
      <c r="AJ67" s="31"/>
      <c r="AK67" s="30" t="s">
        <v>80</v>
      </c>
      <c r="AL67" s="31"/>
      <c r="AM67" s="30" t="s">
        <v>80</v>
      </c>
      <c r="AN67" s="31"/>
      <c r="AO67" s="30" t="s">
        <v>80</v>
      </c>
      <c r="AP67" s="31"/>
    </row>
    <row r="68" spans="1:42" x14ac:dyDescent="0.25">
      <c r="A68" s="10" t="s">
        <v>1398</v>
      </c>
      <c r="B68" s="10"/>
      <c r="C68" s="30" t="s">
        <v>80</v>
      </c>
      <c r="D68" s="31"/>
      <c r="E68" s="30" t="s">
        <v>80</v>
      </c>
      <c r="F68" s="31"/>
      <c r="G68" s="30" t="s">
        <v>80</v>
      </c>
      <c r="H68" s="31"/>
      <c r="I68" s="30" t="s">
        <v>80</v>
      </c>
      <c r="J68" s="31"/>
      <c r="K68" s="30" t="s">
        <v>80</v>
      </c>
      <c r="L68" s="31"/>
      <c r="M68" s="30" t="s">
        <v>80</v>
      </c>
      <c r="N68" s="31"/>
      <c r="O68" s="30">
        <v>22</v>
      </c>
      <c r="P68" s="31">
        <v>8.9336473645740299E-4</v>
      </c>
      <c r="Q68" s="30">
        <v>0</v>
      </c>
      <c r="R68" s="31"/>
      <c r="S68" s="30" t="s">
        <v>80</v>
      </c>
      <c r="T68" s="31"/>
      <c r="U68" s="30" t="s">
        <v>80</v>
      </c>
      <c r="V68" s="31"/>
      <c r="W68" s="30" t="s">
        <v>80</v>
      </c>
      <c r="X68" s="31"/>
      <c r="Y68" s="30" t="s">
        <v>80</v>
      </c>
      <c r="Z68" s="31"/>
      <c r="AA68" s="30" t="s">
        <v>80</v>
      </c>
      <c r="AB68" s="31"/>
      <c r="AC68" s="30" t="s">
        <v>80</v>
      </c>
      <c r="AD68" s="31"/>
      <c r="AE68" s="30" t="s">
        <v>80</v>
      </c>
      <c r="AF68" s="31"/>
      <c r="AG68" s="30" t="s">
        <v>80</v>
      </c>
      <c r="AH68" s="31"/>
      <c r="AI68" s="30" t="s">
        <v>80</v>
      </c>
      <c r="AJ68" s="31"/>
      <c r="AK68" s="30" t="s">
        <v>80</v>
      </c>
      <c r="AL68" s="31"/>
      <c r="AM68" s="30" t="s">
        <v>80</v>
      </c>
      <c r="AN68" s="31"/>
      <c r="AO68" s="30" t="s">
        <v>80</v>
      </c>
      <c r="AP68" s="31"/>
    </row>
    <row r="69" spans="1:42" x14ac:dyDescent="0.25">
      <c r="A69" s="10" t="s">
        <v>1401</v>
      </c>
      <c r="B69" s="10"/>
      <c r="C69" s="30" t="s">
        <v>80</v>
      </c>
      <c r="D69" s="31"/>
      <c r="E69" s="30" t="s">
        <v>80</v>
      </c>
      <c r="F69" s="31"/>
      <c r="G69" s="30" t="s">
        <v>80</v>
      </c>
      <c r="H69" s="31"/>
      <c r="I69" s="30" t="s">
        <v>80</v>
      </c>
      <c r="J69" s="31"/>
      <c r="K69" s="30" t="s">
        <v>80</v>
      </c>
      <c r="L69" s="31"/>
      <c r="M69" s="30" t="s">
        <v>80</v>
      </c>
      <c r="N69" s="31"/>
      <c r="O69" s="30" t="s">
        <v>80</v>
      </c>
      <c r="P69" s="31"/>
      <c r="Q69" s="30" t="s">
        <v>80</v>
      </c>
      <c r="R69" s="31"/>
      <c r="S69" s="30">
        <v>228</v>
      </c>
      <c r="T69" s="31">
        <v>7.2479893187525797E-3</v>
      </c>
      <c r="U69" s="30" t="s">
        <v>80</v>
      </c>
      <c r="V69" s="31"/>
      <c r="W69" s="30" t="s">
        <v>80</v>
      </c>
      <c r="X69" s="31"/>
      <c r="Y69" s="30" t="s">
        <v>80</v>
      </c>
      <c r="Z69" s="31"/>
      <c r="AA69" s="30" t="s">
        <v>80</v>
      </c>
      <c r="AB69" s="31"/>
      <c r="AC69" s="30" t="s">
        <v>80</v>
      </c>
      <c r="AD69" s="31"/>
      <c r="AE69" s="30" t="s">
        <v>80</v>
      </c>
      <c r="AF69" s="31"/>
      <c r="AG69" s="30" t="s">
        <v>80</v>
      </c>
      <c r="AH69" s="31"/>
      <c r="AI69" s="30" t="s">
        <v>80</v>
      </c>
      <c r="AJ69" s="31"/>
      <c r="AK69" s="30" t="s">
        <v>80</v>
      </c>
      <c r="AL69" s="31"/>
      <c r="AM69" s="30" t="s">
        <v>80</v>
      </c>
      <c r="AN69" s="31"/>
      <c r="AO69" s="30" t="s">
        <v>80</v>
      </c>
      <c r="AP69" s="31"/>
    </row>
    <row r="70" spans="1:42" x14ac:dyDescent="0.25">
      <c r="A70" s="10" t="s">
        <v>1412</v>
      </c>
      <c r="B70" s="10"/>
      <c r="C70" s="30" t="s">
        <v>80</v>
      </c>
      <c r="D70" s="31"/>
      <c r="E70" s="30" t="s">
        <v>80</v>
      </c>
      <c r="F70" s="31"/>
      <c r="G70" s="30" t="s">
        <v>80</v>
      </c>
      <c r="H70" s="31"/>
      <c r="I70" s="30" t="s">
        <v>80</v>
      </c>
      <c r="J70" s="31"/>
      <c r="K70" s="30" t="s">
        <v>80</v>
      </c>
      <c r="L70" s="31"/>
      <c r="M70" s="30" t="s">
        <v>80</v>
      </c>
      <c r="N70" s="31"/>
      <c r="O70" s="30" t="s">
        <v>80</v>
      </c>
      <c r="P70" s="31"/>
      <c r="Q70" s="30" t="s">
        <v>80</v>
      </c>
      <c r="R70" s="31"/>
      <c r="S70" s="30" t="s">
        <v>80</v>
      </c>
      <c r="T70" s="31"/>
      <c r="U70" s="30">
        <v>485</v>
      </c>
      <c r="V70" s="31">
        <v>2.04236324588369E-2</v>
      </c>
      <c r="W70" s="30">
        <v>625</v>
      </c>
      <c r="X70" s="31">
        <v>2.2826047259048202E-2</v>
      </c>
      <c r="Y70" s="30">
        <v>903</v>
      </c>
      <c r="Z70" s="31">
        <v>2.02316671521072E-2</v>
      </c>
      <c r="AA70" s="30">
        <v>940</v>
      </c>
      <c r="AB70" s="31">
        <v>1.5471977615011101E-2</v>
      </c>
      <c r="AC70" s="30">
        <v>542</v>
      </c>
      <c r="AD70" s="31">
        <v>7.8901780385192098E-3</v>
      </c>
      <c r="AE70" s="30" t="s">
        <v>80</v>
      </c>
      <c r="AF70" s="31"/>
      <c r="AG70" s="30" t="s">
        <v>80</v>
      </c>
      <c r="AH70" s="31"/>
      <c r="AI70" s="30" t="s">
        <v>80</v>
      </c>
      <c r="AJ70" s="31"/>
      <c r="AK70" s="30" t="s">
        <v>80</v>
      </c>
      <c r="AL70" s="31"/>
      <c r="AM70" s="30" t="s">
        <v>80</v>
      </c>
      <c r="AN70" s="31"/>
      <c r="AO70" s="30" t="s">
        <v>80</v>
      </c>
      <c r="AP70" s="31"/>
    </row>
    <row r="71" spans="1:42" x14ac:dyDescent="0.25">
      <c r="A71" s="10" t="s">
        <v>1403</v>
      </c>
      <c r="B71" s="10"/>
      <c r="C71" s="30" t="s">
        <v>80</v>
      </c>
      <c r="D71" s="31"/>
      <c r="E71" s="30" t="s">
        <v>80</v>
      </c>
      <c r="F71" s="31"/>
      <c r="G71" s="30" t="s">
        <v>80</v>
      </c>
      <c r="H71" s="31"/>
      <c r="I71" s="30" t="s">
        <v>80</v>
      </c>
      <c r="J71" s="31"/>
      <c r="K71" s="30" t="s">
        <v>80</v>
      </c>
      <c r="L71" s="31"/>
      <c r="M71" s="30" t="s">
        <v>80</v>
      </c>
      <c r="N71" s="31"/>
      <c r="O71" s="30" t="s">
        <v>80</v>
      </c>
      <c r="P71" s="31"/>
      <c r="Q71" s="30">
        <v>4</v>
      </c>
      <c r="R71" s="31">
        <v>1.2956724540036301E-4</v>
      </c>
      <c r="S71" s="30">
        <v>14</v>
      </c>
      <c r="T71" s="31">
        <v>4.4505197571287802E-4</v>
      </c>
      <c r="U71" s="30" t="s">
        <v>80</v>
      </c>
      <c r="V71" s="31"/>
      <c r="W71" s="30" t="s">
        <v>80</v>
      </c>
      <c r="X71" s="31"/>
      <c r="Y71" s="30" t="s">
        <v>80</v>
      </c>
      <c r="Z71" s="31"/>
      <c r="AA71" s="30" t="s">
        <v>80</v>
      </c>
      <c r="AB71" s="31"/>
      <c r="AC71" s="30" t="s">
        <v>80</v>
      </c>
      <c r="AD71" s="31"/>
      <c r="AE71" s="30" t="s">
        <v>80</v>
      </c>
      <c r="AF71" s="31"/>
      <c r="AG71" s="30" t="s">
        <v>80</v>
      </c>
      <c r="AH71" s="31"/>
      <c r="AI71" s="30" t="s">
        <v>80</v>
      </c>
      <c r="AJ71" s="31"/>
      <c r="AK71" s="30" t="s">
        <v>80</v>
      </c>
      <c r="AL71" s="31"/>
      <c r="AM71" s="30" t="s">
        <v>80</v>
      </c>
      <c r="AN71" s="31"/>
      <c r="AO71" s="30" t="s">
        <v>80</v>
      </c>
      <c r="AP71" s="31"/>
    </row>
    <row r="72" spans="1:42" x14ac:dyDescent="0.25">
      <c r="A72" s="6" t="s">
        <v>1413</v>
      </c>
      <c r="B72" s="6"/>
      <c r="C72" s="34" t="s">
        <v>80</v>
      </c>
      <c r="D72" s="35"/>
      <c r="E72" s="34" t="s">
        <v>80</v>
      </c>
      <c r="F72" s="35"/>
      <c r="G72" s="34" t="s">
        <v>80</v>
      </c>
      <c r="H72" s="35"/>
      <c r="I72" s="34" t="s">
        <v>80</v>
      </c>
      <c r="J72" s="35"/>
      <c r="K72" s="34" t="s">
        <v>80</v>
      </c>
      <c r="L72" s="35"/>
      <c r="M72" s="34" t="s">
        <v>80</v>
      </c>
      <c r="N72" s="35"/>
      <c r="O72" s="34">
        <v>53002</v>
      </c>
      <c r="P72" s="35">
        <v>1</v>
      </c>
      <c r="Q72" s="34">
        <v>64125</v>
      </c>
      <c r="R72" s="35">
        <v>1</v>
      </c>
      <c r="S72" s="34">
        <v>62170</v>
      </c>
      <c r="T72" s="35">
        <v>1</v>
      </c>
      <c r="U72" s="34">
        <v>69714</v>
      </c>
      <c r="V72" s="35">
        <v>1</v>
      </c>
      <c r="W72" s="34">
        <v>77307</v>
      </c>
      <c r="X72" s="35">
        <v>1</v>
      </c>
      <c r="Y72" s="34">
        <v>110509.3</v>
      </c>
      <c r="Z72" s="35">
        <v>1</v>
      </c>
      <c r="AA72" s="34">
        <v>137583</v>
      </c>
      <c r="AB72" s="35">
        <v>1</v>
      </c>
      <c r="AC72" s="34">
        <v>150513</v>
      </c>
      <c r="AD72" s="35">
        <v>1</v>
      </c>
      <c r="AE72" s="34">
        <v>133593</v>
      </c>
      <c r="AF72" s="35">
        <v>1</v>
      </c>
      <c r="AG72" s="34">
        <v>134725</v>
      </c>
      <c r="AH72" s="35">
        <v>1</v>
      </c>
      <c r="AI72" s="34">
        <v>268628</v>
      </c>
      <c r="AJ72" s="35">
        <v>1</v>
      </c>
      <c r="AK72" s="34">
        <v>375497</v>
      </c>
      <c r="AL72" s="35">
        <v>1</v>
      </c>
      <c r="AM72" s="34">
        <v>405433</v>
      </c>
      <c r="AN72" s="35">
        <v>1</v>
      </c>
      <c r="AO72" s="34">
        <v>405038</v>
      </c>
      <c r="AP72" s="35">
        <v>1</v>
      </c>
    </row>
    <row r="73" spans="1:42" x14ac:dyDescent="0.25">
      <c r="A73" s="10" t="s">
        <v>1406</v>
      </c>
      <c r="B73" s="10"/>
      <c r="C73" s="30" t="s">
        <v>80</v>
      </c>
      <c r="D73" s="31"/>
      <c r="E73" s="30" t="s">
        <v>80</v>
      </c>
      <c r="F73" s="31"/>
      <c r="G73" s="30" t="s">
        <v>80</v>
      </c>
      <c r="H73" s="31"/>
      <c r="I73" s="30" t="s">
        <v>80</v>
      </c>
      <c r="J73" s="31"/>
      <c r="K73" s="30" t="s">
        <v>80</v>
      </c>
      <c r="L73" s="31"/>
      <c r="M73" s="30" t="s">
        <v>80</v>
      </c>
      <c r="N73" s="31"/>
      <c r="O73" s="30">
        <v>44068</v>
      </c>
      <c r="P73" s="31">
        <v>0.83144032300667903</v>
      </c>
      <c r="Q73" s="30">
        <v>48261</v>
      </c>
      <c r="R73" s="31">
        <v>0.75260818713450295</v>
      </c>
      <c r="S73" s="30">
        <v>57183</v>
      </c>
      <c r="T73" s="31">
        <v>0.91978446195914398</v>
      </c>
      <c r="U73" s="30">
        <v>59906</v>
      </c>
      <c r="V73" s="31">
        <v>0.85931089881515899</v>
      </c>
      <c r="W73" s="30">
        <v>72304</v>
      </c>
      <c r="X73" s="31">
        <v>0.93528399756813696</v>
      </c>
      <c r="Y73" s="30">
        <v>95710</v>
      </c>
      <c r="Z73" s="31">
        <v>0.86607546828341297</v>
      </c>
      <c r="AA73" s="30">
        <v>117979</v>
      </c>
      <c r="AB73" s="31">
        <v>0.85751769853614601</v>
      </c>
      <c r="AC73" s="30">
        <v>127208</v>
      </c>
      <c r="AD73" s="31">
        <v>0.84516287629639997</v>
      </c>
      <c r="AE73" s="30">
        <v>110674</v>
      </c>
      <c r="AF73" s="31">
        <v>0.82844781124618205</v>
      </c>
      <c r="AG73" s="30">
        <v>104870</v>
      </c>
      <c r="AH73" s="31">
        <v>0.77840044535164199</v>
      </c>
      <c r="AI73" s="30">
        <v>226642</v>
      </c>
      <c r="AJ73" s="31">
        <v>0.84369893049521805</v>
      </c>
      <c r="AK73" s="30">
        <v>327638</v>
      </c>
      <c r="AL73" s="31">
        <v>0.87254492046540999</v>
      </c>
      <c r="AM73" s="30">
        <v>351180</v>
      </c>
      <c r="AN73" s="31">
        <v>0.86618290523241803</v>
      </c>
      <c r="AO73" s="30">
        <v>357104</v>
      </c>
      <c r="AP73" s="31">
        <v>0.88165554836830096</v>
      </c>
    </row>
    <row r="74" spans="1:42" x14ac:dyDescent="0.25">
      <c r="A74" s="10" t="s">
        <v>1409</v>
      </c>
      <c r="B74" s="10"/>
      <c r="C74" s="30" t="s">
        <v>80</v>
      </c>
      <c r="D74" s="31"/>
      <c r="E74" s="30" t="s">
        <v>80</v>
      </c>
      <c r="F74" s="31"/>
      <c r="G74" s="30" t="s">
        <v>80</v>
      </c>
      <c r="H74" s="31"/>
      <c r="I74" s="30" t="s">
        <v>80</v>
      </c>
      <c r="J74" s="31"/>
      <c r="K74" s="30" t="s">
        <v>80</v>
      </c>
      <c r="L74" s="31"/>
      <c r="M74" s="30" t="s">
        <v>80</v>
      </c>
      <c r="N74" s="31"/>
      <c r="O74" s="30" t="s">
        <v>80</v>
      </c>
      <c r="P74" s="31"/>
      <c r="Q74" s="30" t="s">
        <v>80</v>
      </c>
      <c r="R74" s="31"/>
      <c r="S74" s="30" t="s">
        <v>80</v>
      </c>
      <c r="T74" s="31"/>
      <c r="U74" s="30">
        <v>3948</v>
      </c>
      <c r="V74" s="31">
        <v>5.6631379636801801E-2</v>
      </c>
      <c r="W74" s="30">
        <v>0</v>
      </c>
      <c r="X74" s="31"/>
      <c r="Y74" s="30">
        <v>9026</v>
      </c>
      <c r="Z74" s="31">
        <v>8.1675866437426498E-2</v>
      </c>
      <c r="AA74" s="30">
        <v>10691</v>
      </c>
      <c r="AB74" s="31">
        <v>7.7706386009797804E-2</v>
      </c>
      <c r="AC74" s="30">
        <v>10366</v>
      </c>
      <c r="AD74" s="31">
        <v>6.8871127410921301E-2</v>
      </c>
      <c r="AE74" s="30">
        <v>12728</v>
      </c>
      <c r="AF74" s="31">
        <v>9.5275166177615403E-2</v>
      </c>
      <c r="AG74" s="30">
        <v>21783</v>
      </c>
      <c r="AH74" s="31">
        <v>0.16168491371311899</v>
      </c>
      <c r="AI74" s="30">
        <v>26068</v>
      </c>
      <c r="AJ74" s="31">
        <v>9.7040900275100594E-2</v>
      </c>
      <c r="AK74" s="30">
        <v>23354</v>
      </c>
      <c r="AL74" s="31">
        <v>6.2194904353430301E-2</v>
      </c>
      <c r="AM74" s="30">
        <v>26014</v>
      </c>
      <c r="AN74" s="31">
        <v>6.4163341012347302E-2</v>
      </c>
      <c r="AO74" s="30">
        <v>25720</v>
      </c>
      <c r="AP74" s="31">
        <v>6.3500214794661197E-2</v>
      </c>
    </row>
    <row r="75" spans="1:42" x14ac:dyDescent="0.25">
      <c r="A75" s="10" t="s">
        <v>1404</v>
      </c>
      <c r="B75" s="10"/>
      <c r="C75" s="30" t="s">
        <v>80</v>
      </c>
      <c r="D75" s="31"/>
      <c r="E75" s="30" t="s">
        <v>80</v>
      </c>
      <c r="F75" s="31"/>
      <c r="G75" s="30" t="s">
        <v>80</v>
      </c>
      <c r="H75" s="31"/>
      <c r="I75" s="30" t="s">
        <v>80</v>
      </c>
      <c r="J75" s="31"/>
      <c r="K75" s="30" t="s">
        <v>80</v>
      </c>
      <c r="L75" s="31"/>
      <c r="M75" s="30" t="s">
        <v>80</v>
      </c>
      <c r="N75" s="31"/>
      <c r="O75" s="30">
        <v>1005</v>
      </c>
      <c r="P75" s="31">
        <v>1.89615486208068E-2</v>
      </c>
      <c r="Q75" s="30">
        <v>8274</v>
      </c>
      <c r="R75" s="31">
        <v>0.12902923976608199</v>
      </c>
      <c r="S75" s="30">
        <v>2103</v>
      </c>
      <c r="T75" s="31">
        <v>3.3826604471610101E-2</v>
      </c>
      <c r="U75" s="30">
        <v>4644</v>
      </c>
      <c r="V75" s="31">
        <v>6.6615027110766806E-2</v>
      </c>
      <c r="W75" s="30">
        <v>4862</v>
      </c>
      <c r="X75" s="31">
        <v>6.2892105501442294E-2</v>
      </c>
      <c r="Y75" s="30">
        <v>6694</v>
      </c>
      <c r="Z75" s="31">
        <v>6.05737037372183E-2</v>
      </c>
      <c r="AA75" s="30">
        <v>13752</v>
      </c>
      <c r="AB75" s="31">
        <v>9.9954935965460595E-2</v>
      </c>
      <c r="AC75" s="30">
        <v>16886</v>
      </c>
      <c r="AD75" s="31">
        <v>0.112189644748294</v>
      </c>
      <c r="AE75" s="30">
        <v>12638</v>
      </c>
      <c r="AF75" s="31">
        <v>9.4601473142104306E-2</v>
      </c>
      <c r="AG75" s="30">
        <v>14044</v>
      </c>
      <c r="AH75" s="31">
        <v>0.104241974392281</v>
      </c>
      <c r="AI75" s="30">
        <v>22981</v>
      </c>
      <c r="AJ75" s="31">
        <v>8.5549214716207106E-2</v>
      </c>
      <c r="AK75" s="30">
        <v>27965</v>
      </c>
      <c r="AL75" s="31">
        <v>7.4474629624204702E-2</v>
      </c>
      <c r="AM75" s="30">
        <v>30479</v>
      </c>
      <c r="AN75" s="31">
        <v>7.5176230903180305E-2</v>
      </c>
      <c r="AO75" s="30">
        <v>25265</v>
      </c>
      <c r="AP75" s="31">
        <v>6.2376863405408899E-2</v>
      </c>
    </row>
    <row r="76" spans="1:42" x14ac:dyDescent="0.25">
      <c r="A76" s="10" t="s">
        <v>1402</v>
      </c>
      <c r="B76" s="10"/>
      <c r="C76" s="30" t="s">
        <v>80</v>
      </c>
      <c r="D76" s="31"/>
      <c r="E76" s="30" t="s">
        <v>80</v>
      </c>
      <c r="F76" s="31"/>
      <c r="G76" s="30" t="s">
        <v>80</v>
      </c>
      <c r="H76" s="31"/>
      <c r="I76" s="30" t="s">
        <v>80</v>
      </c>
      <c r="J76" s="31"/>
      <c r="K76" s="30" t="s">
        <v>80</v>
      </c>
      <c r="L76" s="31"/>
      <c r="M76" s="30" t="s">
        <v>80</v>
      </c>
      <c r="N76" s="31"/>
      <c r="O76" s="30">
        <v>1769</v>
      </c>
      <c r="P76" s="31">
        <v>3.33760990151315E-2</v>
      </c>
      <c r="Q76" s="30">
        <v>1909</v>
      </c>
      <c r="R76" s="31">
        <v>2.9769980506822599E-2</v>
      </c>
      <c r="S76" s="30">
        <v>2257</v>
      </c>
      <c r="T76" s="31">
        <v>3.6303683448608702E-2</v>
      </c>
      <c r="U76" s="30">
        <v>2256</v>
      </c>
      <c r="V76" s="31">
        <v>3.23607883638867E-2</v>
      </c>
      <c r="W76" s="30">
        <v>1594</v>
      </c>
      <c r="X76" s="31">
        <v>2.0619090121205101E-2</v>
      </c>
      <c r="Y76" s="30">
        <v>2045</v>
      </c>
      <c r="Z76" s="31">
        <v>1.8505112659487798E-2</v>
      </c>
      <c r="AA76" s="30">
        <v>2471</v>
      </c>
      <c r="AB76" s="31">
        <v>1.7960198281752E-2</v>
      </c>
      <c r="AC76" s="30">
        <v>2739</v>
      </c>
      <c r="AD76" s="31">
        <v>1.81977636483227E-2</v>
      </c>
      <c r="AE76" s="30">
        <v>2660</v>
      </c>
      <c r="AF76" s="31">
        <v>1.99113719384394E-2</v>
      </c>
      <c r="AG76" s="30">
        <v>2414</v>
      </c>
      <c r="AH76" s="31">
        <v>1.7917981072555201E-2</v>
      </c>
      <c r="AI76" s="30">
        <v>2849</v>
      </c>
      <c r="AJ76" s="31">
        <v>1.0605705266371101E-2</v>
      </c>
      <c r="AK76" s="30">
        <v>3950</v>
      </c>
      <c r="AL76" s="31">
        <v>1.05193916329558E-2</v>
      </c>
      <c r="AM76" s="30">
        <v>4992</v>
      </c>
      <c r="AN76" s="31">
        <v>1.23127315420019E-2</v>
      </c>
      <c r="AO76" s="30">
        <v>4991</v>
      </c>
      <c r="AP76" s="31">
        <v>1.2322300623645199E-2</v>
      </c>
    </row>
    <row r="77" spans="1:42" x14ac:dyDescent="0.25">
      <c r="A77" s="10" t="s">
        <v>1401</v>
      </c>
      <c r="B77" s="10"/>
      <c r="C77" s="30" t="s">
        <v>80</v>
      </c>
      <c r="D77" s="31"/>
      <c r="E77" s="30" t="s">
        <v>80</v>
      </c>
      <c r="F77" s="31"/>
      <c r="G77" s="30" t="s">
        <v>80</v>
      </c>
      <c r="H77" s="31"/>
      <c r="I77" s="30" t="s">
        <v>80</v>
      </c>
      <c r="J77" s="31"/>
      <c r="K77" s="30" t="s">
        <v>80</v>
      </c>
      <c r="L77" s="31"/>
      <c r="M77" s="30" t="s">
        <v>80</v>
      </c>
      <c r="N77" s="31"/>
      <c r="O77" s="30">
        <v>9</v>
      </c>
      <c r="P77" s="31">
        <v>1.6980491302215001E-4</v>
      </c>
      <c r="Q77" s="30">
        <v>32</v>
      </c>
      <c r="R77" s="31">
        <v>4.9902534113060396E-4</v>
      </c>
      <c r="S77" s="30">
        <v>481</v>
      </c>
      <c r="T77" s="31">
        <v>7.7368505710149601E-3</v>
      </c>
      <c r="U77" s="30">
        <v>48</v>
      </c>
      <c r="V77" s="31">
        <v>6.8852741199758999E-4</v>
      </c>
      <c r="W77" s="30">
        <v>54</v>
      </c>
      <c r="X77" s="31">
        <v>6.9851371803329601E-4</v>
      </c>
      <c r="Y77" s="30">
        <v>241</v>
      </c>
      <c r="Z77" s="31">
        <v>2.1807981178173898E-3</v>
      </c>
      <c r="AA77" s="30">
        <v>594</v>
      </c>
      <c r="AB77" s="31">
        <v>4.3174252445814104E-3</v>
      </c>
      <c r="AC77" s="30">
        <v>315</v>
      </c>
      <c r="AD77" s="31">
        <v>2.0928424787227699E-3</v>
      </c>
      <c r="AE77" s="30">
        <v>780</v>
      </c>
      <c r="AF77" s="31">
        <v>5.8386729744296104E-3</v>
      </c>
      <c r="AG77" s="30">
        <v>677</v>
      </c>
      <c r="AH77" s="31">
        <v>5.0250510298756696E-3</v>
      </c>
      <c r="AI77" s="30">
        <v>1713</v>
      </c>
      <c r="AJ77" s="31">
        <v>6.3768245423986196E-3</v>
      </c>
      <c r="AK77" s="30">
        <v>1748</v>
      </c>
      <c r="AL77" s="31">
        <v>4.6551636897232199E-3</v>
      </c>
      <c r="AM77" s="30">
        <v>1807</v>
      </c>
      <c r="AN77" s="31">
        <v>4.4569523029642302E-3</v>
      </c>
      <c r="AO77" s="30">
        <v>881</v>
      </c>
      <c r="AP77" s="31">
        <v>2.1751045580908502E-3</v>
      </c>
    </row>
    <row r="78" spans="1:42" x14ac:dyDescent="0.25">
      <c r="A78" s="10" t="s">
        <v>1400</v>
      </c>
      <c r="B78" s="10"/>
      <c r="C78" s="30" t="s">
        <v>80</v>
      </c>
      <c r="D78" s="31"/>
      <c r="E78" s="30" t="s">
        <v>80</v>
      </c>
      <c r="F78" s="31"/>
      <c r="G78" s="30" t="s">
        <v>80</v>
      </c>
      <c r="H78" s="31"/>
      <c r="I78" s="30" t="s">
        <v>80</v>
      </c>
      <c r="J78" s="31"/>
      <c r="K78" s="30" t="s">
        <v>80</v>
      </c>
      <c r="L78" s="31"/>
      <c r="M78" s="30" t="s">
        <v>80</v>
      </c>
      <c r="N78" s="31"/>
      <c r="O78" s="30">
        <v>8</v>
      </c>
      <c r="P78" s="31">
        <v>1.5093770046413301E-4</v>
      </c>
      <c r="Q78" s="30">
        <v>5</v>
      </c>
      <c r="R78" s="31">
        <v>7.7972709551656896E-5</v>
      </c>
      <c r="S78" s="30">
        <v>95</v>
      </c>
      <c r="T78" s="31">
        <v>1.5280682000965099E-3</v>
      </c>
      <c r="U78" s="30">
        <v>68</v>
      </c>
      <c r="V78" s="31">
        <v>9.7541383366325297E-4</v>
      </c>
      <c r="W78" s="30">
        <v>59</v>
      </c>
      <c r="X78" s="31">
        <v>7.6319091414748998E-4</v>
      </c>
      <c r="Y78" s="30">
        <v>69</v>
      </c>
      <c r="Z78" s="31">
        <v>6.2437788435435696E-4</v>
      </c>
      <c r="AA78" s="30">
        <v>53</v>
      </c>
      <c r="AB78" s="31">
        <v>3.8522481138520998E-4</v>
      </c>
      <c r="AC78" s="30">
        <v>69</v>
      </c>
      <c r="AD78" s="31">
        <v>4.5843216200594001E-4</v>
      </c>
      <c r="AE78" s="30">
        <v>76</v>
      </c>
      <c r="AF78" s="31">
        <v>5.6889634109826904E-4</v>
      </c>
      <c r="AG78" s="30">
        <v>60</v>
      </c>
      <c r="AH78" s="31">
        <v>4.4535164223418101E-4</v>
      </c>
      <c r="AI78" s="30">
        <v>70</v>
      </c>
      <c r="AJ78" s="31">
        <v>2.6058243897717702E-4</v>
      </c>
      <c r="AK78" s="30">
        <v>97</v>
      </c>
      <c r="AL78" s="31">
        <v>2.5832430085992702E-4</v>
      </c>
      <c r="AM78" s="30">
        <v>94</v>
      </c>
      <c r="AN78" s="31">
        <v>2.3185031349122199E-4</v>
      </c>
      <c r="AO78" s="30">
        <v>108</v>
      </c>
      <c r="AP78" s="31">
        <v>2.6664164843792399E-4</v>
      </c>
    </row>
    <row r="79" spans="1:42" x14ac:dyDescent="0.25">
      <c r="A79" s="10" t="s">
        <v>1395</v>
      </c>
      <c r="B79" s="10"/>
      <c r="C79" s="30" t="s">
        <v>80</v>
      </c>
      <c r="D79" s="31"/>
      <c r="E79" s="30" t="s">
        <v>80</v>
      </c>
      <c r="F79" s="31"/>
      <c r="G79" s="30" t="s">
        <v>80</v>
      </c>
      <c r="H79" s="31"/>
      <c r="I79" s="30" t="s">
        <v>80</v>
      </c>
      <c r="J79" s="31"/>
      <c r="K79" s="30" t="s">
        <v>80</v>
      </c>
      <c r="L79" s="31"/>
      <c r="M79" s="30" t="s">
        <v>80</v>
      </c>
      <c r="N79" s="31"/>
      <c r="O79" s="30" t="s">
        <v>80</v>
      </c>
      <c r="P79" s="31"/>
      <c r="Q79" s="30" t="s">
        <v>80</v>
      </c>
      <c r="R79" s="31"/>
      <c r="S79" s="30" t="s">
        <v>80</v>
      </c>
      <c r="T79" s="31"/>
      <c r="U79" s="30">
        <v>8</v>
      </c>
      <c r="V79" s="31">
        <v>1.14754568666265E-4</v>
      </c>
      <c r="W79" s="30">
        <v>15</v>
      </c>
      <c r="X79" s="31">
        <v>1.9403158834258201E-4</v>
      </c>
      <c r="Y79" s="30">
        <v>19</v>
      </c>
      <c r="Z79" s="31">
        <v>1.7193014206859101E-4</v>
      </c>
      <c r="AA79" s="30">
        <v>27</v>
      </c>
      <c r="AB79" s="31">
        <v>1.96246602026428E-4</v>
      </c>
      <c r="AC79" s="30">
        <v>49</v>
      </c>
      <c r="AD79" s="31">
        <v>3.2555327446798601E-4</v>
      </c>
      <c r="AE79" s="30">
        <v>56</v>
      </c>
      <c r="AF79" s="31">
        <v>4.1918677765135601E-4</v>
      </c>
      <c r="AG79" s="30">
        <v>60</v>
      </c>
      <c r="AH79" s="31">
        <v>4.4535164223418101E-4</v>
      </c>
      <c r="AI79" s="30">
        <v>35</v>
      </c>
      <c r="AJ79" s="31">
        <v>1.3029121948858799E-4</v>
      </c>
      <c r="AK79" s="30">
        <v>13</v>
      </c>
      <c r="AL79" s="31">
        <v>3.46207825894747E-5</v>
      </c>
      <c r="AM79" s="30">
        <v>13</v>
      </c>
      <c r="AN79" s="31">
        <v>3.20644050572966E-5</v>
      </c>
      <c r="AO79" s="30">
        <v>13</v>
      </c>
      <c r="AP79" s="31">
        <v>3.2095753978639001E-5</v>
      </c>
    </row>
    <row r="80" spans="1:42" x14ac:dyDescent="0.25">
      <c r="A80" s="10" t="s">
        <v>1398</v>
      </c>
      <c r="B80" s="10"/>
      <c r="C80" s="30" t="s">
        <v>80</v>
      </c>
      <c r="D80" s="31"/>
      <c r="E80" s="30" t="s">
        <v>80</v>
      </c>
      <c r="F80" s="31"/>
      <c r="G80" s="30" t="s">
        <v>80</v>
      </c>
      <c r="H80" s="31"/>
      <c r="I80" s="30" t="s">
        <v>80</v>
      </c>
      <c r="J80" s="31"/>
      <c r="K80" s="30" t="s">
        <v>80</v>
      </c>
      <c r="L80" s="31"/>
      <c r="M80" s="30" t="s">
        <v>80</v>
      </c>
      <c r="N80" s="31"/>
      <c r="O80" s="30">
        <v>-2425</v>
      </c>
      <c r="P80" s="31">
        <v>-4.5752990453190499E-2</v>
      </c>
      <c r="Q80" s="30">
        <v>-3183</v>
      </c>
      <c r="R80" s="31">
        <v>-4.96374269005848E-2</v>
      </c>
      <c r="S80" s="30">
        <v>-2558</v>
      </c>
      <c r="T80" s="31">
        <v>-4.1145246903651303E-2</v>
      </c>
      <c r="U80" s="30">
        <v>-1735</v>
      </c>
      <c r="V80" s="31">
        <v>-2.48873970794962E-2</v>
      </c>
      <c r="W80" s="30">
        <v>-1966</v>
      </c>
      <c r="X80" s="31">
        <v>-2.54310735121011E-2</v>
      </c>
      <c r="Y80" s="30">
        <v>-3948</v>
      </c>
      <c r="Z80" s="31">
        <v>-3.5725273730884098E-2</v>
      </c>
      <c r="AA80" s="30">
        <v>-8587</v>
      </c>
      <c r="AB80" s="31">
        <v>-6.2413687837071699E-2</v>
      </c>
      <c r="AC80" s="30">
        <v>-8756</v>
      </c>
      <c r="AD80" s="31">
        <v>-5.8174376964116099E-2</v>
      </c>
      <c r="AE80" s="30">
        <v>-6853</v>
      </c>
      <c r="AF80" s="31">
        <v>-5.1297981915084702E-2</v>
      </c>
      <c r="AG80" s="30">
        <v>-10026</v>
      </c>
      <c r="AH80" s="31">
        <v>-7.44182594173316E-2</v>
      </c>
      <c r="AI80" s="30">
        <v>-12015</v>
      </c>
      <c r="AJ80" s="31">
        <v>-4.4727114347296801E-2</v>
      </c>
      <c r="AK80" s="30">
        <v>-9353</v>
      </c>
      <c r="AL80" s="31">
        <v>-2.49083215045659E-2</v>
      </c>
      <c r="AM80" s="30">
        <v>-9301</v>
      </c>
      <c r="AN80" s="31">
        <v>-2.2940848572147399E-2</v>
      </c>
      <c r="AO80" s="30">
        <v>-9044</v>
      </c>
      <c r="AP80" s="31">
        <v>-2.2328769152523999E-2</v>
      </c>
    </row>
    <row r="81" spans="1:42" x14ac:dyDescent="0.25">
      <c r="A81" s="10" t="s">
        <v>1399</v>
      </c>
      <c r="B81" s="10"/>
      <c r="C81" s="30" t="s">
        <v>80</v>
      </c>
      <c r="D81" s="31"/>
      <c r="E81" s="30" t="s">
        <v>80</v>
      </c>
      <c r="F81" s="31"/>
      <c r="G81" s="30" t="s">
        <v>80</v>
      </c>
      <c r="H81" s="31"/>
      <c r="I81" s="30" t="s">
        <v>80</v>
      </c>
      <c r="J81" s="31"/>
      <c r="K81" s="30" t="s">
        <v>80</v>
      </c>
      <c r="L81" s="31"/>
      <c r="M81" s="30" t="s">
        <v>80</v>
      </c>
      <c r="N81" s="31"/>
      <c r="O81" s="30">
        <v>1</v>
      </c>
      <c r="P81" s="31">
        <v>1.8867212558016701E-5</v>
      </c>
      <c r="Q81" s="30">
        <v>0</v>
      </c>
      <c r="R81" s="31"/>
      <c r="S81" s="30">
        <v>1</v>
      </c>
      <c r="T81" s="31">
        <v>1.60849284220685E-5</v>
      </c>
      <c r="U81" s="30">
        <v>2</v>
      </c>
      <c r="V81" s="31">
        <v>2.8688642166566302E-5</v>
      </c>
      <c r="W81" s="30">
        <v>1</v>
      </c>
      <c r="X81" s="31">
        <v>1.29354392228388E-5</v>
      </c>
      <c r="Y81" s="30">
        <v>2</v>
      </c>
      <c r="Z81" s="31">
        <v>1.8097909691430599E-5</v>
      </c>
      <c r="AA81" s="30">
        <v>3</v>
      </c>
      <c r="AB81" s="31">
        <v>2.1805178002936401E-5</v>
      </c>
      <c r="AC81" s="30">
        <v>3</v>
      </c>
      <c r="AD81" s="31">
        <v>1.9931833130693001E-5</v>
      </c>
      <c r="AE81" s="30">
        <v>2</v>
      </c>
      <c r="AF81" s="31">
        <v>1.49709563446913E-5</v>
      </c>
      <c r="AG81" s="30">
        <v>12</v>
      </c>
      <c r="AH81" s="31">
        <v>8.9070328446836094E-5</v>
      </c>
      <c r="AI81" s="30">
        <v>78</v>
      </c>
      <c r="AJ81" s="31">
        <v>2.9036328914599699E-4</v>
      </c>
      <c r="AK81" s="30">
        <v>85</v>
      </c>
      <c r="AL81" s="31">
        <v>2.2636665539272E-4</v>
      </c>
      <c r="AM81" s="30">
        <v>156</v>
      </c>
      <c r="AN81" s="31">
        <v>3.8477286068755901E-4</v>
      </c>
      <c r="AO81" s="30" t="s">
        <v>80</v>
      </c>
      <c r="AP81" s="31"/>
    </row>
    <row r="82" spans="1:42" x14ac:dyDescent="0.25">
      <c r="A82" s="10" t="s">
        <v>1397</v>
      </c>
      <c r="B82" s="10"/>
      <c r="C82" s="30" t="s">
        <v>80</v>
      </c>
      <c r="D82" s="31"/>
      <c r="E82" s="30" t="s">
        <v>80</v>
      </c>
      <c r="F82" s="31"/>
      <c r="G82" s="30" t="s">
        <v>80</v>
      </c>
      <c r="H82" s="31"/>
      <c r="I82" s="30" t="s">
        <v>80</v>
      </c>
      <c r="J82" s="31"/>
      <c r="K82" s="30" t="s">
        <v>80</v>
      </c>
      <c r="L82" s="31"/>
      <c r="M82" s="30" t="s">
        <v>80</v>
      </c>
      <c r="N82" s="31"/>
      <c r="O82" s="30">
        <v>22</v>
      </c>
      <c r="P82" s="31">
        <v>4.1507867627636698E-4</v>
      </c>
      <c r="Q82" s="30">
        <v>19</v>
      </c>
      <c r="R82" s="31">
        <v>2.9629629629629602E-4</v>
      </c>
      <c r="S82" s="30">
        <v>18</v>
      </c>
      <c r="T82" s="31">
        <v>2.8952871159723301E-4</v>
      </c>
      <c r="U82" s="30" t="s">
        <v>80</v>
      </c>
      <c r="V82" s="31"/>
      <c r="W82" s="30" t="s">
        <v>80</v>
      </c>
      <c r="X82" s="31"/>
      <c r="Y82" s="30" t="s">
        <v>80</v>
      </c>
      <c r="Z82" s="31"/>
      <c r="AA82" s="30" t="s">
        <v>80</v>
      </c>
      <c r="AB82" s="31"/>
      <c r="AC82" s="30">
        <v>1246</v>
      </c>
      <c r="AD82" s="31">
        <v>8.2783546936145008E-3</v>
      </c>
      <c r="AE82" s="30">
        <v>831</v>
      </c>
      <c r="AF82" s="31">
        <v>6.2204323612192296E-3</v>
      </c>
      <c r="AG82" s="30">
        <v>831</v>
      </c>
      <c r="AH82" s="31">
        <v>6.1681202449433998E-3</v>
      </c>
      <c r="AI82" s="30">
        <v>208</v>
      </c>
      <c r="AJ82" s="31">
        <v>7.7430210438932503E-4</v>
      </c>
      <c r="AK82" s="30">
        <v>0</v>
      </c>
      <c r="AL82" s="31"/>
      <c r="AM82" s="30">
        <v>0</v>
      </c>
      <c r="AN82" s="31"/>
      <c r="AO82" s="30" t="s">
        <v>80</v>
      </c>
      <c r="AP82" s="31"/>
    </row>
    <row r="83" spans="1:42" x14ac:dyDescent="0.25">
      <c r="A83" s="10" t="s">
        <v>1408</v>
      </c>
      <c r="B83" s="10"/>
      <c r="C83" s="30" t="s">
        <v>80</v>
      </c>
      <c r="D83" s="31"/>
      <c r="E83" s="30" t="s">
        <v>80</v>
      </c>
      <c r="F83" s="31"/>
      <c r="G83" s="30" t="s">
        <v>80</v>
      </c>
      <c r="H83" s="31"/>
      <c r="I83" s="30" t="s">
        <v>80</v>
      </c>
      <c r="J83" s="31"/>
      <c r="K83" s="30" t="s">
        <v>80</v>
      </c>
      <c r="L83" s="31"/>
      <c r="M83" s="30" t="s">
        <v>80</v>
      </c>
      <c r="N83" s="31"/>
      <c r="O83" s="30" t="s">
        <v>80</v>
      </c>
      <c r="P83" s="31"/>
      <c r="Q83" s="30" t="s">
        <v>80</v>
      </c>
      <c r="R83" s="31"/>
      <c r="S83" s="30" t="s">
        <v>80</v>
      </c>
      <c r="T83" s="31"/>
      <c r="U83" s="30" t="s">
        <v>80</v>
      </c>
      <c r="V83" s="31"/>
      <c r="W83" s="30" t="s">
        <v>80</v>
      </c>
      <c r="X83" s="31"/>
      <c r="Y83" s="30">
        <v>-0.7</v>
      </c>
      <c r="Z83" s="31"/>
      <c r="AA83" s="30">
        <v>1</v>
      </c>
      <c r="AB83" s="31"/>
      <c r="AC83" s="30" t="s">
        <v>80</v>
      </c>
      <c r="AD83" s="31"/>
      <c r="AE83" s="30">
        <v>1</v>
      </c>
      <c r="AF83" s="31"/>
      <c r="AG83" s="30">
        <v>0</v>
      </c>
      <c r="AH83" s="31"/>
      <c r="AI83" s="30">
        <v>-1</v>
      </c>
      <c r="AJ83" s="31"/>
      <c r="AK83" s="30" t="s">
        <v>80</v>
      </c>
      <c r="AL83" s="31"/>
      <c r="AM83" s="30">
        <v>-1</v>
      </c>
      <c r="AN83" s="31"/>
      <c r="AO83" s="30" t="s">
        <v>80</v>
      </c>
      <c r="AP83" s="31"/>
    </row>
    <row r="84" spans="1:42" x14ac:dyDescent="0.25">
      <c r="A84" s="10" t="s">
        <v>1391</v>
      </c>
      <c r="B84" s="10"/>
      <c r="C84" s="30" t="s">
        <v>80</v>
      </c>
      <c r="D84" s="31"/>
      <c r="E84" s="30" t="s">
        <v>80</v>
      </c>
      <c r="F84" s="31"/>
      <c r="G84" s="30" t="s">
        <v>80</v>
      </c>
      <c r="H84" s="31"/>
      <c r="I84" s="30" t="s">
        <v>80</v>
      </c>
      <c r="J84" s="31"/>
      <c r="K84" s="30" t="s">
        <v>80</v>
      </c>
      <c r="L84" s="31"/>
      <c r="M84" s="30" t="s">
        <v>80</v>
      </c>
      <c r="N84" s="31"/>
      <c r="O84" s="30">
        <v>1957</v>
      </c>
      <c r="P84" s="31">
        <v>3.69231349760386E-2</v>
      </c>
      <c r="Q84" s="30" t="s">
        <v>80</v>
      </c>
      <c r="R84" s="31"/>
      <c r="S84" s="30" t="s">
        <v>80</v>
      </c>
      <c r="T84" s="31"/>
      <c r="U84" s="30" t="s">
        <v>80</v>
      </c>
      <c r="V84" s="31"/>
      <c r="W84" s="30" t="s">
        <v>80</v>
      </c>
      <c r="X84" s="31"/>
      <c r="Y84" s="30" t="s">
        <v>80</v>
      </c>
      <c r="Z84" s="31"/>
      <c r="AA84" s="30" t="s">
        <v>80</v>
      </c>
      <c r="AB84" s="31"/>
      <c r="AC84" s="30" t="s">
        <v>80</v>
      </c>
      <c r="AD84" s="31"/>
      <c r="AE84" s="30" t="s">
        <v>80</v>
      </c>
      <c r="AF84" s="31"/>
      <c r="AG84" s="30" t="s">
        <v>80</v>
      </c>
      <c r="AH84" s="31"/>
      <c r="AI84" s="30" t="s">
        <v>80</v>
      </c>
      <c r="AJ84" s="31"/>
      <c r="AK84" s="30" t="s">
        <v>80</v>
      </c>
      <c r="AL84" s="31"/>
      <c r="AM84" s="30" t="s">
        <v>80</v>
      </c>
      <c r="AN84" s="31"/>
      <c r="AO84" s="30" t="s">
        <v>80</v>
      </c>
      <c r="AP84" s="31"/>
    </row>
    <row r="85" spans="1:42" x14ac:dyDescent="0.25">
      <c r="A85" s="10" t="s">
        <v>1392</v>
      </c>
      <c r="B85" s="10"/>
      <c r="C85" s="30" t="s">
        <v>80</v>
      </c>
      <c r="D85" s="31"/>
      <c r="E85" s="30" t="s">
        <v>80</v>
      </c>
      <c r="F85" s="31"/>
      <c r="G85" s="30" t="s">
        <v>80</v>
      </c>
      <c r="H85" s="31"/>
      <c r="I85" s="30" t="s">
        <v>80</v>
      </c>
      <c r="J85" s="31"/>
      <c r="K85" s="30" t="s">
        <v>80</v>
      </c>
      <c r="L85" s="31"/>
      <c r="M85" s="30" t="s">
        <v>80</v>
      </c>
      <c r="N85" s="31"/>
      <c r="O85" s="30">
        <v>13</v>
      </c>
      <c r="P85" s="31">
        <v>2.45273763254217E-4</v>
      </c>
      <c r="Q85" s="30">
        <v>12</v>
      </c>
      <c r="R85" s="31">
        <v>1.87134502923977E-4</v>
      </c>
      <c r="S85" s="30">
        <v>26</v>
      </c>
      <c r="T85" s="31">
        <v>4.1820813897378202E-4</v>
      </c>
      <c r="U85" s="30" t="s">
        <v>80</v>
      </c>
      <c r="V85" s="31"/>
      <c r="W85" s="30" t="s">
        <v>80</v>
      </c>
      <c r="X85" s="31"/>
      <c r="Y85" s="30" t="s">
        <v>80</v>
      </c>
      <c r="Z85" s="31"/>
      <c r="AA85" s="30" t="s">
        <v>80</v>
      </c>
      <c r="AB85" s="31"/>
      <c r="AC85" s="30" t="s">
        <v>80</v>
      </c>
      <c r="AD85" s="31"/>
      <c r="AE85" s="30" t="s">
        <v>80</v>
      </c>
      <c r="AF85" s="31"/>
      <c r="AG85" s="30" t="s">
        <v>80</v>
      </c>
      <c r="AH85" s="31"/>
      <c r="AI85" s="30" t="s">
        <v>80</v>
      </c>
      <c r="AJ85" s="31"/>
      <c r="AK85" s="30" t="s">
        <v>80</v>
      </c>
      <c r="AL85" s="31"/>
      <c r="AM85" s="30" t="s">
        <v>80</v>
      </c>
      <c r="AN85" s="31"/>
      <c r="AO85" s="30" t="s">
        <v>80</v>
      </c>
      <c r="AP85" s="31"/>
    </row>
    <row r="86" spans="1:42" x14ac:dyDescent="0.25">
      <c r="A86" s="10" t="s">
        <v>1393</v>
      </c>
      <c r="B86" s="10"/>
      <c r="C86" s="30" t="s">
        <v>80</v>
      </c>
      <c r="D86" s="31"/>
      <c r="E86" s="30" t="s">
        <v>80</v>
      </c>
      <c r="F86" s="31"/>
      <c r="G86" s="30" t="s">
        <v>80</v>
      </c>
      <c r="H86" s="31"/>
      <c r="I86" s="30" t="s">
        <v>80</v>
      </c>
      <c r="J86" s="31"/>
      <c r="K86" s="30" t="s">
        <v>80</v>
      </c>
      <c r="L86" s="31"/>
      <c r="M86" s="30" t="s">
        <v>80</v>
      </c>
      <c r="N86" s="31"/>
      <c r="O86" s="30">
        <v>352</v>
      </c>
      <c r="P86" s="31">
        <v>6.6412588204218699E-3</v>
      </c>
      <c r="Q86" s="30">
        <v>364</v>
      </c>
      <c r="R86" s="31">
        <v>5.6764132553606197E-3</v>
      </c>
      <c r="S86" s="30" t="s">
        <v>80</v>
      </c>
      <c r="T86" s="31"/>
      <c r="U86" s="30" t="s">
        <v>80</v>
      </c>
      <c r="V86" s="31"/>
      <c r="W86" s="30" t="s">
        <v>80</v>
      </c>
      <c r="X86" s="31"/>
      <c r="Y86" s="30" t="s">
        <v>80</v>
      </c>
      <c r="Z86" s="31"/>
      <c r="AA86" s="30" t="s">
        <v>80</v>
      </c>
      <c r="AB86" s="31"/>
      <c r="AC86" s="30" t="s">
        <v>80</v>
      </c>
      <c r="AD86" s="31"/>
      <c r="AE86" s="30" t="s">
        <v>80</v>
      </c>
      <c r="AF86" s="31"/>
      <c r="AG86" s="30" t="s">
        <v>80</v>
      </c>
      <c r="AH86" s="31"/>
      <c r="AI86" s="30" t="s">
        <v>80</v>
      </c>
      <c r="AJ86" s="31"/>
      <c r="AK86" s="30" t="s">
        <v>80</v>
      </c>
      <c r="AL86" s="31"/>
      <c r="AM86" s="30" t="s">
        <v>80</v>
      </c>
      <c r="AN86" s="31"/>
      <c r="AO86" s="30" t="s">
        <v>80</v>
      </c>
      <c r="AP86" s="31"/>
    </row>
    <row r="87" spans="1:42" x14ac:dyDescent="0.25">
      <c r="A87" s="10" t="s">
        <v>1394</v>
      </c>
      <c r="B87" s="10"/>
      <c r="C87" s="30" t="s">
        <v>80</v>
      </c>
      <c r="D87" s="31"/>
      <c r="E87" s="30" t="s">
        <v>80</v>
      </c>
      <c r="F87" s="31"/>
      <c r="G87" s="30" t="s">
        <v>80</v>
      </c>
      <c r="H87" s="31"/>
      <c r="I87" s="30" t="s">
        <v>80</v>
      </c>
      <c r="J87" s="31"/>
      <c r="K87" s="30" t="s">
        <v>80</v>
      </c>
      <c r="L87" s="31"/>
      <c r="M87" s="30" t="s">
        <v>80</v>
      </c>
      <c r="N87" s="31"/>
      <c r="O87" s="30">
        <v>351</v>
      </c>
      <c r="P87" s="31">
        <v>6.6223916078638496E-3</v>
      </c>
      <c r="Q87" s="30">
        <v>427</v>
      </c>
      <c r="R87" s="31">
        <v>6.6588693957114996E-3</v>
      </c>
      <c r="S87" s="30" t="s">
        <v>80</v>
      </c>
      <c r="T87" s="31"/>
      <c r="U87" s="30" t="s">
        <v>80</v>
      </c>
      <c r="V87" s="31"/>
      <c r="W87" s="30" t="s">
        <v>80</v>
      </c>
      <c r="X87" s="31"/>
      <c r="Y87" s="30" t="s">
        <v>80</v>
      </c>
      <c r="Z87" s="31"/>
      <c r="AA87" s="30" t="s">
        <v>80</v>
      </c>
      <c r="AB87" s="31"/>
      <c r="AC87" s="30" t="s">
        <v>80</v>
      </c>
      <c r="AD87" s="31"/>
      <c r="AE87" s="30" t="s">
        <v>80</v>
      </c>
      <c r="AF87" s="31"/>
      <c r="AG87" s="30" t="s">
        <v>80</v>
      </c>
      <c r="AH87" s="31"/>
      <c r="AI87" s="30" t="s">
        <v>80</v>
      </c>
      <c r="AJ87" s="31"/>
      <c r="AK87" s="30" t="s">
        <v>80</v>
      </c>
      <c r="AL87" s="31"/>
      <c r="AM87" s="30" t="s">
        <v>80</v>
      </c>
      <c r="AN87" s="31"/>
      <c r="AO87" s="30" t="s">
        <v>80</v>
      </c>
      <c r="AP87" s="31"/>
    </row>
    <row r="88" spans="1:42" x14ac:dyDescent="0.25">
      <c r="A88" s="10" t="s">
        <v>1396</v>
      </c>
      <c r="B88" s="10"/>
      <c r="C88" s="30" t="s">
        <v>80</v>
      </c>
      <c r="D88" s="31"/>
      <c r="E88" s="30" t="s">
        <v>80</v>
      </c>
      <c r="F88" s="31"/>
      <c r="G88" s="30" t="s">
        <v>80</v>
      </c>
      <c r="H88" s="31"/>
      <c r="I88" s="30" t="s">
        <v>80</v>
      </c>
      <c r="J88" s="31"/>
      <c r="K88" s="30" t="s">
        <v>80</v>
      </c>
      <c r="L88" s="31"/>
      <c r="M88" s="30" t="s">
        <v>80</v>
      </c>
      <c r="N88" s="31"/>
      <c r="O88" s="30">
        <v>4047</v>
      </c>
      <c r="P88" s="31">
        <v>7.6355609222293494E-2</v>
      </c>
      <c r="Q88" s="30">
        <v>5770</v>
      </c>
      <c r="R88" s="31">
        <v>8.9980506822612105E-2</v>
      </c>
      <c r="S88" s="30" t="s">
        <v>80</v>
      </c>
      <c r="T88" s="31"/>
      <c r="U88" s="30" t="s">
        <v>80</v>
      </c>
      <c r="V88" s="31"/>
      <c r="W88" s="30" t="s">
        <v>80</v>
      </c>
      <c r="X88" s="31"/>
      <c r="Y88" s="30" t="s">
        <v>80</v>
      </c>
      <c r="Z88" s="31"/>
      <c r="AA88" s="30" t="s">
        <v>80</v>
      </c>
      <c r="AB88" s="31"/>
      <c r="AC88" s="30" t="s">
        <v>80</v>
      </c>
      <c r="AD88" s="31"/>
      <c r="AE88" s="30" t="s">
        <v>80</v>
      </c>
      <c r="AF88" s="31"/>
      <c r="AG88" s="30" t="s">
        <v>80</v>
      </c>
      <c r="AH88" s="31"/>
      <c r="AI88" s="30" t="s">
        <v>80</v>
      </c>
      <c r="AJ88" s="31"/>
      <c r="AK88" s="30" t="s">
        <v>80</v>
      </c>
      <c r="AL88" s="31"/>
      <c r="AM88" s="30" t="s">
        <v>80</v>
      </c>
      <c r="AN88" s="31"/>
      <c r="AO88" s="30" t="s">
        <v>80</v>
      </c>
      <c r="AP88" s="31"/>
    </row>
    <row r="89" spans="1:42" x14ac:dyDescent="0.25">
      <c r="A89" s="10" t="s">
        <v>1412</v>
      </c>
      <c r="B89" s="10"/>
      <c r="C89" s="30" t="s">
        <v>80</v>
      </c>
      <c r="D89" s="31"/>
      <c r="E89" s="30" t="s">
        <v>80</v>
      </c>
      <c r="F89" s="31"/>
      <c r="G89" s="30" t="s">
        <v>80</v>
      </c>
      <c r="H89" s="31"/>
      <c r="I89" s="30" t="s">
        <v>80</v>
      </c>
      <c r="J89" s="31"/>
      <c r="K89" s="30" t="s">
        <v>80</v>
      </c>
      <c r="L89" s="31"/>
      <c r="M89" s="30" t="s">
        <v>80</v>
      </c>
      <c r="N89" s="31"/>
      <c r="O89" s="30" t="s">
        <v>80</v>
      </c>
      <c r="P89" s="31"/>
      <c r="Q89" s="30" t="s">
        <v>80</v>
      </c>
      <c r="R89" s="31"/>
      <c r="S89" s="30" t="s">
        <v>80</v>
      </c>
      <c r="T89" s="31"/>
      <c r="U89" s="30">
        <v>569</v>
      </c>
      <c r="V89" s="31">
        <v>8.1619186963881006E-3</v>
      </c>
      <c r="W89" s="30">
        <v>384</v>
      </c>
      <c r="X89" s="31">
        <v>4.9672086615700998E-3</v>
      </c>
      <c r="Y89" s="30">
        <v>652</v>
      </c>
      <c r="Z89" s="31">
        <v>5.8999185594063898E-3</v>
      </c>
      <c r="AA89" s="30">
        <v>599</v>
      </c>
      <c r="AB89" s="31">
        <v>4.3537672079196404E-3</v>
      </c>
      <c r="AC89" s="30">
        <v>388</v>
      </c>
      <c r="AD89" s="31">
        <v>2.5778504182363002E-3</v>
      </c>
      <c r="AE89" s="30" t="s">
        <v>80</v>
      </c>
      <c r="AF89" s="31"/>
      <c r="AG89" s="30" t="s">
        <v>80</v>
      </c>
      <c r="AH89" s="31"/>
      <c r="AI89" s="30" t="s">
        <v>80</v>
      </c>
      <c r="AJ89" s="31"/>
      <c r="AK89" s="30" t="s">
        <v>80</v>
      </c>
      <c r="AL89" s="31"/>
      <c r="AM89" s="30" t="s">
        <v>80</v>
      </c>
      <c r="AN89" s="31"/>
      <c r="AO89" s="30" t="s">
        <v>80</v>
      </c>
      <c r="AP89" s="31"/>
    </row>
    <row r="90" spans="1:42" x14ac:dyDescent="0.25">
      <c r="A90" s="10" t="s">
        <v>1403</v>
      </c>
      <c r="B90" s="10"/>
      <c r="C90" s="30" t="s">
        <v>80</v>
      </c>
      <c r="D90" s="31"/>
      <c r="E90" s="30" t="s">
        <v>80</v>
      </c>
      <c r="F90" s="31"/>
      <c r="G90" s="30" t="s">
        <v>80</v>
      </c>
      <c r="H90" s="31"/>
      <c r="I90" s="30" t="s">
        <v>80</v>
      </c>
      <c r="J90" s="31"/>
      <c r="K90" s="30" t="s">
        <v>80</v>
      </c>
      <c r="L90" s="31"/>
      <c r="M90" s="30" t="s">
        <v>80</v>
      </c>
      <c r="N90" s="31"/>
      <c r="O90" s="30">
        <v>413</v>
      </c>
      <c r="P90" s="31">
        <v>7.7921587864608899E-3</v>
      </c>
      <c r="Q90" s="30">
        <v>461</v>
      </c>
      <c r="R90" s="31">
        <v>7.1890838206627701E-3</v>
      </c>
      <c r="S90" s="30">
        <v>461</v>
      </c>
      <c r="T90" s="31">
        <v>7.4151520025735902E-3</v>
      </c>
      <c r="U90" s="30" t="s">
        <v>80</v>
      </c>
      <c r="V90" s="31"/>
      <c r="W90" s="30" t="s">
        <v>80</v>
      </c>
      <c r="X90" s="31"/>
      <c r="Y90" s="30" t="s">
        <v>80</v>
      </c>
      <c r="Z90" s="31"/>
      <c r="AA90" s="30" t="s">
        <v>80</v>
      </c>
      <c r="AB90" s="31"/>
      <c r="AC90" s="30" t="s">
        <v>80</v>
      </c>
      <c r="AD90" s="31"/>
      <c r="AE90" s="30" t="s">
        <v>80</v>
      </c>
      <c r="AF90" s="31"/>
      <c r="AG90" s="30" t="s">
        <v>80</v>
      </c>
      <c r="AH90" s="31"/>
      <c r="AI90" s="30" t="s">
        <v>80</v>
      </c>
      <c r="AJ90" s="31"/>
      <c r="AK90" s="30" t="s">
        <v>80</v>
      </c>
      <c r="AL90" s="31"/>
      <c r="AM90" s="30" t="s">
        <v>80</v>
      </c>
      <c r="AN90" s="31"/>
      <c r="AO90" s="30" t="s">
        <v>80</v>
      </c>
      <c r="AP90" s="31"/>
    </row>
    <row r="91" spans="1:42" x14ac:dyDescent="0.25">
      <c r="A91" s="10" t="s">
        <v>1405</v>
      </c>
      <c r="B91" s="10"/>
      <c r="C91" s="30" t="s">
        <v>80</v>
      </c>
      <c r="D91" s="31"/>
      <c r="E91" s="30" t="s">
        <v>80</v>
      </c>
      <c r="F91" s="31"/>
      <c r="G91" s="30" t="s">
        <v>80</v>
      </c>
      <c r="H91" s="31"/>
      <c r="I91" s="30" t="s">
        <v>80</v>
      </c>
      <c r="J91" s="31"/>
      <c r="K91" s="30" t="s">
        <v>80</v>
      </c>
      <c r="L91" s="31"/>
      <c r="M91" s="30" t="s">
        <v>80</v>
      </c>
      <c r="N91" s="31"/>
      <c r="O91" s="30">
        <v>1412</v>
      </c>
      <c r="P91" s="31">
        <v>2.6640504131919599E-2</v>
      </c>
      <c r="Q91" s="30">
        <v>1774</v>
      </c>
      <c r="R91" s="31">
        <v>2.7664717348927899E-2</v>
      </c>
      <c r="S91" s="30">
        <v>2103</v>
      </c>
      <c r="T91" s="31">
        <v>3.3826604471610101E-2</v>
      </c>
      <c r="U91" s="30" t="s">
        <v>80</v>
      </c>
      <c r="V91" s="31"/>
      <c r="W91" s="30" t="s">
        <v>80</v>
      </c>
      <c r="X91" s="31"/>
      <c r="Y91" s="30" t="s">
        <v>80</v>
      </c>
      <c r="Z91" s="31"/>
      <c r="AA91" s="30" t="s">
        <v>80</v>
      </c>
      <c r="AB91" s="31"/>
      <c r="AC91" s="30" t="s">
        <v>80</v>
      </c>
      <c r="AD91" s="31"/>
      <c r="AE91" s="30" t="s">
        <v>80</v>
      </c>
      <c r="AF91" s="31"/>
      <c r="AG91" s="30" t="s">
        <v>80</v>
      </c>
      <c r="AH91" s="31"/>
      <c r="AI91" s="30" t="s">
        <v>80</v>
      </c>
      <c r="AJ91" s="31"/>
      <c r="AK91" s="30" t="s">
        <v>80</v>
      </c>
      <c r="AL91" s="31"/>
      <c r="AM91" s="30" t="s">
        <v>80</v>
      </c>
      <c r="AN91" s="31"/>
      <c r="AO91" s="30" t="s">
        <v>80</v>
      </c>
      <c r="AP91" s="31"/>
    </row>
    <row r="92" spans="1:42" x14ac:dyDescent="0.25">
      <c r="A92" s="6" t="s">
        <v>463</v>
      </c>
      <c r="B92" s="6"/>
      <c r="C92" s="34">
        <v>5050</v>
      </c>
      <c r="D92" s="35">
        <v>1</v>
      </c>
      <c r="E92" s="34">
        <v>5960</v>
      </c>
      <c r="F92" s="35">
        <v>1</v>
      </c>
      <c r="G92" s="34">
        <v>6809</v>
      </c>
      <c r="H92" s="35">
        <v>1</v>
      </c>
      <c r="I92" s="34">
        <v>7646</v>
      </c>
      <c r="J92" s="35">
        <v>1</v>
      </c>
      <c r="K92" s="34">
        <v>5854</v>
      </c>
      <c r="L92" s="35">
        <v>1</v>
      </c>
      <c r="M92" s="34">
        <v>6705</v>
      </c>
      <c r="N92" s="35">
        <v>1</v>
      </c>
      <c r="O92" s="34">
        <v>8517</v>
      </c>
      <c r="P92" s="35">
        <v>1</v>
      </c>
      <c r="Q92" s="34">
        <v>10888</v>
      </c>
      <c r="R92" s="35">
        <v>1</v>
      </c>
      <c r="S92" s="34">
        <v>13508</v>
      </c>
      <c r="T92" s="35">
        <v>1</v>
      </c>
      <c r="U92" s="34">
        <v>14898</v>
      </c>
      <c r="V92" s="35">
        <v>1</v>
      </c>
      <c r="W92" s="34">
        <v>19308</v>
      </c>
      <c r="X92" s="35">
        <v>1</v>
      </c>
      <c r="Y92" s="34">
        <v>23908</v>
      </c>
      <c r="Z92" s="35">
        <v>1</v>
      </c>
      <c r="AA92" s="34">
        <v>31958</v>
      </c>
      <c r="AB92" s="35">
        <v>1</v>
      </c>
      <c r="AC92" s="34">
        <v>36528</v>
      </c>
      <c r="AD92" s="35">
        <v>1</v>
      </c>
      <c r="AE92" s="34">
        <v>30508</v>
      </c>
      <c r="AF92" s="35">
        <v>1</v>
      </c>
      <c r="AG92" s="34">
        <v>35048</v>
      </c>
      <c r="AH92" s="35">
        <v>1</v>
      </c>
      <c r="AI92" s="34">
        <v>45408</v>
      </c>
      <c r="AJ92" s="35">
        <v>1</v>
      </c>
      <c r="AK92" s="34">
        <v>52418.2</v>
      </c>
      <c r="AL92" s="35">
        <v>1</v>
      </c>
      <c r="AM92" s="34">
        <v>56188</v>
      </c>
      <c r="AN92" s="35">
        <v>1</v>
      </c>
      <c r="AO92" s="34">
        <v>58788</v>
      </c>
      <c r="AP92" s="35">
        <v>1</v>
      </c>
    </row>
    <row r="93" spans="1:42" x14ac:dyDescent="0.25">
      <c r="A93" s="10" t="s">
        <v>1401</v>
      </c>
      <c r="B93" s="10"/>
      <c r="C93" s="30">
        <v>5719</v>
      </c>
      <c r="D93" s="31">
        <v>0.53563735131591295</v>
      </c>
      <c r="E93" s="30">
        <v>5959</v>
      </c>
      <c r="F93" s="31">
        <v>0.51512793914246202</v>
      </c>
      <c r="G93" s="30">
        <v>6810</v>
      </c>
      <c r="H93" s="31">
        <v>0.50515540390178804</v>
      </c>
      <c r="I93" s="30">
        <v>5</v>
      </c>
      <c r="J93" s="31">
        <v>6.5393669892754402E-4</v>
      </c>
      <c r="K93" s="30" t="s">
        <v>80</v>
      </c>
      <c r="L93" s="31"/>
      <c r="M93" s="30" t="s">
        <v>80</v>
      </c>
      <c r="N93" s="31"/>
      <c r="O93" s="30">
        <v>8128</v>
      </c>
      <c r="P93" s="31">
        <v>0.954550792718732</v>
      </c>
      <c r="Q93" s="30">
        <v>9238</v>
      </c>
      <c r="R93" s="31">
        <v>0.94739001128089395</v>
      </c>
      <c r="S93" s="30">
        <v>13754</v>
      </c>
      <c r="T93" s="31">
        <v>1.04824327414069</v>
      </c>
      <c r="U93" s="30">
        <v>17093</v>
      </c>
      <c r="V93" s="31">
        <v>1.1503465912914701</v>
      </c>
      <c r="W93" s="30">
        <v>19292</v>
      </c>
      <c r="X93" s="31">
        <v>1.00114167099118</v>
      </c>
      <c r="Y93" s="30">
        <v>23889</v>
      </c>
      <c r="Z93" s="31">
        <v>1.0061068059299201</v>
      </c>
      <c r="AA93" s="30">
        <v>31837</v>
      </c>
      <c r="AB93" s="31">
        <v>0.99702492797193998</v>
      </c>
      <c r="AC93" s="30">
        <v>36487</v>
      </c>
      <c r="AD93" s="31">
        <v>1.02592436384085</v>
      </c>
      <c r="AE93" s="30">
        <v>30484</v>
      </c>
      <c r="AF93" s="31">
        <v>1.0245689510301501</v>
      </c>
      <c r="AG93" s="30">
        <v>35033</v>
      </c>
      <c r="AH93" s="31">
        <v>1.01854920773368</v>
      </c>
      <c r="AI93" s="30">
        <v>45415</v>
      </c>
      <c r="AJ93" s="31">
        <v>0.97436172495172702</v>
      </c>
      <c r="AK93" s="30">
        <v>52422</v>
      </c>
      <c r="AL93" s="31">
        <v>0.96411822044029205</v>
      </c>
      <c r="AM93" s="30">
        <v>56188</v>
      </c>
      <c r="AN93" s="31">
        <v>0.98105564576676596</v>
      </c>
      <c r="AO93" s="30">
        <v>58788</v>
      </c>
      <c r="AP93" s="31">
        <v>0.96241241568987002</v>
      </c>
    </row>
    <row r="94" spans="1:42" x14ac:dyDescent="0.25">
      <c r="A94" s="10" t="s">
        <v>1406</v>
      </c>
      <c r="B94" s="10"/>
      <c r="C94" s="30">
        <v>4743</v>
      </c>
      <c r="D94" s="31">
        <v>0.44422590615341401</v>
      </c>
      <c r="E94" s="30">
        <v>5185</v>
      </c>
      <c r="F94" s="31">
        <v>0.44821922544951598</v>
      </c>
      <c r="G94" s="30">
        <v>6151</v>
      </c>
      <c r="H94" s="31">
        <v>0.45627178992656298</v>
      </c>
      <c r="I94" s="30">
        <v>6543</v>
      </c>
      <c r="J94" s="31">
        <v>0.85574156421658398</v>
      </c>
      <c r="K94" s="30">
        <v>5132</v>
      </c>
      <c r="L94" s="31">
        <v>0.78567054500918598</v>
      </c>
      <c r="M94" s="30">
        <v>6035</v>
      </c>
      <c r="N94" s="31">
        <v>0.76967223568422405</v>
      </c>
      <c r="O94" s="30">
        <v>6972</v>
      </c>
      <c r="P94" s="31">
        <v>0.81879036993540799</v>
      </c>
      <c r="Q94" s="30">
        <v>9419</v>
      </c>
      <c r="R94" s="31">
        <v>0.96595221002974097</v>
      </c>
      <c r="S94" s="30">
        <v>12122</v>
      </c>
      <c r="T94" s="31">
        <v>0.92386251047938395</v>
      </c>
      <c r="U94" s="30">
        <v>13518</v>
      </c>
      <c r="V94" s="31">
        <v>0.90975166565717702</v>
      </c>
      <c r="W94" s="30">
        <v>15044</v>
      </c>
      <c r="X94" s="31">
        <v>0.78069538142189898</v>
      </c>
      <c r="Y94" s="30">
        <v>18339</v>
      </c>
      <c r="Z94" s="31">
        <v>0.77236354447439304</v>
      </c>
      <c r="AA94" s="30">
        <v>24834</v>
      </c>
      <c r="AB94" s="31">
        <v>0.77771514468244995</v>
      </c>
      <c r="AC94" s="30">
        <v>27493</v>
      </c>
      <c r="AD94" s="31">
        <v>0.77303528750175698</v>
      </c>
      <c r="AE94" s="30">
        <v>20384</v>
      </c>
      <c r="AF94" s="31">
        <v>0.68510738412933103</v>
      </c>
      <c r="AG94" s="30">
        <v>26086</v>
      </c>
      <c r="AH94" s="31">
        <v>0.75842418956243596</v>
      </c>
      <c r="AI94" s="30">
        <v>34549</v>
      </c>
      <c r="AJ94" s="31">
        <v>0.74123578631194997</v>
      </c>
      <c r="AK94" s="30">
        <v>41946</v>
      </c>
      <c r="AL94" s="31">
        <v>0.77144906479318798</v>
      </c>
      <c r="AM94" s="30">
        <v>43873</v>
      </c>
      <c r="AN94" s="31">
        <v>0.76603286016098304</v>
      </c>
      <c r="AO94" s="30">
        <v>47320</v>
      </c>
      <c r="AP94" s="31">
        <v>0.77467094492829502</v>
      </c>
    </row>
    <row r="95" spans="1:42" x14ac:dyDescent="0.25">
      <c r="A95" s="10" t="s">
        <v>1397</v>
      </c>
      <c r="B95" s="10"/>
      <c r="C95" s="30" t="s">
        <v>80</v>
      </c>
      <c r="D95" s="31"/>
      <c r="E95" s="30" t="s">
        <v>80</v>
      </c>
      <c r="F95" s="31"/>
      <c r="G95" s="30" t="s">
        <v>80</v>
      </c>
      <c r="H95" s="31"/>
      <c r="I95" s="30" t="s">
        <v>80</v>
      </c>
      <c r="J95" s="31"/>
      <c r="K95" s="30" t="s">
        <v>80</v>
      </c>
      <c r="L95" s="31"/>
      <c r="M95" s="30" t="s">
        <v>80</v>
      </c>
      <c r="N95" s="31"/>
      <c r="O95" s="30">
        <v>19040</v>
      </c>
      <c r="P95" s="31">
        <v>2.2360540223135601</v>
      </c>
      <c r="Q95" s="30">
        <v>7284</v>
      </c>
      <c r="R95" s="31">
        <v>0.74700030766075298</v>
      </c>
      <c r="S95" s="30">
        <v>5546</v>
      </c>
      <c r="T95" s="31">
        <v>0.42268119807941501</v>
      </c>
      <c r="U95" s="30">
        <v>4482</v>
      </c>
      <c r="V95" s="31">
        <v>0.30163537250151401</v>
      </c>
      <c r="W95" s="30">
        <v>4849</v>
      </c>
      <c r="X95" s="31">
        <v>0.25163466528282302</v>
      </c>
      <c r="Y95" s="30">
        <v>7128</v>
      </c>
      <c r="Z95" s="31">
        <v>0.30020215633423197</v>
      </c>
      <c r="AA95" s="30">
        <v>12513</v>
      </c>
      <c r="AB95" s="31">
        <v>0.39186396091694897</v>
      </c>
      <c r="AC95" s="30">
        <v>12697</v>
      </c>
      <c r="AD95" s="31">
        <v>0.35700829467172801</v>
      </c>
      <c r="AE95" s="30">
        <v>10324</v>
      </c>
      <c r="AF95" s="31">
        <v>0.34699021947366698</v>
      </c>
      <c r="AG95" s="30">
        <v>13456</v>
      </c>
      <c r="AH95" s="31">
        <v>0.39121965401948</v>
      </c>
      <c r="AI95" s="30">
        <v>16433</v>
      </c>
      <c r="AJ95" s="31">
        <v>0.35256382750482701</v>
      </c>
      <c r="AK95" s="30">
        <v>15746</v>
      </c>
      <c r="AL95" s="31">
        <v>0.28959226086476703</v>
      </c>
      <c r="AM95" s="30">
        <v>17401</v>
      </c>
      <c r="AN95" s="31">
        <v>0.30382553733871098</v>
      </c>
      <c r="AO95" s="30">
        <v>18781</v>
      </c>
      <c r="AP95" s="31">
        <v>0.30746185580512098</v>
      </c>
    </row>
    <row r="96" spans="1:42" x14ac:dyDescent="0.25">
      <c r="A96" s="10" t="s">
        <v>1409</v>
      </c>
      <c r="B96" s="10"/>
      <c r="C96" s="30" t="s">
        <v>80</v>
      </c>
      <c r="D96" s="31"/>
      <c r="E96" s="30" t="s">
        <v>80</v>
      </c>
      <c r="F96" s="31"/>
      <c r="G96" s="30" t="s">
        <v>80</v>
      </c>
      <c r="H96" s="31"/>
      <c r="I96" s="30" t="s">
        <v>80</v>
      </c>
      <c r="J96" s="31"/>
      <c r="K96" s="30" t="s">
        <v>80</v>
      </c>
      <c r="L96" s="31"/>
      <c r="M96" s="30" t="s">
        <v>80</v>
      </c>
      <c r="N96" s="31"/>
      <c r="O96" s="30" t="s">
        <v>80</v>
      </c>
      <c r="P96" s="31"/>
      <c r="Q96" s="30" t="s">
        <v>80</v>
      </c>
      <c r="R96" s="31"/>
      <c r="S96" s="30" t="s">
        <v>80</v>
      </c>
      <c r="T96" s="31"/>
      <c r="U96" s="30">
        <v>402</v>
      </c>
      <c r="V96" s="31">
        <v>2.7054310518877502E-2</v>
      </c>
      <c r="W96" s="30">
        <v>1246</v>
      </c>
      <c r="X96" s="31">
        <v>6.4660093409444702E-2</v>
      </c>
      <c r="Y96" s="30">
        <v>4943</v>
      </c>
      <c r="Z96" s="31">
        <v>0.208178908355795</v>
      </c>
      <c r="AA96" s="30">
        <v>5697</v>
      </c>
      <c r="AB96" s="31">
        <v>0.17841037204058599</v>
      </c>
      <c r="AC96" s="30">
        <v>6427</v>
      </c>
      <c r="AD96" s="31">
        <v>0.18071137354140299</v>
      </c>
      <c r="AE96" s="30">
        <v>7239</v>
      </c>
      <c r="AF96" s="31">
        <v>0.24330319631633801</v>
      </c>
      <c r="AG96" s="30">
        <v>6056</v>
      </c>
      <c r="AH96" s="31">
        <v>0.17607210350341601</v>
      </c>
      <c r="AI96" s="30">
        <v>7509</v>
      </c>
      <c r="AJ96" s="31">
        <v>0.161102767646428</v>
      </c>
      <c r="AK96" s="30">
        <v>8155</v>
      </c>
      <c r="AL96" s="31">
        <v>0.14998252809298701</v>
      </c>
      <c r="AM96" s="30">
        <v>9714</v>
      </c>
      <c r="AN96" s="31">
        <v>0.16960871614897099</v>
      </c>
      <c r="AO96" s="30">
        <v>11129</v>
      </c>
      <c r="AP96" s="31">
        <v>0.18219173597013899</v>
      </c>
    </row>
    <row r="97" spans="1:42" x14ac:dyDescent="0.25">
      <c r="A97" s="10" t="s">
        <v>1404</v>
      </c>
      <c r="B97" s="10"/>
      <c r="C97" s="30" t="s">
        <v>80</v>
      </c>
      <c r="D97" s="31"/>
      <c r="E97" s="30" t="s">
        <v>80</v>
      </c>
      <c r="F97" s="31"/>
      <c r="G97" s="30" t="s">
        <v>80</v>
      </c>
      <c r="H97" s="31"/>
      <c r="I97" s="30" t="s">
        <v>80</v>
      </c>
      <c r="J97" s="31"/>
      <c r="K97" s="30" t="s">
        <v>80</v>
      </c>
      <c r="L97" s="31"/>
      <c r="M97" s="30" t="s">
        <v>80</v>
      </c>
      <c r="N97" s="31"/>
      <c r="O97" s="30">
        <v>97</v>
      </c>
      <c r="P97" s="31">
        <v>1.1391661773341199E-2</v>
      </c>
      <c r="Q97" s="30">
        <v>601</v>
      </c>
      <c r="R97" s="31">
        <v>6.1634704132909397E-2</v>
      </c>
      <c r="S97" s="30">
        <v>562</v>
      </c>
      <c r="T97" s="31">
        <v>4.2832101211797903E-2</v>
      </c>
      <c r="U97" s="30">
        <v>564</v>
      </c>
      <c r="V97" s="31">
        <v>3.7956793862305702E-2</v>
      </c>
      <c r="W97" s="30">
        <v>595</v>
      </c>
      <c r="X97" s="31">
        <v>3.0877010897768599E-2</v>
      </c>
      <c r="Y97" s="30">
        <v>691</v>
      </c>
      <c r="Z97" s="31">
        <v>2.9102088948787099E-2</v>
      </c>
      <c r="AA97" s="30">
        <v>851</v>
      </c>
      <c r="AB97" s="31">
        <v>2.66503820618815E-2</v>
      </c>
      <c r="AC97" s="30">
        <v>869</v>
      </c>
      <c r="AD97" s="31">
        <v>2.4434134682974801E-2</v>
      </c>
      <c r="AE97" s="30">
        <v>1076</v>
      </c>
      <c r="AF97" s="31">
        <v>3.6164420394582099E-2</v>
      </c>
      <c r="AG97" s="30">
        <v>1229</v>
      </c>
      <c r="AH97" s="31">
        <v>3.5731937781654302E-2</v>
      </c>
      <c r="AI97" s="30">
        <v>1287</v>
      </c>
      <c r="AJ97" s="31">
        <v>2.76121004076379E-2</v>
      </c>
      <c r="AK97" s="30">
        <v>751</v>
      </c>
      <c r="AL97" s="31">
        <v>1.38120022805437E-2</v>
      </c>
      <c r="AM97" s="30">
        <v>959</v>
      </c>
      <c r="AN97" s="31">
        <v>1.6744364709374401E-2</v>
      </c>
      <c r="AO97" s="30">
        <v>1472</v>
      </c>
      <c r="AP97" s="31">
        <v>2.40979634601532E-2</v>
      </c>
    </row>
    <row r="98" spans="1:42" x14ac:dyDescent="0.25">
      <c r="A98" s="10" t="s">
        <v>1402</v>
      </c>
      <c r="B98" s="10"/>
      <c r="C98" s="30">
        <v>79</v>
      </c>
      <c r="D98" s="31">
        <v>7.3990821391776698E-3</v>
      </c>
      <c r="E98" s="30">
        <v>118</v>
      </c>
      <c r="F98" s="31">
        <v>1.0200553250345801E-2</v>
      </c>
      <c r="G98" s="30">
        <v>140</v>
      </c>
      <c r="H98" s="31">
        <v>1.0384986276982399E-2</v>
      </c>
      <c r="I98" s="30" t="s">
        <v>80</v>
      </c>
      <c r="J98" s="31"/>
      <c r="K98" s="30" t="s">
        <v>80</v>
      </c>
      <c r="L98" s="31"/>
      <c r="M98" s="30">
        <v>500</v>
      </c>
      <c r="N98" s="31">
        <v>6.3767376610126297E-2</v>
      </c>
      <c r="O98" s="30">
        <v>616</v>
      </c>
      <c r="P98" s="31">
        <v>7.2342924251321203E-2</v>
      </c>
      <c r="Q98" s="30">
        <v>604</v>
      </c>
      <c r="R98" s="31">
        <v>6.1942364885652801E-2</v>
      </c>
      <c r="S98" s="30">
        <v>615</v>
      </c>
      <c r="T98" s="31">
        <v>4.6871427482661397E-2</v>
      </c>
      <c r="U98" s="30">
        <v>571</v>
      </c>
      <c r="V98" s="31">
        <v>3.8427888821589602E-2</v>
      </c>
      <c r="W98" s="30">
        <v>693</v>
      </c>
      <c r="X98" s="31">
        <v>3.5962636222106902E-2</v>
      </c>
      <c r="Y98" s="30">
        <v>771</v>
      </c>
      <c r="Z98" s="31">
        <v>3.2471361185983802E-2</v>
      </c>
      <c r="AA98" s="30">
        <v>861</v>
      </c>
      <c r="AB98" s="31">
        <v>2.69635475385194E-2</v>
      </c>
      <c r="AC98" s="30">
        <v>957</v>
      </c>
      <c r="AD98" s="31">
        <v>2.6908477435681099E-2</v>
      </c>
      <c r="AE98" s="30">
        <v>605</v>
      </c>
      <c r="AF98" s="31">
        <v>2.0334083957920201E-2</v>
      </c>
      <c r="AG98" s="30">
        <v>669</v>
      </c>
      <c r="AH98" s="31">
        <v>1.9450501526384601E-2</v>
      </c>
      <c r="AI98" s="30">
        <v>598</v>
      </c>
      <c r="AJ98" s="31">
        <v>1.2829864835872101E-2</v>
      </c>
      <c r="AK98" s="30">
        <v>779</v>
      </c>
      <c r="AL98" s="31">
        <v>1.43269637503908E-2</v>
      </c>
      <c r="AM98" s="30">
        <v>1023</v>
      </c>
      <c r="AN98" s="31">
        <v>1.78618197056204E-2</v>
      </c>
      <c r="AO98" s="30">
        <v>1266</v>
      </c>
      <c r="AP98" s="31">
        <v>2.0725558247658999E-2</v>
      </c>
    </row>
    <row r="99" spans="1:42" x14ac:dyDescent="0.25">
      <c r="A99" s="10" t="s">
        <v>1395</v>
      </c>
      <c r="B99" s="10"/>
      <c r="C99" s="30" t="s">
        <v>80</v>
      </c>
      <c r="D99" s="31"/>
      <c r="E99" s="30" t="s">
        <v>80</v>
      </c>
      <c r="F99" s="31"/>
      <c r="G99" s="30" t="s">
        <v>80</v>
      </c>
      <c r="H99" s="31"/>
      <c r="I99" s="30" t="s">
        <v>80</v>
      </c>
      <c r="J99" s="31"/>
      <c r="K99" s="30" t="s">
        <v>80</v>
      </c>
      <c r="L99" s="31"/>
      <c r="M99" s="30" t="s">
        <v>80</v>
      </c>
      <c r="N99" s="31"/>
      <c r="O99" s="30">
        <v>45</v>
      </c>
      <c r="P99" s="31">
        <v>5.2847915443335301E-3</v>
      </c>
      <c r="Q99" s="30">
        <v>80</v>
      </c>
      <c r="R99" s="31">
        <v>8.2042867398215598E-3</v>
      </c>
      <c r="S99" s="30">
        <v>87</v>
      </c>
      <c r="T99" s="31">
        <v>6.63059218047405E-3</v>
      </c>
      <c r="U99" s="30">
        <v>226</v>
      </c>
      <c r="V99" s="31">
        <v>1.52096372568814E-2</v>
      </c>
      <c r="W99" s="30">
        <v>237</v>
      </c>
      <c r="X99" s="31">
        <v>1.2298910223144799E-2</v>
      </c>
      <c r="Y99" s="30">
        <v>281</v>
      </c>
      <c r="Z99" s="31">
        <v>1.1834568733153601E-2</v>
      </c>
      <c r="AA99" s="30">
        <v>348</v>
      </c>
      <c r="AB99" s="31">
        <v>1.08981585869974E-2</v>
      </c>
      <c r="AC99" s="30">
        <v>390</v>
      </c>
      <c r="AD99" s="31">
        <v>1.09658371994939E-2</v>
      </c>
      <c r="AE99" s="30">
        <v>416</v>
      </c>
      <c r="AF99" s="31">
        <v>1.3981783349578201E-2</v>
      </c>
      <c r="AG99" s="30">
        <v>392</v>
      </c>
      <c r="AH99" s="31">
        <v>1.1397005378688801E-2</v>
      </c>
      <c r="AI99" s="30">
        <v>361</v>
      </c>
      <c r="AJ99" s="31">
        <v>7.7451190731602703E-3</v>
      </c>
      <c r="AK99" s="30">
        <v>382</v>
      </c>
      <c r="AL99" s="31">
        <v>7.0255457672006296E-3</v>
      </c>
      <c r="AM99" s="30">
        <v>479</v>
      </c>
      <c r="AN99" s="31">
        <v>8.3634522375290298E-3</v>
      </c>
      <c r="AO99" s="30">
        <v>597</v>
      </c>
      <c r="AP99" s="31">
        <v>9.7734267565974704E-3</v>
      </c>
    </row>
    <row r="100" spans="1:42" x14ac:dyDescent="0.25">
      <c r="A100" s="10" t="s">
        <v>1400</v>
      </c>
      <c r="B100" s="10"/>
      <c r="C100" s="30">
        <v>13</v>
      </c>
      <c r="D100" s="31">
        <v>1.21757047859886E-3</v>
      </c>
      <c r="E100" s="30">
        <v>11</v>
      </c>
      <c r="F100" s="31">
        <v>9.5089903181189497E-4</v>
      </c>
      <c r="G100" s="30">
        <v>-30</v>
      </c>
      <c r="H100" s="31">
        <v>-2.2253542022105202E-3</v>
      </c>
      <c r="I100" s="30" t="s">
        <v>80</v>
      </c>
      <c r="J100" s="31"/>
      <c r="K100" s="30" t="s">
        <v>80</v>
      </c>
      <c r="L100" s="31"/>
      <c r="M100" s="30" t="s">
        <v>80</v>
      </c>
      <c r="N100" s="31"/>
      <c r="O100" s="30">
        <v>40</v>
      </c>
      <c r="P100" s="31">
        <v>4.6975924838520301E-3</v>
      </c>
      <c r="Q100" s="30">
        <v>43</v>
      </c>
      <c r="R100" s="31">
        <v>4.4098041226540898E-3</v>
      </c>
      <c r="S100" s="30">
        <v>43</v>
      </c>
      <c r="T100" s="31">
        <v>3.2771892386250999E-3</v>
      </c>
      <c r="U100" s="30">
        <v>31</v>
      </c>
      <c r="V100" s="31">
        <v>2.08627767682886E-3</v>
      </c>
      <c r="W100" s="30">
        <v>28</v>
      </c>
      <c r="X100" s="31">
        <v>1.4530358069538101E-3</v>
      </c>
      <c r="Y100" s="30">
        <v>42</v>
      </c>
      <c r="Z100" s="31">
        <v>1.7688679245283E-3</v>
      </c>
      <c r="AA100" s="30">
        <v>17</v>
      </c>
      <c r="AB100" s="31">
        <v>5.3238131028435405E-4</v>
      </c>
      <c r="AC100" s="30">
        <v>3</v>
      </c>
      <c r="AD100" s="31">
        <v>8.4352593842260706E-5</v>
      </c>
      <c r="AE100" s="30">
        <v>37</v>
      </c>
      <c r="AF100" s="31">
        <v>1.24357207676537E-3</v>
      </c>
      <c r="AG100" s="30">
        <v>23</v>
      </c>
      <c r="AH100" s="31">
        <v>6.6870184619857503E-4</v>
      </c>
      <c r="AI100" s="30">
        <v>36</v>
      </c>
      <c r="AJ100" s="31">
        <v>7.7236644496889097E-4</v>
      </c>
      <c r="AK100" s="30">
        <v>51</v>
      </c>
      <c r="AL100" s="31">
        <v>9.3796553436448205E-4</v>
      </c>
      <c r="AM100" s="30">
        <v>26</v>
      </c>
      <c r="AN100" s="31">
        <v>4.5396609222495801E-4</v>
      </c>
      <c r="AO100" s="30">
        <v>52</v>
      </c>
      <c r="AP100" s="31">
        <v>8.51286752668457E-4</v>
      </c>
    </row>
    <row r="101" spans="1:42" x14ac:dyDescent="0.25">
      <c r="A101" s="10" t="s">
        <v>1408</v>
      </c>
      <c r="B101" s="10"/>
      <c r="C101" s="30">
        <v>-5627</v>
      </c>
      <c r="D101" s="31"/>
      <c r="E101" s="30">
        <v>-5608</v>
      </c>
      <c r="F101" s="31"/>
      <c r="G101" s="30">
        <v>-6672</v>
      </c>
      <c r="H101" s="31"/>
      <c r="I101" s="30" t="s">
        <v>80</v>
      </c>
      <c r="J101" s="31"/>
      <c r="K101" s="30">
        <v>-678</v>
      </c>
      <c r="L101" s="31"/>
      <c r="M101" s="30">
        <v>-1136</v>
      </c>
      <c r="N101" s="31"/>
      <c r="O101" s="30">
        <v>2</v>
      </c>
      <c r="P101" s="31"/>
      <c r="Q101" s="30">
        <v>1137</v>
      </c>
      <c r="R101" s="31"/>
      <c r="S101" s="30">
        <v>387</v>
      </c>
      <c r="T101" s="31"/>
      <c r="U101" s="30">
        <v>39</v>
      </c>
      <c r="V101" s="31"/>
      <c r="W101" s="30">
        <v>38</v>
      </c>
      <c r="X101" s="31"/>
      <c r="Y101" s="30">
        <v>164</v>
      </c>
      <c r="Z101" s="31"/>
      <c r="AA101" s="30">
        <v>26</v>
      </c>
      <c r="AB101" s="31"/>
      <c r="AC101" s="30">
        <v>963</v>
      </c>
      <c r="AD101" s="31"/>
      <c r="AE101" s="30">
        <v>755</v>
      </c>
      <c r="AF101" s="31"/>
      <c r="AG101" s="30">
        <v>653</v>
      </c>
      <c r="AH101" s="31"/>
      <c r="AI101" s="30">
        <v>-1202</v>
      </c>
      <c r="AJ101" s="31"/>
      <c r="AK101" s="30">
        <v>-1954.8</v>
      </c>
      <c r="AL101" s="31"/>
      <c r="AM101" s="30">
        <v>-1085</v>
      </c>
      <c r="AN101" s="31"/>
      <c r="AO101" s="30">
        <v>-2296</v>
      </c>
      <c r="AP101" s="31"/>
    </row>
    <row r="102" spans="1:42" x14ac:dyDescent="0.25">
      <c r="A102" s="10" t="s">
        <v>1398</v>
      </c>
      <c r="B102" s="10"/>
      <c r="C102" s="30" t="s">
        <v>80</v>
      </c>
      <c r="D102" s="31"/>
      <c r="E102" s="30" t="s">
        <v>80</v>
      </c>
      <c r="F102" s="31"/>
      <c r="G102" s="30" t="s">
        <v>80</v>
      </c>
      <c r="H102" s="31"/>
      <c r="I102" s="30" t="s">
        <v>80</v>
      </c>
      <c r="J102" s="31"/>
      <c r="K102" s="30" t="s">
        <v>80</v>
      </c>
      <c r="L102" s="31"/>
      <c r="M102" s="30" t="s">
        <v>80</v>
      </c>
      <c r="N102" s="31"/>
      <c r="O102" s="30">
        <v>-27691</v>
      </c>
      <c r="P102" s="31">
        <v>-3.2520258367586599</v>
      </c>
      <c r="Q102" s="30">
        <v>-17255</v>
      </c>
      <c r="R102" s="31">
        <v>-1.7695620961952601</v>
      </c>
      <c r="S102" s="30">
        <v>-20868</v>
      </c>
      <c r="T102" s="31">
        <v>-1.59042755887509</v>
      </c>
      <c r="U102" s="30">
        <v>-21922</v>
      </c>
      <c r="V102" s="31">
        <v>-1.47533481391749</v>
      </c>
      <c r="W102" s="30">
        <v>-22171</v>
      </c>
      <c r="X102" s="31">
        <v>-1.1505448884276099</v>
      </c>
      <c r="Y102" s="30">
        <v>-31369</v>
      </c>
      <c r="Z102" s="31">
        <v>-1.3211337601078199</v>
      </c>
      <c r="AA102" s="30">
        <v>-44228</v>
      </c>
      <c r="AB102" s="31">
        <v>-1.3850682700739101</v>
      </c>
      <c r="AC102" s="30">
        <v>-49584</v>
      </c>
      <c r="AD102" s="31">
        <v>-1.3941796710248799</v>
      </c>
      <c r="AE102" s="30">
        <v>-40810</v>
      </c>
      <c r="AF102" s="31">
        <v>-1.3716263906160699</v>
      </c>
      <c r="AG102" s="30">
        <v>-48527</v>
      </c>
      <c r="AH102" s="31">
        <v>-1.4108736734990599</v>
      </c>
      <c r="AI102" s="30">
        <v>-59608</v>
      </c>
      <c r="AJ102" s="31">
        <v>-1.2788671958807101</v>
      </c>
      <c r="AK102" s="30">
        <v>-65922</v>
      </c>
      <c r="AL102" s="31">
        <v>-1.2124032148308901</v>
      </c>
      <c r="AM102" s="30">
        <v>-71409</v>
      </c>
      <c r="AN102" s="31">
        <v>-1.2468178722958501</v>
      </c>
      <c r="AO102" s="30">
        <v>-78321</v>
      </c>
      <c r="AP102" s="31">
        <v>-1.2821851876104999</v>
      </c>
    </row>
    <row r="103" spans="1:42" x14ac:dyDescent="0.25">
      <c r="A103" s="10" t="s">
        <v>1399</v>
      </c>
      <c r="B103" s="10"/>
      <c r="C103" s="30" t="s">
        <v>80</v>
      </c>
      <c r="D103" s="31"/>
      <c r="E103" s="30" t="s">
        <v>80</v>
      </c>
      <c r="F103" s="31"/>
      <c r="G103" s="30" t="s">
        <v>80</v>
      </c>
      <c r="H103" s="31"/>
      <c r="I103" s="30" t="s">
        <v>80</v>
      </c>
      <c r="J103" s="31"/>
      <c r="K103" s="30" t="s">
        <v>80</v>
      </c>
      <c r="L103" s="31"/>
      <c r="M103" s="30" t="s">
        <v>80</v>
      </c>
      <c r="N103" s="31"/>
      <c r="O103" s="30">
        <v>2</v>
      </c>
      <c r="P103" s="31">
        <v>2.3487962419260099E-4</v>
      </c>
      <c r="Q103" s="30">
        <v>1</v>
      </c>
      <c r="R103" s="31">
        <v>1.02553584247769E-4</v>
      </c>
      <c r="S103" s="30">
        <v>1</v>
      </c>
      <c r="T103" s="31">
        <v>7.6213703223839603E-5</v>
      </c>
      <c r="U103" s="30">
        <v>0</v>
      </c>
      <c r="V103" s="31"/>
      <c r="W103" s="30">
        <v>-5</v>
      </c>
      <c r="X103" s="31">
        <v>-2.5947067981318099E-4</v>
      </c>
      <c r="Y103" s="30">
        <v>-2</v>
      </c>
      <c r="Z103" s="31">
        <v>-8.4231805929919101E-5</v>
      </c>
      <c r="AA103" s="30">
        <v>-1</v>
      </c>
      <c r="AB103" s="31">
        <v>-3.13165476637855E-5</v>
      </c>
      <c r="AC103" s="30">
        <v>-1</v>
      </c>
      <c r="AD103" s="31">
        <v>-2.8117531280753602E-5</v>
      </c>
      <c r="AE103" s="30">
        <v>-2</v>
      </c>
      <c r="AF103" s="31">
        <v>-6.72201122575875E-5</v>
      </c>
      <c r="AG103" s="30">
        <v>-22</v>
      </c>
      <c r="AH103" s="31">
        <v>-6.39627852885594E-4</v>
      </c>
      <c r="AI103" s="30">
        <v>30</v>
      </c>
      <c r="AJ103" s="31">
        <v>6.43638704140742E-4</v>
      </c>
      <c r="AK103" s="30">
        <v>63</v>
      </c>
      <c r="AL103" s="31">
        <v>1.1586633071561301E-3</v>
      </c>
      <c r="AM103" s="30">
        <v>-981</v>
      </c>
      <c r="AN103" s="31">
        <v>-1.7128489864334E-2</v>
      </c>
      <c r="AO103" s="30" t="s">
        <v>80</v>
      </c>
      <c r="AP103" s="31"/>
    </row>
    <row r="104" spans="1:42" x14ac:dyDescent="0.25">
      <c r="A104" s="10" t="s">
        <v>1410</v>
      </c>
      <c r="B104" s="10"/>
      <c r="C104" s="30">
        <v>67</v>
      </c>
      <c r="D104" s="31">
        <v>6.2751709281633396E-3</v>
      </c>
      <c r="E104" s="30">
        <v>89</v>
      </c>
      <c r="F104" s="31">
        <v>7.6936376210235101E-3</v>
      </c>
      <c r="G104" s="30">
        <v>107</v>
      </c>
      <c r="H104" s="31">
        <v>7.9370966545508504E-3</v>
      </c>
      <c r="I104" s="30" t="s">
        <v>80</v>
      </c>
      <c r="J104" s="31"/>
      <c r="K104" s="30" t="s">
        <v>80</v>
      </c>
      <c r="L104" s="31"/>
      <c r="M104" s="30" t="s">
        <v>80</v>
      </c>
      <c r="N104" s="31"/>
      <c r="O104" s="30" t="s">
        <v>80</v>
      </c>
      <c r="P104" s="31"/>
      <c r="Q104" s="30" t="s">
        <v>80</v>
      </c>
      <c r="R104" s="31"/>
      <c r="S104" s="30" t="s">
        <v>80</v>
      </c>
      <c r="T104" s="31"/>
      <c r="U104" s="30" t="s">
        <v>80</v>
      </c>
      <c r="V104" s="31"/>
      <c r="W104" s="30" t="s">
        <v>80</v>
      </c>
      <c r="X104" s="31"/>
      <c r="Y104" s="30" t="s">
        <v>80</v>
      </c>
      <c r="Z104" s="31"/>
      <c r="AA104" s="30" t="s">
        <v>80</v>
      </c>
      <c r="AB104" s="31"/>
      <c r="AC104" s="30" t="s">
        <v>80</v>
      </c>
      <c r="AD104" s="31"/>
      <c r="AE104" s="30" t="s">
        <v>80</v>
      </c>
      <c r="AF104" s="31"/>
      <c r="AG104" s="30" t="s">
        <v>80</v>
      </c>
      <c r="AH104" s="31"/>
      <c r="AI104" s="30" t="s">
        <v>80</v>
      </c>
      <c r="AJ104" s="31"/>
      <c r="AK104" s="30" t="s">
        <v>80</v>
      </c>
      <c r="AL104" s="31"/>
      <c r="AM104" s="30" t="s">
        <v>80</v>
      </c>
      <c r="AN104" s="31"/>
      <c r="AO104" s="30" t="s">
        <v>80</v>
      </c>
      <c r="AP104" s="31"/>
    </row>
    <row r="105" spans="1:42" x14ac:dyDescent="0.25">
      <c r="A105" s="10" t="s">
        <v>1411</v>
      </c>
      <c r="B105" s="10"/>
      <c r="C105" s="30">
        <v>-18</v>
      </c>
      <c r="D105" s="31">
        <v>-1.68586681652149E-3</v>
      </c>
      <c r="E105" s="30">
        <v>22</v>
      </c>
      <c r="F105" s="31">
        <v>1.9017980636237899E-3</v>
      </c>
      <c r="G105" s="30">
        <v>15</v>
      </c>
      <c r="H105" s="31">
        <v>1.1126771011052601E-3</v>
      </c>
      <c r="I105" s="30" t="s">
        <v>80</v>
      </c>
      <c r="J105" s="31"/>
      <c r="K105" s="30" t="s">
        <v>80</v>
      </c>
      <c r="L105" s="31"/>
      <c r="M105" s="30" t="s">
        <v>80</v>
      </c>
      <c r="N105" s="31"/>
      <c r="O105" s="30" t="s">
        <v>80</v>
      </c>
      <c r="P105" s="31"/>
      <c r="Q105" s="30" t="s">
        <v>80</v>
      </c>
      <c r="R105" s="31"/>
      <c r="S105" s="30" t="s">
        <v>80</v>
      </c>
      <c r="T105" s="31"/>
      <c r="U105" s="30" t="s">
        <v>80</v>
      </c>
      <c r="V105" s="31"/>
      <c r="W105" s="30" t="s">
        <v>80</v>
      </c>
      <c r="X105" s="31"/>
      <c r="Y105" s="30" t="s">
        <v>80</v>
      </c>
      <c r="Z105" s="31"/>
      <c r="AA105" s="30" t="s">
        <v>80</v>
      </c>
      <c r="AB105" s="31"/>
      <c r="AC105" s="30" t="s">
        <v>80</v>
      </c>
      <c r="AD105" s="31"/>
      <c r="AE105" s="30" t="s">
        <v>80</v>
      </c>
      <c r="AF105" s="31"/>
      <c r="AG105" s="30" t="s">
        <v>80</v>
      </c>
      <c r="AH105" s="31"/>
      <c r="AI105" s="30" t="s">
        <v>80</v>
      </c>
      <c r="AJ105" s="31"/>
      <c r="AK105" s="30" t="s">
        <v>80</v>
      </c>
      <c r="AL105" s="31"/>
      <c r="AM105" s="30" t="s">
        <v>80</v>
      </c>
      <c r="AN105" s="31"/>
      <c r="AO105" s="30" t="s">
        <v>80</v>
      </c>
      <c r="AP105" s="31"/>
    </row>
    <row r="106" spans="1:42" x14ac:dyDescent="0.25">
      <c r="A106" s="10" t="s">
        <v>1414</v>
      </c>
      <c r="B106" s="10"/>
      <c r="C106" s="30" t="s">
        <v>80</v>
      </c>
      <c r="D106" s="31"/>
      <c r="E106" s="30" t="s">
        <v>80</v>
      </c>
      <c r="F106" s="31"/>
      <c r="G106" s="30" t="s">
        <v>80</v>
      </c>
      <c r="H106" s="31"/>
      <c r="I106" s="30">
        <v>336</v>
      </c>
      <c r="J106" s="31">
        <v>4.3944546167930899E-2</v>
      </c>
      <c r="K106" s="30">
        <v>425</v>
      </c>
      <c r="L106" s="31">
        <v>6.5064298836497197E-2</v>
      </c>
      <c r="M106" s="30" t="s">
        <v>80</v>
      </c>
      <c r="N106" s="31"/>
      <c r="O106" s="30" t="s">
        <v>80</v>
      </c>
      <c r="P106" s="31"/>
      <c r="Q106" s="30" t="s">
        <v>80</v>
      </c>
      <c r="R106" s="31"/>
      <c r="S106" s="30" t="s">
        <v>80</v>
      </c>
      <c r="T106" s="31"/>
      <c r="U106" s="30" t="s">
        <v>80</v>
      </c>
      <c r="V106" s="31"/>
      <c r="W106" s="30" t="s">
        <v>80</v>
      </c>
      <c r="X106" s="31"/>
      <c r="Y106" s="30" t="s">
        <v>80</v>
      </c>
      <c r="Z106" s="31"/>
      <c r="AA106" s="30" t="s">
        <v>80</v>
      </c>
      <c r="AB106" s="31"/>
      <c r="AC106" s="30" t="s">
        <v>80</v>
      </c>
      <c r="AD106" s="31"/>
      <c r="AE106" s="30" t="s">
        <v>80</v>
      </c>
      <c r="AF106" s="31"/>
      <c r="AG106" s="30" t="s">
        <v>80</v>
      </c>
      <c r="AH106" s="31"/>
      <c r="AI106" s="30" t="s">
        <v>80</v>
      </c>
      <c r="AJ106" s="31"/>
      <c r="AK106" s="30" t="s">
        <v>80</v>
      </c>
      <c r="AL106" s="31"/>
      <c r="AM106" s="30" t="s">
        <v>80</v>
      </c>
      <c r="AN106" s="31"/>
      <c r="AO106" s="30" t="s">
        <v>80</v>
      </c>
      <c r="AP106" s="31"/>
    </row>
    <row r="107" spans="1:42" x14ac:dyDescent="0.25">
      <c r="A107" s="10" t="s">
        <v>1415</v>
      </c>
      <c r="B107" s="10"/>
      <c r="C107" s="30" t="s">
        <v>80</v>
      </c>
      <c r="D107" s="31"/>
      <c r="E107" s="30" t="s">
        <v>80</v>
      </c>
      <c r="F107" s="31"/>
      <c r="G107" s="30" t="s">
        <v>80</v>
      </c>
      <c r="H107" s="31"/>
      <c r="I107" s="30">
        <v>579</v>
      </c>
      <c r="J107" s="31">
        <v>7.5725869735809595E-2</v>
      </c>
      <c r="K107" s="30">
        <v>772</v>
      </c>
      <c r="L107" s="31">
        <v>0.118187385180649</v>
      </c>
      <c r="M107" s="30">
        <v>903</v>
      </c>
      <c r="N107" s="31">
        <v>0.115163882157888</v>
      </c>
      <c r="O107" s="30" t="s">
        <v>80</v>
      </c>
      <c r="P107" s="31"/>
      <c r="Q107" s="30" t="s">
        <v>80</v>
      </c>
      <c r="R107" s="31"/>
      <c r="S107" s="30" t="s">
        <v>80</v>
      </c>
      <c r="T107" s="31"/>
      <c r="U107" s="30" t="s">
        <v>80</v>
      </c>
      <c r="V107" s="31"/>
      <c r="W107" s="30" t="s">
        <v>80</v>
      </c>
      <c r="X107" s="31"/>
      <c r="Y107" s="30" t="s">
        <v>80</v>
      </c>
      <c r="Z107" s="31"/>
      <c r="AA107" s="30" t="s">
        <v>80</v>
      </c>
      <c r="AB107" s="31"/>
      <c r="AC107" s="30" t="s">
        <v>80</v>
      </c>
      <c r="AD107" s="31"/>
      <c r="AE107" s="30" t="s">
        <v>80</v>
      </c>
      <c r="AF107" s="31"/>
      <c r="AG107" s="30" t="s">
        <v>80</v>
      </c>
      <c r="AH107" s="31"/>
      <c r="AI107" s="30" t="s">
        <v>80</v>
      </c>
      <c r="AJ107" s="31"/>
      <c r="AK107" s="30" t="s">
        <v>80</v>
      </c>
      <c r="AL107" s="31"/>
      <c r="AM107" s="30" t="s">
        <v>80</v>
      </c>
      <c r="AN107" s="31"/>
      <c r="AO107" s="30" t="s">
        <v>80</v>
      </c>
      <c r="AP107" s="31"/>
    </row>
    <row r="108" spans="1:42" x14ac:dyDescent="0.25">
      <c r="A108" s="10" t="s">
        <v>1391</v>
      </c>
      <c r="B108" s="10"/>
      <c r="C108" s="30">
        <v>74</v>
      </c>
      <c r="D108" s="31">
        <v>6.9307858012550303E-3</v>
      </c>
      <c r="E108" s="30">
        <v>184</v>
      </c>
      <c r="F108" s="31">
        <v>1.5905947441217101E-2</v>
      </c>
      <c r="G108" s="30">
        <v>288</v>
      </c>
      <c r="H108" s="31">
        <v>2.1363400341221001E-2</v>
      </c>
      <c r="I108" s="30">
        <v>183</v>
      </c>
      <c r="J108" s="31">
        <v>2.3934083180748099E-2</v>
      </c>
      <c r="K108" s="30">
        <v>203</v>
      </c>
      <c r="L108" s="31">
        <v>3.1077770973668099E-2</v>
      </c>
      <c r="M108" s="30">
        <v>403</v>
      </c>
      <c r="N108" s="31">
        <v>5.1396505547761803E-2</v>
      </c>
      <c r="O108" s="30">
        <v>276</v>
      </c>
      <c r="P108" s="31">
        <v>3.2413388138578997E-2</v>
      </c>
      <c r="Q108" s="30" t="s">
        <v>80</v>
      </c>
      <c r="R108" s="31"/>
      <c r="S108" s="30" t="s">
        <v>80</v>
      </c>
      <c r="T108" s="31"/>
      <c r="U108" s="30" t="s">
        <v>80</v>
      </c>
      <c r="V108" s="31"/>
      <c r="W108" s="30" t="s">
        <v>80</v>
      </c>
      <c r="X108" s="31"/>
      <c r="Y108" s="30" t="s">
        <v>80</v>
      </c>
      <c r="Z108" s="31"/>
      <c r="AA108" s="30" t="s">
        <v>80</v>
      </c>
      <c r="AB108" s="31"/>
      <c r="AC108" s="30" t="s">
        <v>80</v>
      </c>
      <c r="AD108" s="31"/>
      <c r="AE108" s="30" t="s">
        <v>80</v>
      </c>
      <c r="AF108" s="31"/>
      <c r="AG108" s="30" t="s">
        <v>80</v>
      </c>
      <c r="AH108" s="31"/>
      <c r="AI108" s="30" t="s">
        <v>80</v>
      </c>
      <c r="AJ108" s="31"/>
      <c r="AK108" s="30" t="s">
        <v>80</v>
      </c>
      <c r="AL108" s="31"/>
      <c r="AM108" s="30" t="s">
        <v>80</v>
      </c>
      <c r="AN108" s="31"/>
      <c r="AO108" s="30" t="s">
        <v>80</v>
      </c>
      <c r="AP108" s="31"/>
    </row>
    <row r="109" spans="1:42" x14ac:dyDescent="0.25">
      <c r="A109" s="10" t="s">
        <v>1392</v>
      </c>
      <c r="B109" s="10"/>
      <c r="C109" s="30" t="s">
        <v>80</v>
      </c>
      <c r="D109" s="31"/>
      <c r="E109" s="30" t="s">
        <v>80</v>
      </c>
      <c r="F109" s="31"/>
      <c r="G109" s="30" t="s">
        <v>80</v>
      </c>
      <c r="H109" s="31"/>
      <c r="I109" s="30" t="s">
        <v>80</v>
      </c>
      <c r="J109" s="31"/>
      <c r="K109" s="30" t="s">
        <v>80</v>
      </c>
      <c r="L109" s="31"/>
      <c r="M109" s="30" t="s">
        <v>80</v>
      </c>
      <c r="N109" s="31"/>
      <c r="O109" s="30">
        <v>-64</v>
      </c>
      <c r="P109" s="31">
        <v>-7.5161479741632396E-3</v>
      </c>
      <c r="Q109" s="30">
        <v>-922</v>
      </c>
      <c r="R109" s="31">
        <v>-9.4554404676443396E-2</v>
      </c>
      <c r="S109" s="30">
        <v>-22</v>
      </c>
      <c r="T109" s="31">
        <v>-1.6767014709244701E-3</v>
      </c>
      <c r="U109" s="30" t="s">
        <v>80</v>
      </c>
      <c r="V109" s="31"/>
      <c r="W109" s="30" t="s">
        <v>80</v>
      </c>
      <c r="X109" s="31"/>
      <c r="Y109" s="30" t="s">
        <v>80</v>
      </c>
      <c r="Z109" s="31"/>
      <c r="AA109" s="30" t="s">
        <v>80</v>
      </c>
      <c r="AB109" s="31"/>
      <c r="AC109" s="30" t="s">
        <v>80</v>
      </c>
      <c r="AD109" s="31"/>
      <c r="AE109" s="30" t="s">
        <v>80</v>
      </c>
      <c r="AF109" s="31"/>
      <c r="AG109" s="30" t="s">
        <v>80</v>
      </c>
      <c r="AH109" s="31"/>
      <c r="AI109" s="30" t="s">
        <v>80</v>
      </c>
      <c r="AJ109" s="31"/>
      <c r="AK109" s="30" t="s">
        <v>80</v>
      </c>
      <c r="AL109" s="31"/>
      <c r="AM109" s="30" t="s">
        <v>80</v>
      </c>
      <c r="AN109" s="31"/>
      <c r="AO109" s="30" t="s">
        <v>80</v>
      </c>
      <c r="AP109" s="31"/>
    </row>
    <row r="110" spans="1:42" x14ac:dyDescent="0.25">
      <c r="A110" s="10" t="s">
        <v>1393</v>
      </c>
      <c r="B110" s="10"/>
      <c r="C110" s="30" t="s">
        <v>80</v>
      </c>
      <c r="D110" s="31"/>
      <c r="E110" s="30" t="s">
        <v>80</v>
      </c>
      <c r="F110" s="31"/>
      <c r="G110" s="30" t="s">
        <v>80</v>
      </c>
      <c r="H110" s="31"/>
      <c r="I110" s="30" t="s">
        <v>80</v>
      </c>
      <c r="J110" s="31"/>
      <c r="K110" s="30" t="s">
        <v>80</v>
      </c>
      <c r="L110" s="31"/>
      <c r="M110" s="30" t="s">
        <v>80</v>
      </c>
      <c r="N110" s="31"/>
      <c r="O110" s="30">
        <v>22</v>
      </c>
      <c r="P110" s="31">
        <v>2.5836758661186101E-3</v>
      </c>
      <c r="Q110" s="30">
        <v>-1114</v>
      </c>
      <c r="R110" s="31">
        <v>-0.114244692852015</v>
      </c>
      <c r="S110" s="30">
        <v>6</v>
      </c>
      <c r="T110" s="31">
        <v>4.5728221934303803E-4</v>
      </c>
      <c r="U110" s="30" t="s">
        <v>80</v>
      </c>
      <c r="V110" s="31"/>
      <c r="W110" s="30" t="s">
        <v>80</v>
      </c>
      <c r="X110" s="31"/>
      <c r="Y110" s="30" t="s">
        <v>80</v>
      </c>
      <c r="Z110" s="31"/>
      <c r="AA110" s="30" t="s">
        <v>80</v>
      </c>
      <c r="AB110" s="31"/>
      <c r="AC110" s="30" t="s">
        <v>80</v>
      </c>
      <c r="AD110" s="31"/>
      <c r="AE110" s="30" t="s">
        <v>80</v>
      </c>
      <c r="AF110" s="31"/>
      <c r="AG110" s="30" t="s">
        <v>80</v>
      </c>
      <c r="AH110" s="31"/>
      <c r="AI110" s="30" t="s">
        <v>80</v>
      </c>
      <c r="AJ110" s="31"/>
      <c r="AK110" s="30" t="s">
        <v>80</v>
      </c>
      <c r="AL110" s="31"/>
      <c r="AM110" s="30" t="s">
        <v>80</v>
      </c>
      <c r="AN110" s="31"/>
      <c r="AO110" s="30" t="s">
        <v>80</v>
      </c>
      <c r="AP110" s="31"/>
    </row>
    <row r="111" spans="1:42" x14ac:dyDescent="0.25">
      <c r="A111" s="10" t="s">
        <v>1394</v>
      </c>
      <c r="B111" s="10"/>
      <c r="C111" s="30" t="s">
        <v>80</v>
      </c>
      <c r="D111" s="31"/>
      <c r="E111" s="30" t="s">
        <v>80</v>
      </c>
      <c r="F111" s="31"/>
      <c r="G111" s="30" t="s">
        <v>80</v>
      </c>
      <c r="H111" s="31"/>
      <c r="I111" s="30" t="s">
        <v>80</v>
      </c>
      <c r="J111" s="31"/>
      <c r="K111" s="30" t="s">
        <v>80</v>
      </c>
      <c r="L111" s="31"/>
      <c r="M111" s="30" t="s">
        <v>80</v>
      </c>
      <c r="N111" s="31"/>
      <c r="O111" s="30">
        <v>30</v>
      </c>
      <c r="P111" s="31">
        <v>3.5231943628890199E-3</v>
      </c>
      <c r="Q111" s="30">
        <v>33</v>
      </c>
      <c r="R111" s="31">
        <v>3.3842682801763901E-3</v>
      </c>
      <c r="S111" s="30" t="s">
        <v>80</v>
      </c>
      <c r="T111" s="31"/>
      <c r="U111" s="30" t="s">
        <v>80</v>
      </c>
      <c r="V111" s="31"/>
      <c r="W111" s="30" t="s">
        <v>80</v>
      </c>
      <c r="X111" s="31"/>
      <c r="Y111" s="30" t="s">
        <v>80</v>
      </c>
      <c r="Z111" s="31"/>
      <c r="AA111" s="30" t="s">
        <v>80</v>
      </c>
      <c r="AB111" s="31"/>
      <c r="AC111" s="30" t="s">
        <v>80</v>
      </c>
      <c r="AD111" s="31"/>
      <c r="AE111" s="30" t="s">
        <v>80</v>
      </c>
      <c r="AF111" s="31"/>
      <c r="AG111" s="30" t="s">
        <v>80</v>
      </c>
      <c r="AH111" s="31"/>
      <c r="AI111" s="30" t="s">
        <v>80</v>
      </c>
      <c r="AJ111" s="31"/>
      <c r="AK111" s="30" t="s">
        <v>80</v>
      </c>
      <c r="AL111" s="31"/>
      <c r="AM111" s="30" t="s">
        <v>80</v>
      </c>
      <c r="AN111" s="31"/>
      <c r="AO111" s="30" t="s">
        <v>80</v>
      </c>
      <c r="AP111" s="31"/>
    </row>
    <row r="112" spans="1:42" x14ac:dyDescent="0.25">
      <c r="A112" s="10" t="s">
        <v>1396</v>
      </c>
      <c r="B112" s="10"/>
      <c r="C112" s="30" t="s">
        <v>80</v>
      </c>
      <c r="D112" s="31"/>
      <c r="E112" s="30" t="s">
        <v>80</v>
      </c>
      <c r="F112" s="31"/>
      <c r="G112" s="30" t="s">
        <v>80</v>
      </c>
      <c r="H112" s="31"/>
      <c r="I112" s="30" t="s">
        <v>80</v>
      </c>
      <c r="J112" s="31"/>
      <c r="K112" s="30" t="s">
        <v>80</v>
      </c>
      <c r="L112" s="31"/>
      <c r="M112" s="30" t="s">
        <v>80</v>
      </c>
      <c r="N112" s="31"/>
      <c r="O112" s="30">
        <v>288</v>
      </c>
      <c r="P112" s="31">
        <v>3.3822665883734601E-2</v>
      </c>
      <c r="Q112" s="30">
        <v>719</v>
      </c>
      <c r="R112" s="31">
        <v>7.3736027074146199E-2</v>
      </c>
      <c r="S112" s="30" t="s">
        <v>80</v>
      </c>
      <c r="T112" s="31"/>
      <c r="U112" s="30" t="s">
        <v>80</v>
      </c>
      <c r="V112" s="31"/>
      <c r="W112" s="30" t="s">
        <v>80</v>
      </c>
      <c r="X112" s="31"/>
      <c r="Y112" s="30" t="s">
        <v>80</v>
      </c>
      <c r="Z112" s="31"/>
      <c r="AA112" s="30" t="s">
        <v>80</v>
      </c>
      <c r="AB112" s="31"/>
      <c r="AC112" s="30" t="s">
        <v>80</v>
      </c>
      <c r="AD112" s="31"/>
      <c r="AE112" s="30" t="s">
        <v>80</v>
      </c>
      <c r="AF112" s="31"/>
      <c r="AG112" s="30" t="s">
        <v>80</v>
      </c>
      <c r="AH112" s="31"/>
      <c r="AI112" s="30" t="s">
        <v>80</v>
      </c>
      <c r="AJ112" s="31"/>
      <c r="AK112" s="30" t="s">
        <v>80</v>
      </c>
      <c r="AL112" s="31"/>
      <c r="AM112" s="30" t="s">
        <v>80</v>
      </c>
      <c r="AN112" s="31"/>
      <c r="AO112" s="30" t="s">
        <v>80</v>
      </c>
      <c r="AP112" s="31"/>
    </row>
    <row r="113" spans="1:42" x14ac:dyDescent="0.25">
      <c r="A113" s="10" t="s">
        <v>1412</v>
      </c>
      <c r="B113" s="10"/>
      <c r="C113" s="30" t="s">
        <v>80</v>
      </c>
      <c r="D113" s="31"/>
      <c r="E113" s="30" t="s">
        <v>80</v>
      </c>
      <c r="F113" s="31"/>
      <c r="G113" s="30" t="s">
        <v>80</v>
      </c>
      <c r="H113" s="31"/>
      <c r="I113" s="30" t="s">
        <v>80</v>
      </c>
      <c r="J113" s="31"/>
      <c r="K113" s="30" t="s">
        <v>80</v>
      </c>
      <c r="L113" s="31"/>
      <c r="M113" s="30" t="s">
        <v>80</v>
      </c>
      <c r="N113" s="31"/>
      <c r="O113" s="30" t="s">
        <v>80</v>
      </c>
      <c r="P113" s="31"/>
      <c r="Q113" s="30" t="s">
        <v>80</v>
      </c>
      <c r="R113" s="31"/>
      <c r="S113" s="30" t="s">
        <v>80</v>
      </c>
      <c r="T113" s="31"/>
      <c r="U113" s="30">
        <v>-106</v>
      </c>
      <c r="V113" s="31">
        <v>-7.1337236691567402E-3</v>
      </c>
      <c r="W113" s="30">
        <v>-538</v>
      </c>
      <c r="X113" s="31">
        <v>-2.7919045147898301E-2</v>
      </c>
      <c r="Y113" s="30">
        <v>-969</v>
      </c>
      <c r="Z113" s="31">
        <v>-4.08103099730458E-2</v>
      </c>
      <c r="AA113" s="30">
        <v>-797</v>
      </c>
      <c r="AB113" s="31">
        <v>-2.49592884880371E-2</v>
      </c>
      <c r="AC113" s="30">
        <v>-173</v>
      </c>
      <c r="AD113" s="31">
        <v>-4.8643329115703599E-3</v>
      </c>
      <c r="AE113" s="30" t="s">
        <v>80</v>
      </c>
      <c r="AF113" s="31"/>
      <c r="AG113" s="30" t="s">
        <v>80</v>
      </c>
      <c r="AH113" s="31"/>
      <c r="AI113" s="30" t="s">
        <v>80</v>
      </c>
      <c r="AJ113" s="31"/>
      <c r="AK113" s="30" t="s">
        <v>80</v>
      </c>
      <c r="AL113" s="31"/>
      <c r="AM113" s="30" t="s">
        <v>80</v>
      </c>
      <c r="AN113" s="31"/>
      <c r="AO113" s="30" t="s">
        <v>80</v>
      </c>
      <c r="AP113" s="31"/>
    </row>
    <row r="114" spans="1:42" x14ac:dyDescent="0.25">
      <c r="A114" s="10" t="s">
        <v>1403</v>
      </c>
      <c r="B114" s="10"/>
      <c r="C114" s="30" t="s">
        <v>80</v>
      </c>
      <c r="D114" s="31"/>
      <c r="E114" s="30" t="s">
        <v>80</v>
      </c>
      <c r="F114" s="31"/>
      <c r="G114" s="30" t="s">
        <v>80</v>
      </c>
      <c r="H114" s="31"/>
      <c r="I114" s="30" t="s">
        <v>80</v>
      </c>
      <c r="J114" s="31"/>
      <c r="K114" s="30" t="s">
        <v>80</v>
      </c>
      <c r="L114" s="31"/>
      <c r="M114" s="30" t="s">
        <v>80</v>
      </c>
      <c r="N114" s="31"/>
      <c r="O114" s="30">
        <v>665</v>
      </c>
      <c r="P114" s="31">
        <v>7.8097475044039896E-2</v>
      </c>
      <c r="Q114" s="30">
        <v>924</v>
      </c>
      <c r="R114" s="31">
        <v>9.4759511844938998E-2</v>
      </c>
      <c r="S114" s="30">
        <v>1097</v>
      </c>
      <c r="T114" s="31">
        <v>8.3606432436552094E-2</v>
      </c>
      <c r="U114" s="30" t="s">
        <v>80</v>
      </c>
      <c r="V114" s="31"/>
      <c r="W114" s="30" t="s">
        <v>80</v>
      </c>
      <c r="X114" s="31"/>
      <c r="Y114" s="30" t="s">
        <v>80</v>
      </c>
      <c r="Z114" s="31"/>
      <c r="AA114" s="30" t="s">
        <v>80</v>
      </c>
      <c r="AB114" s="31"/>
      <c r="AC114" s="30" t="s">
        <v>80</v>
      </c>
      <c r="AD114" s="31"/>
      <c r="AE114" s="30" t="s">
        <v>80</v>
      </c>
      <c r="AF114" s="31"/>
      <c r="AG114" s="30" t="s">
        <v>80</v>
      </c>
      <c r="AH114" s="31"/>
      <c r="AI114" s="30" t="s">
        <v>80</v>
      </c>
      <c r="AJ114" s="31"/>
      <c r="AK114" s="30" t="s">
        <v>80</v>
      </c>
      <c r="AL114" s="31"/>
      <c r="AM114" s="30" t="s">
        <v>80</v>
      </c>
      <c r="AN114" s="31"/>
      <c r="AO114" s="30" t="s">
        <v>80</v>
      </c>
      <c r="AP114" s="31"/>
    </row>
    <row r="115" spans="1:42" x14ac:dyDescent="0.25">
      <c r="A115" s="10" t="s">
        <v>1405</v>
      </c>
      <c r="B115" s="10"/>
      <c r="C115" s="30" t="s">
        <v>80</v>
      </c>
      <c r="D115" s="31"/>
      <c r="E115" s="30" t="s">
        <v>80</v>
      </c>
      <c r="F115" s="31"/>
      <c r="G115" s="30" t="s">
        <v>80</v>
      </c>
      <c r="H115" s="31"/>
      <c r="I115" s="30" t="s">
        <v>80</v>
      </c>
      <c r="J115" s="31"/>
      <c r="K115" s="30" t="s">
        <v>80</v>
      </c>
      <c r="L115" s="31"/>
      <c r="M115" s="30" t="s">
        <v>80</v>
      </c>
      <c r="N115" s="31"/>
      <c r="O115" s="30">
        <v>49</v>
      </c>
      <c r="P115" s="31">
        <v>5.7545507927187298E-3</v>
      </c>
      <c r="Q115" s="30">
        <v>96</v>
      </c>
      <c r="R115" s="31">
        <v>9.8451440877858707E-3</v>
      </c>
      <c r="S115" s="30">
        <v>178</v>
      </c>
      <c r="T115" s="31">
        <v>1.3566039173843501E-2</v>
      </c>
      <c r="U115" s="30" t="s">
        <v>80</v>
      </c>
      <c r="V115" s="31"/>
      <c r="W115" s="30" t="s">
        <v>80</v>
      </c>
      <c r="X115" s="31"/>
      <c r="Y115" s="30" t="s">
        <v>80</v>
      </c>
      <c r="Z115" s="31"/>
      <c r="AA115" s="30" t="s">
        <v>80</v>
      </c>
      <c r="AB115" s="31"/>
      <c r="AC115" s="30" t="s">
        <v>80</v>
      </c>
      <c r="AD115" s="31"/>
      <c r="AE115" s="30" t="s">
        <v>80</v>
      </c>
      <c r="AF115" s="31"/>
      <c r="AG115" s="30" t="s">
        <v>80</v>
      </c>
      <c r="AH115" s="31"/>
      <c r="AI115" s="30" t="s">
        <v>80</v>
      </c>
      <c r="AJ115" s="31"/>
      <c r="AK115" s="30" t="s">
        <v>80</v>
      </c>
      <c r="AL115" s="31"/>
      <c r="AM115" s="30" t="s">
        <v>80</v>
      </c>
      <c r="AN115" s="31"/>
      <c r="AO115" s="30" t="s">
        <v>80</v>
      </c>
      <c r="AP115" s="31"/>
    </row>
    <row r="116" spans="1:42" x14ac:dyDescent="0.25">
      <c r="A116" s="6" t="s">
        <v>1416</v>
      </c>
      <c r="B116" s="6"/>
      <c r="C116" s="34">
        <v>183241</v>
      </c>
      <c r="D116" s="35">
        <v>1</v>
      </c>
      <c r="E116" s="34">
        <v>234437</v>
      </c>
      <c r="F116" s="35">
        <v>1</v>
      </c>
      <c r="G116" s="34">
        <v>287928</v>
      </c>
      <c r="H116" s="35">
        <v>1</v>
      </c>
      <c r="I116" s="34">
        <v>606206</v>
      </c>
      <c r="J116" s="35">
        <v>1</v>
      </c>
      <c r="K116" s="34">
        <v>567138</v>
      </c>
      <c r="L116" s="35">
        <v>1</v>
      </c>
      <c r="M116" s="34">
        <v>673450</v>
      </c>
      <c r="N116" s="35">
        <v>1</v>
      </c>
      <c r="O116" s="34">
        <v>829277</v>
      </c>
      <c r="P116" s="35">
        <v>1</v>
      </c>
      <c r="Q116" s="34">
        <v>916567</v>
      </c>
      <c r="R116" s="35">
        <v>1</v>
      </c>
      <c r="S116" s="34">
        <v>1006782</v>
      </c>
      <c r="T116" s="35">
        <v>1</v>
      </c>
      <c r="U116" s="34">
        <v>1172337</v>
      </c>
      <c r="V116" s="35">
        <v>1</v>
      </c>
      <c r="W116" s="34">
        <v>1268119</v>
      </c>
      <c r="X116" s="35">
        <v>1</v>
      </c>
      <c r="Y116" s="34">
        <v>1354147</v>
      </c>
      <c r="Z116" s="35">
        <v>1</v>
      </c>
      <c r="AA116" s="34">
        <v>1620470</v>
      </c>
      <c r="AB116" s="35">
        <v>1</v>
      </c>
      <c r="AC116" s="34">
        <v>1580010</v>
      </c>
      <c r="AD116" s="35">
        <v>1</v>
      </c>
      <c r="AE116" s="34">
        <v>1787904</v>
      </c>
      <c r="AF116" s="35">
        <v>1</v>
      </c>
      <c r="AG116" s="34">
        <v>1850879</v>
      </c>
      <c r="AH116" s="35">
        <v>1</v>
      </c>
      <c r="AI116" s="34">
        <v>2070071</v>
      </c>
      <c r="AJ116" s="35">
        <v>1</v>
      </c>
      <c r="AK116" s="34">
        <v>2274859</v>
      </c>
      <c r="AL116" s="35">
        <v>1</v>
      </c>
      <c r="AM116" s="34">
        <v>2471209</v>
      </c>
      <c r="AN116" s="35">
        <v>1</v>
      </c>
      <c r="AO116" s="34">
        <v>2598663</v>
      </c>
      <c r="AP116" s="35">
        <v>1</v>
      </c>
    </row>
    <row r="117" spans="1:42" x14ac:dyDescent="0.25">
      <c r="A117" s="10" t="s">
        <v>1406</v>
      </c>
      <c r="B117" s="10"/>
      <c r="C117" s="30">
        <v>178650</v>
      </c>
      <c r="D117" s="31">
        <v>0.861549293736949</v>
      </c>
      <c r="E117" s="30">
        <v>225830</v>
      </c>
      <c r="F117" s="31">
        <v>0.86441443510480298</v>
      </c>
      <c r="G117" s="30">
        <v>274936</v>
      </c>
      <c r="H117" s="31">
        <v>0.852110471621215</v>
      </c>
      <c r="I117" s="30">
        <v>562433</v>
      </c>
      <c r="J117" s="31">
        <v>0.92779187272973196</v>
      </c>
      <c r="K117" s="30">
        <v>548560</v>
      </c>
      <c r="L117" s="31">
        <v>0.91502308575088698</v>
      </c>
      <c r="M117" s="30">
        <v>564386</v>
      </c>
      <c r="N117" s="31">
        <v>0.89301017082170397</v>
      </c>
      <c r="O117" s="30">
        <v>637503</v>
      </c>
      <c r="P117" s="31">
        <v>0.76874369180939095</v>
      </c>
      <c r="Q117" s="30">
        <v>627887</v>
      </c>
      <c r="R117" s="31">
        <v>0.68504137172582902</v>
      </c>
      <c r="S117" s="30">
        <v>787916</v>
      </c>
      <c r="T117" s="31">
        <v>0.78260368617822196</v>
      </c>
      <c r="U117" s="30">
        <v>917610</v>
      </c>
      <c r="V117" s="31">
        <v>0.78271928866809504</v>
      </c>
      <c r="W117" s="30">
        <v>1030435</v>
      </c>
      <c r="X117" s="31">
        <v>0.81256964054635294</v>
      </c>
      <c r="Y117" s="30">
        <v>1056424</v>
      </c>
      <c r="Z117" s="31">
        <v>0.780139822338343</v>
      </c>
      <c r="AA117" s="30">
        <v>1180492</v>
      </c>
      <c r="AB117" s="31">
        <v>0.72848741414527896</v>
      </c>
      <c r="AC117" s="30">
        <v>1149536</v>
      </c>
      <c r="AD117" s="31">
        <v>0.72754982563401505</v>
      </c>
      <c r="AE117" s="30">
        <v>1262185</v>
      </c>
      <c r="AF117" s="31">
        <v>0.70595792615263497</v>
      </c>
      <c r="AG117" s="30">
        <v>1236490</v>
      </c>
      <c r="AH117" s="31">
        <v>0.66805555630595004</v>
      </c>
      <c r="AI117" s="30">
        <v>1552253</v>
      </c>
      <c r="AJ117" s="31">
        <v>0.74985495666573798</v>
      </c>
      <c r="AK117" s="30">
        <v>1682493</v>
      </c>
      <c r="AL117" s="31">
        <v>0.73789086450030705</v>
      </c>
      <c r="AM117" s="30">
        <v>1834184</v>
      </c>
      <c r="AN117" s="31">
        <v>0.74026880281806695</v>
      </c>
      <c r="AO117" s="30">
        <v>1959747</v>
      </c>
      <c r="AP117" s="31">
        <v>0.75315906467089599</v>
      </c>
    </row>
    <row r="118" spans="1:42" x14ac:dyDescent="0.25">
      <c r="A118" s="10" t="s">
        <v>1409</v>
      </c>
      <c r="B118" s="10"/>
      <c r="C118" s="30" t="s">
        <v>80</v>
      </c>
      <c r="D118" s="31"/>
      <c r="E118" s="30" t="s">
        <v>80</v>
      </c>
      <c r="F118" s="31"/>
      <c r="G118" s="30" t="s">
        <v>80</v>
      </c>
      <c r="H118" s="31"/>
      <c r="I118" s="30" t="s">
        <v>80</v>
      </c>
      <c r="J118" s="31"/>
      <c r="K118" s="30" t="s">
        <v>80</v>
      </c>
      <c r="L118" s="31"/>
      <c r="M118" s="30" t="s">
        <v>80</v>
      </c>
      <c r="N118" s="31"/>
      <c r="O118" s="30" t="s">
        <v>80</v>
      </c>
      <c r="P118" s="31"/>
      <c r="Q118" s="30" t="s">
        <v>80</v>
      </c>
      <c r="R118" s="31"/>
      <c r="S118" s="30" t="s">
        <v>80</v>
      </c>
      <c r="T118" s="31"/>
      <c r="U118" s="30">
        <v>68988</v>
      </c>
      <c r="V118" s="31">
        <v>5.8846610528039703E-2</v>
      </c>
      <c r="W118" s="30">
        <v>119111</v>
      </c>
      <c r="X118" s="31">
        <v>9.3927304929584704E-2</v>
      </c>
      <c r="Y118" s="30">
        <v>139853</v>
      </c>
      <c r="Z118" s="31">
        <v>0.10327756144643099</v>
      </c>
      <c r="AA118" s="30">
        <v>174804</v>
      </c>
      <c r="AB118" s="31">
        <v>0.10787240738798</v>
      </c>
      <c r="AC118" s="30">
        <v>190602</v>
      </c>
      <c r="AD118" s="31">
        <v>0.120633413712571</v>
      </c>
      <c r="AE118" s="30">
        <v>233007</v>
      </c>
      <c r="AF118" s="31">
        <v>0.13032411136168401</v>
      </c>
      <c r="AG118" s="30">
        <v>271137</v>
      </c>
      <c r="AH118" s="31">
        <v>0.14649093754913201</v>
      </c>
      <c r="AI118" s="30">
        <v>303746</v>
      </c>
      <c r="AJ118" s="31">
        <v>0.14673216522525101</v>
      </c>
      <c r="AK118" s="30">
        <v>336777</v>
      </c>
      <c r="AL118" s="31">
        <v>0.14770027077308501</v>
      </c>
      <c r="AM118" s="30">
        <v>373465</v>
      </c>
      <c r="AN118" s="31">
        <v>0.150728873681402</v>
      </c>
      <c r="AO118" s="30">
        <v>423677</v>
      </c>
      <c r="AP118" s="31">
        <v>0.16282518766074</v>
      </c>
    </row>
    <row r="119" spans="1:42" x14ac:dyDescent="0.25">
      <c r="A119" s="10" t="s">
        <v>1401</v>
      </c>
      <c r="B119" s="10"/>
      <c r="C119" s="30">
        <v>20496</v>
      </c>
      <c r="D119" s="31">
        <v>9.8843069266344799E-2</v>
      </c>
      <c r="E119" s="30">
        <v>26098</v>
      </c>
      <c r="F119" s="31">
        <v>9.9895885964509407E-2</v>
      </c>
      <c r="G119" s="30">
        <v>33144</v>
      </c>
      <c r="H119" s="31">
        <v>0.10272335915054299</v>
      </c>
      <c r="I119" s="30" t="s">
        <v>80</v>
      </c>
      <c r="J119" s="31"/>
      <c r="K119" s="30" t="s">
        <v>80</v>
      </c>
      <c r="L119" s="31"/>
      <c r="M119" s="30" t="s">
        <v>80</v>
      </c>
      <c r="N119" s="31"/>
      <c r="O119" s="30">
        <v>70996</v>
      </c>
      <c r="P119" s="31">
        <v>8.5611718131051201E-2</v>
      </c>
      <c r="Q119" s="30">
        <v>80905</v>
      </c>
      <c r="R119" s="31">
        <v>8.82695010081085E-2</v>
      </c>
      <c r="S119" s="30">
        <v>104739</v>
      </c>
      <c r="T119" s="31">
        <v>0.10403282518265999</v>
      </c>
      <c r="U119" s="30">
        <v>133445</v>
      </c>
      <c r="V119" s="31">
        <v>0.113828288135825</v>
      </c>
      <c r="W119" s="30">
        <v>138720</v>
      </c>
      <c r="X119" s="31">
        <v>0.109390364784377</v>
      </c>
      <c r="Y119" s="30">
        <v>143701</v>
      </c>
      <c r="Z119" s="31">
        <v>0.10611920271580599</v>
      </c>
      <c r="AA119" s="30">
        <v>170378</v>
      </c>
      <c r="AB119" s="31">
        <v>0.10514110103858799</v>
      </c>
      <c r="AC119" s="30">
        <v>191743</v>
      </c>
      <c r="AD119" s="31">
        <v>0.121355561040753</v>
      </c>
      <c r="AE119" s="30">
        <v>222267</v>
      </c>
      <c r="AF119" s="31">
        <v>0.12431707742697599</v>
      </c>
      <c r="AG119" s="30">
        <v>234261</v>
      </c>
      <c r="AH119" s="31">
        <v>0.126567430934167</v>
      </c>
      <c r="AI119" s="30">
        <v>236103</v>
      </c>
      <c r="AJ119" s="31">
        <v>0.11405550824102199</v>
      </c>
      <c r="AK119" s="30">
        <v>249338</v>
      </c>
      <c r="AL119" s="31">
        <v>0.10935215324686499</v>
      </c>
      <c r="AM119" s="30">
        <v>249357</v>
      </c>
      <c r="AN119" s="31">
        <v>0.10063941669118499</v>
      </c>
      <c r="AO119" s="30">
        <v>248994</v>
      </c>
      <c r="AP119" s="31">
        <v>9.5691988888700993E-2</v>
      </c>
    </row>
    <row r="120" spans="1:42" x14ac:dyDescent="0.25">
      <c r="A120" s="10" t="s">
        <v>1404</v>
      </c>
      <c r="B120" s="10"/>
      <c r="C120" s="30" t="s">
        <v>80</v>
      </c>
      <c r="D120" s="31"/>
      <c r="E120" s="30" t="s">
        <v>80</v>
      </c>
      <c r="F120" s="31"/>
      <c r="G120" s="30" t="s">
        <v>80</v>
      </c>
      <c r="H120" s="31"/>
      <c r="I120" s="30" t="s">
        <v>80</v>
      </c>
      <c r="J120" s="31"/>
      <c r="K120" s="30" t="s">
        <v>80</v>
      </c>
      <c r="L120" s="31"/>
      <c r="M120" s="30" t="s">
        <v>80</v>
      </c>
      <c r="N120" s="31"/>
      <c r="O120" s="30">
        <v>21384</v>
      </c>
      <c r="P120" s="31">
        <v>2.5786255289233201E-2</v>
      </c>
      <c r="Q120" s="30">
        <v>103072</v>
      </c>
      <c r="R120" s="31">
        <v>0.11245428598860099</v>
      </c>
      <c r="S120" s="30">
        <v>116299</v>
      </c>
      <c r="T120" s="31">
        <v>0.11551488496088599</v>
      </c>
      <c r="U120" s="30">
        <v>149314</v>
      </c>
      <c r="V120" s="31">
        <v>0.12736450983335801</v>
      </c>
      <c r="W120" s="30">
        <v>80729</v>
      </c>
      <c r="X120" s="31">
        <v>6.3660429344564701E-2</v>
      </c>
      <c r="Y120" s="30">
        <v>121298</v>
      </c>
      <c r="Z120" s="31">
        <v>8.9575208599952605E-2</v>
      </c>
      <c r="AA120" s="30">
        <v>213402</v>
      </c>
      <c r="AB120" s="31">
        <v>0.13169142285880001</v>
      </c>
      <c r="AC120" s="30">
        <v>188934</v>
      </c>
      <c r="AD120" s="31">
        <v>0.11957772419161899</v>
      </c>
      <c r="AE120" s="30">
        <v>244353</v>
      </c>
      <c r="AF120" s="31">
        <v>0.13667008966924399</v>
      </c>
      <c r="AG120" s="30">
        <v>296169</v>
      </c>
      <c r="AH120" s="31">
        <v>0.16001532244949601</v>
      </c>
      <c r="AI120" s="30">
        <v>216815</v>
      </c>
      <c r="AJ120" s="31">
        <v>0.104737953432515</v>
      </c>
      <c r="AK120" s="30">
        <v>250929</v>
      </c>
      <c r="AL120" s="31">
        <v>0.11004991803127701</v>
      </c>
      <c r="AM120" s="30">
        <v>260857</v>
      </c>
      <c r="AN120" s="31">
        <v>0.10528076741303601</v>
      </c>
      <c r="AO120" s="30">
        <v>217245</v>
      </c>
      <c r="AP120" s="31">
        <v>8.3490389833192194E-2</v>
      </c>
    </row>
    <row r="121" spans="1:42" x14ac:dyDescent="0.25">
      <c r="A121" s="10" t="s">
        <v>1402</v>
      </c>
      <c r="B121" s="10"/>
      <c r="C121" s="30">
        <v>2759</v>
      </c>
      <c r="D121" s="31">
        <v>1.33054268201525E-2</v>
      </c>
      <c r="E121" s="30">
        <v>3283</v>
      </c>
      <c r="F121" s="31">
        <v>1.25664109748442E-2</v>
      </c>
      <c r="G121" s="30">
        <v>4821</v>
      </c>
      <c r="H121" s="31">
        <v>1.4941748565796701E-2</v>
      </c>
      <c r="I121" s="30" t="s">
        <v>80</v>
      </c>
      <c r="J121" s="31"/>
      <c r="K121" s="30" t="s">
        <v>80</v>
      </c>
      <c r="L121" s="31"/>
      <c r="M121" s="30">
        <v>40993</v>
      </c>
      <c r="N121" s="31">
        <v>6.4861931253599694E-2</v>
      </c>
      <c r="O121" s="30">
        <v>16814</v>
      </c>
      <c r="P121" s="31">
        <v>2.0275444090589501E-2</v>
      </c>
      <c r="Q121" s="30">
        <v>20058</v>
      </c>
      <c r="R121" s="31">
        <v>2.18838100391897E-2</v>
      </c>
      <c r="S121" s="30">
        <v>20173</v>
      </c>
      <c r="T121" s="31">
        <v>2.00369889192164E-2</v>
      </c>
      <c r="U121" s="30">
        <v>23336</v>
      </c>
      <c r="V121" s="31">
        <v>1.99055560863097E-2</v>
      </c>
      <c r="W121" s="30">
        <v>27768</v>
      </c>
      <c r="X121" s="31">
        <v>2.1896998625523301E-2</v>
      </c>
      <c r="Y121" s="30">
        <v>30362</v>
      </c>
      <c r="Z121" s="31">
        <v>2.2421494859863798E-2</v>
      </c>
      <c r="AA121" s="30">
        <v>36216</v>
      </c>
      <c r="AB121" s="31">
        <v>2.2349071565656901E-2</v>
      </c>
      <c r="AC121" s="30">
        <v>36977</v>
      </c>
      <c r="AD121" s="31">
        <v>2.34030164366048E-2</v>
      </c>
      <c r="AE121" s="30">
        <v>45725</v>
      </c>
      <c r="AF121" s="31">
        <v>2.5574639354238302E-2</v>
      </c>
      <c r="AG121" s="30">
        <v>47254</v>
      </c>
      <c r="AH121" s="31">
        <v>2.5530572230815701E-2</v>
      </c>
      <c r="AI121" s="30">
        <v>46219</v>
      </c>
      <c r="AJ121" s="31">
        <v>2.23272535096622E-2</v>
      </c>
      <c r="AK121" s="30">
        <v>59086</v>
      </c>
      <c r="AL121" s="31">
        <v>2.5913343841469198E-2</v>
      </c>
      <c r="AM121" s="30">
        <v>60684</v>
      </c>
      <c r="AN121" s="31">
        <v>2.44918023656359E-2</v>
      </c>
      <c r="AO121" s="30">
        <v>69327</v>
      </c>
      <c r="AP121" s="31">
        <v>2.6643366963408702E-2</v>
      </c>
    </row>
    <row r="122" spans="1:42" x14ac:dyDescent="0.25">
      <c r="A122" s="10" t="s">
        <v>1400</v>
      </c>
      <c r="B122" s="10"/>
      <c r="C122" s="30">
        <v>385</v>
      </c>
      <c r="D122" s="31">
        <v>1.8566833366287501E-3</v>
      </c>
      <c r="E122" s="30">
        <v>167</v>
      </c>
      <c r="F122" s="31">
        <v>6.3922955613736896E-4</v>
      </c>
      <c r="G122" s="30">
        <v>653</v>
      </c>
      <c r="H122" s="31">
        <v>2.0238460513306899E-3</v>
      </c>
      <c r="I122" s="30" t="s">
        <v>80</v>
      </c>
      <c r="J122" s="31"/>
      <c r="K122" s="30" t="s">
        <v>80</v>
      </c>
      <c r="L122" s="31"/>
      <c r="M122" s="30" t="s">
        <v>80</v>
      </c>
      <c r="N122" s="31"/>
      <c r="O122" s="30">
        <v>277</v>
      </c>
      <c r="P122" s="31">
        <v>3.3402509891122302E-4</v>
      </c>
      <c r="Q122" s="30">
        <v>578</v>
      </c>
      <c r="R122" s="31">
        <v>6.3061333147131505E-4</v>
      </c>
      <c r="S122" s="30">
        <v>711</v>
      </c>
      <c r="T122" s="31">
        <v>7.0620627182683905E-4</v>
      </c>
      <c r="U122" s="30">
        <v>619</v>
      </c>
      <c r="V122" s="31">
        <v>5.2800562296133498E-4</v>
      </c>
      <c r="W122" s="30">
        <v>586</v>
      </c>
      <c r="X122" s="31">
        <v>4.6210174281751201E-4</v>
      </c>
      <c r="Y122" s="30">
        <v>955</v>
      </c>
      <c r="Z122" s="31">
        <v>7.0524101150022905E-4</v>
      </c>
      <c r="AA122" s="30">
        <v>1154</v>
      </c>
      <c r="AB122" s="31">
        <v>7.1213907076341995E-4</v>
      </c>
      <c r="AC122" s="30">
        <v>852</v>
      </c>
      <c r="AD122" s="31">
        <v>5.3923709343611705E-4</v>
      </c>
      <c r="AE122" s="30">
        <v>1154</v>
      </c>
      <c r="AF122" s="31">
        <v>6.4544852520045796E-4</v>
      </c>
      <c r="AG122" s="30">
        <v>1224</v>
      </c>
      <c r="AH122" s="31">
        <v>6.6130741123541798E-4</v>
      </c>
      <c r="AI122" s="30">
        <v>1488</v>
      </c>
      <c r="AJ122" s="31">
        <v>7.1881592467118297E-4</v>
      </c>
      <c r="AK122" s="30">
        <v>1793</v>
      </c>
      <c r="AL122" s="31">
        <v>7.8635591354558399E-4</v>
      </c>
      <c r="AM122" s="30">
        <v>1827</v>
      </c>
      <c r="AN122" s="31">
        <v>7.3736937120191196E-4</v>
      </c>
      <c r="AO122" s="30">
        <v>2063</v>
      </c>
      <c r="AP122" s="31">
        <v>7.9284068321883302E-4</v>
      </c>
    </row>
    <row r="123" spans="1:42" x14ac:dyDescent="0.25">
      <c r="A123" s="10" t="s">
        <v>1395</v>
      </c>
      <c r="B123" s="10"/>
      <c r="C123" s="30" t="s">
        <v>80</v>
      </c>
      <c r="D123" s="31"/>
      <c r="E123" s="30" t="s">
        <v>80</v>
      </c>
      <c r="F123" s="31"/>
      <c r="G123" s="30" t="s">
        <v>80</v>
      </c>
      <c r="H123" s="31"/>
      <c r="I123" s="30" t="s">
        <v>80</v>
      </c>
      <c r="J123" s="31"/>
      <c r="K123" s="30" t="s">
        <v>80</v>
      </c>
      <c r="L123" s="31"/>
      <c r="M123" s="30" t="s">
        <v>80</v>
      </c>
      <c r="N123" s="31"/>
      <c r="O123" s="30">
        <v>297</v>
      </c>
      <c r="P123" s="31">
        <v>3.58142434572683E-4</v>
      </c>
      <c r="Q123" s="30">
        <v>310</v>
      </c>
      <c r="R123" s="31">
        <v>3.3821822276143201E-4</v>
      </c>
      <c r="S123" s="30">
        <v>318</v>
      </c>
      <c r="T123" s="31">
        <v>3.15855969677827E-4</v>
      </c>
      <c r="U123" s="30">
        <v>575</v>
      </c>
      <c r="V123" s="31">
        <v>4.9047372084453603E-4</v>
      </c>
      <c r="W123" s="30">
        <v>488</v>
      </c>
      <c r="X123" s="31">
        <v>3.8482192917226201E-4</v>
      </c>
      <c r="Y123" s="30">
        <v>582</v>
      </c>
      <c r="Z123" s="31">
        <v>4.2979085727029597E-4</v>
      </c>
      <c r="AA123" s="30">
        <v>728</v>
      </c>
      <c r="AB123" s="31">
        <v>4.4925237739668099E-4</v>
      </c>
      <c r="AC123" s="30">
        <v>1092</v>
      </c>
      <c r="AD123" s="31">
        <v>6.9113486623502396E-4</v>
      </c>
      <c r="AE123" s="30">
        <v>1507</v>
      </c>
      <c r="AF123" s="31">
        <v>8.4288641895761702E-4</v>
      </c>
      <c r="AG123" s="30">
        <v>1748</v>
      </c>
      <c r="AH123" s="31">
        <v>9.4441613957476397E-4</v>
      </c>
      <c r="AI123" s="30">
        <v>787</v>
      </c>
      <c r="AJ123" s="31">
        <v>3.8018019671789001E-4</v>
      </c>
      <c r="AK123" s="30">
        <v>883</v>
      </c>
      <c r="AL123" s="31">
        <v>3.8725726249902399E-4</v>
      </c>
      <c r="AM123" s="30">
        <v>1102</v>
      </c>
      <c r="AN123" s="31">
        <v>4.4476247786781999E-4</v>
      </c>
      <c r="AO123" s="30">
        <v>1309</v>
      </c>
      <c r="AP123" s="31">
        <v>5.0306759783492604E-4</v>
      </c>
    </row>
    <row r="124" spans="1:42" x14ac:dyDescent="0.25">
      <c r="A124" s="10" t="s">
        <v>1398</v>
      </c>
      <c r="B124" s="10"/>
      <c r="C124" s="30" t="s">
        <v>80</v>
      </c>
      <c r="D124" s="31"/>
      <c r="E124" s="30" t="s">
        <v>80</v>
      </c>
      <c r="F124" s="31"/>
      <c r="G124" s="30" t="s">
        <v>80</v>
      </c>
      <c r="H124" s="31"/>
      <c r="I124" s="30" t="s">
        <v>80</v>
      </c>
      <c r="J124" s="31"/>
      <c r="K124" s="30" t="s">
        <v>80</v>
      </c>
      <c r="L124" s="31"/>
      <c r="M124" s="30" t="s">
        <v>80</v>
      </c>
      <c r="N124" s="31"/>
      <c r="O124" s="30">
        <v>3185</v>
      </c>
      <c r="P124" s="31">
        <v>3.84068570408753E-3</v>
      </c>
      <c r="Q124" s="30">
        <v>5485</v>
      </c>
      <c r="R124" s="31">
        <v>5.9842804898272697E-3</v>
      </c>
      <c r="S124" s="30">
        <v>5624</v>
      </c>
      <c r="T124" s="31">
        <v>5.58608167757264E-3</v>
      </c>
      <c r="U124" s="30">
        <v>4581</v>
      </c>
      <c r="V124" s="31">
        <v>3.9075828090240298E-3</v>
      </c>
      <c r="W124" s="30">
        <v>4566</v>
      </c>
      <c r="X124" s="31">
        <v>3.6006084602470301E-3</v>
      </c>
      <c r="Y124" s="30">
        <v>4628</v>
      </c>
      <c r="Z124" s="31">
        <v>3.4176496347885399E-3</v>
      </c>
      <c r="AA124" s="30">
        <v>4634</v>
      </c>
      <c r="AB124" s="31">
        <v>2.8596641715058001E-3</v>
      </c>
      <c r="AC124" s="30">
        <v>8611</v>
      </c>
      <c r="AD124" s="31">
        <v>5.4499655065474301E-3</v>
      </c>
      <c r="AE124" s="30">
        <v>6020</v>
      </c>
      <c r="AF124" s="31">
        <v>3.3670711626575E-3</v>
      </c>
      <c r="AG124" s="30">
        <v>6735</v>
      </c>
      <c r="AH124" s="31">
        <v>3.6388116132929299E-3</v>
      </c>
      <c r="AI124" s="30">
        <v>706</v>
      </c>
      <c r="AJ124" s="31">
        <v>3.4105110404425703E-4</v>
      </c>
      <c r="AK124" s="30">
        <v>657</v>
      </c>
      <c r="AL124" s="31">
        <v>2.88140454656692E-4</v>
      </c>
      <c r="AM124" s="30">
        <v>602</v>
      </c>
      <c r="AN124" s="31">
        <v>2.4296462039603199E-4</v>
      </c>
      <c r="AO124" s="30">
        <v>620</v>
      </c>
      <c r="AP124" s="31">
        <v>2.38274950846184E-4</v>
      </c>
    </row>
    <row r="125" spans="1:42" x14ac:dyDescent="0.25">
      <c r="A125" s="10" t="s">
        <v>1408</v>
      </c>
      <c r="B125" s="10"/>
      <c r="C125" s="30">
        <v>-24118</v>
      </c>
      <c r="D125" s="31"/>
      <c r="E125" s="30">
        <v>-26815</v>
      </c>
      <c r="F125" s="31"/>
      <c r="G125" s="30">
        <v>-34725</v>
      </c>
      <c r="H125" s="31"/>
      <c r="I125" s="30" t="s">
        <v>80</v>
      </c>
      <c r="J125" s="31"/>
      <c r="K125" s="30">
        <v>-32366</v>
      </c>
      <c r="L125" s="31"/>
      <c r="M125" s="30">
        <v>41446</v>
      </c>
      <c r="N125" s="31"/>
      <c r="O125" s="30">
        <v>-2</v>
      </c>
      <c r="P125" s="31"/>
      <c r="Q125" s="30">
        <v>-1</v>
      </c>
      <c r="R125" s="31"/>
      <c r="S125" s="30">
        <v>-6</v>
      </c>
      <c r="T125" s="31"/>
      <c r="U125" s="30">
        <v>1</v>
      </c>
      <c r="V125" s="31"/>
      <c r="W125" s="30" t="s">
        <v>80</v>
      </c>
      <c r="X125" s="31"/>
      <c r="Y125" s="30" t="s">
        <v>80</v>
      </c>
      <c r="Z125" s="31"/>
      <c r="AA125" s="30" t="s">
        <v>80</v>
      </c>
      <c r="AB125" s="31"/>
      <c r="AC125" s="30" t="s">
        <v>80</v>
      </c>
      <c r="AD125" s="31"/>
      <c r="AE125" s="30" t="s">
        <v>80</v>
      </c>
      <c r="AF125" s="31"/>
      <c r="AG125" s="30" t="s">
        <v>80</v>
      </c>
      <c r="AH125" s="31"/>
      <c r="AI125" s="30" t="s">
        <v>80</v>
      </c>
      <c r="AJ125" s="31"/>
      <c r="AK125" s="30">
        <v>-5279</v>
      </c>
      <c r="AL125" s="31"/>
      <c r="AM125" s="30">
        <v>-6518</v>
      </c>
      <c r="AN125" s="31"/>
      <c r="AO125" s="30">
        <v>-3373</v>
      </c>
      <c r="AP125" s="31"/>
    </row>
    <row r="126" spans="1:42" x14ac:dyDescent="0.25">
      <c r="A126" s="10" t="s">
        <v>1397</v>
      </c>
      <c r="B126" s="10"/>
      <c r="C126" s="30" t="s">
        <v>80</v>
      </c>
      <c r="D126" s="31"/>
      <c r="E126" s="30" t="s">
        <v>80</v>
      </c>
      <c r="F126" s="31"/>
      <c r="G126" s="30" t="s">
        <v>80</v>
      </c>
      <c r="H126" s="31"/>
      <c r="I126" s="30" t="s">
        <v>80</v>
      </c>
      <c r="J126" s="31"/>
      <c r="K126" s="30" t="s">
        <v>80</v>
      </c>
      <c r="L126" s="31"/>
      <c r="M126" s="30" t="s">
        <v>80</v>
      </c>
      <c r="N126" s="31"/>
      <c r="O126" s="30">
        <v>-71809</v>
      </c>
      <c r="P126" s="31">
        <v>-8.6592087825689598E-2</v>
      </c>
      <c r="Q126" s="30">
        <v>-85925</v>
      </c>
      <c r="R126" s="31">
        <v>-9.3746454163793597E-2</v>
      </c>
      <c r="S126" s="30">
        <v>-114028</v>
      </c>
      <c r="T126" s="31">
        <v>-0.113259196573658</v>
      </c>
      <c r="U126" s="30">
        <v>-143273</v>
      </c>
      <c r="V126" s="31">
        <v>-0.12221155027227699</v>
      </c>
      <c r="W126" s="30">
        <v>-149413</v>
      </c>
      <c r="X126" s="31">
        <v>-0.117822538736507</v>
      </c>
      <c r="Y126" s="30">
        <v>-159254</v>
      </c>
      <c r="Z126" s="31">
        <v>-0.117604661827704</v>
      </c>
      <c r="AA126" s="30">
        <v>-170991</v>
      </c>
      <c r="AB126" s="31">
        <v>-0.105519386350874</v>
      </c>
      <c r="AC126" s="30">
        <v>-197695</v>
      </c>
      <c r="AD126" s="31">
        <v>-0.12512262580616601</v>
      </c>
      <c r="AE126" s="30">
        <v>-228449</v>
      </c>
      <c r="AF126" s="31">
        <v>-0.127774757481386</v>
      </c>
      <c r="AG126" s="30">
        <v>-245918</v>
      </c>
      <c r="AH126" s="31">
        <v>-0.132865519572052</v>
      </c>
      <c r="AI126" s="30">
        <v>-289874</v>
      </c>
      <c r="AJ126" s="31">
        <v>-0.140030945798477</v>
      </c>
      <c r="AK126" s="30">
        <v>-304420</v>
      </c>
      <c r="AL126" s="31">
        <v>-0.13350946302372901</v>
      </c>
      <c r="AM126" s="30">
        <v>-307939</v>
      </c>
      <c r="AN126" s="31">
        <v>-0.12428286086401</v>
      </c>
      <c r="AO126" s="30">
        <v>-320946</v>
      </c>
      <c r="AP126" s="31">
        <v>-0.123344181248837</v>
      </c>
    </row>
    <row r="127" spans="1:42" x14ac:dyDescent="0.25">
      <c r="A127" s="10" t="s">
        <v>1399</v>
      </c>
      <c r="B127" s="10"/>
      <c r="C127" s="30" t="s">
        <v>80</v>
      </c>
      <c r="D127" s="31"/>
      <c r="E127" s="30" t="s">
        <v>80</v>
      </c>
      <c r="F127" s="31"/>
      <c r="G127" s="30" t="s">
        <v>80</v>
      </c>
      <c r="H127" s="31"/>
      <c r="I127" s="30" t="s">
        <v>80</v>
      </c>
      <c r="J127" s="31"/>
      <c r="K127" s="30" t="s">
        <v>80</v>
      </c>
      <c r="L127" s="31"/>
      <c r="M127" s="30" t="s">
        <v>80</v>
      </c>
      <c r="N127" s="31"/>
      <c r="O127" s="30">
        <v>31</v>
      </c>
      <c r="P127" s="31">
        <v>3.7381870275263197E-5</v>
      </c>
      <c r="Q127" s="30">
        <v>37</v>
      </c>
      <c r="R127" s="31">
        <v>4.03679814263644E-5</v>
      </c>
      <c r="S127" s="30">
        <v>32</v>
      </c>
      <c r="T127" s="31">
        <v>3.1784248521039203E-5</v>
      </c>
      <c r="U127" s="30">
        <v>146</v>
      </c>
      <c r="V127" s="31">
        <v>1.2453767520574299E-4</v>
      </c>
      <c r="W127" s="30">
        <v>141</v>
      </c>
      <c r="X127" s="31">
        <v>1.1118830330592001E-4</v>
      </c>
      <c r="Y127" s="30">
        <v>139</v>
      </c>
      <c r="Z127" s="31">
        <v>1.02647644605792E-4</v>
      </c>
      <c r="AA127" s="30">
        <v>138</v>
      </c>
      <c r="AB127" s="31">
        <v>8.51604781328874E-5</v>
      </c>
      <c r="AC127" s="30">
        <v>137</v>
      </c>
      <c r="AD127" s="31">
        <v>8.6708311972709002E-5</v>
      </c>
      <c r="AE127" s="30">
        <v>135</v>
      </c>
      <c r="AF127" s="31">
        <v>7.5507409793814395E-5</v>
      </c>
      <c r="AG127" s="30">
        <v>1779</v>
      </c>
      <c r="AH127" s="31">
        <v>9.6116493838873296E-4</v>
      </c>
      <c r="AI127" s="30">
        <v>1828</v>
      </c>
      <c r="AJ127" s="31">
        <v>8.8306149885680296E-4</v>
      </c>
      <c r="AK127" s="30">
        <v>2602</v>
      </c>
      <c r="AL127" s="31">
        <v>1.14115900002544E-3</v>
      </c>
      <c r="AM127" s="30">
        <v>3588</v>
      </c>
      <c r="AN127" s="31">
        <v>1.44810142521755E-3</v>
      </c>
      <c r="AO127" s="30" t="s">
        <v>80</v>
      </c>
      <c r="AP127" s="31"/>
    </row>
    <row r="128" spans="1:42" x14ac:dyDescent="0.25">
      <c r="A128" s="10" t="s">
        <v>1410</v>
      </c>
      <c r="B128" s="10"/>
      <c r="C128" s="30">
        <v>3818</v>
      </c>
      <c r="D128" s="31">
        <v>1.84125116344118E-2</v>
      </c>
      <c r="E128" s="30">
        <v>4286</v>
      </c>
      <c r="F128" s="31">
        <v>1.6405616033561499E-2</v>
      </c>
      <c r="G128" s="30">
        <v>7626</v>
      </c>
      <c r="H128" s="31">
        <v>2.3635298602523499E-2</v>
      </c>
      <c r="I128" s="30" t="s">
        <v>80</v>
      </c>
      <c r="J128" s="31"/>
      <c r="K128" s="30" t="s">
        <v>80</v>
      </c>
      <c r="L128" s="31"/>
      <c r="M128" s="30" t="s">
        <v>80</v>
      </c>
      <c r="N128" s="31"/>
      <c r="O128" s="30" t="s">
        <v>80</v>
      </c>
      <c r="P128" s="31"/>
      <c r="Q128" s="30" t="s">
        <v>80</v>
      </c>
      <c r="R128" s="31"/>
      <c r="S128" s="30" t="s">
        <v>80</v>
      </c>
      <c r="T128" s="31"/>
      <c r="U128" s="30" t="s">
        <v>80</v>
      </c>
      <c r="V128" s="31"/>
      <c r="W128" s="30" t="s">
        <v>80</v>
      </c>
      <c r="X128" s="31"/>
      <c r="Y128" s="30" t="s">
        <v>80</v>
      </c>
      <c r="Z128" s="31"/>
      <c r="AA128" s="30" t="s">
        <v>80</v>
      </c>
      <c r="AB128" s="31"/>
      <c r="AC128" s="30" t="s">
        <v>80</v>
      </c>
      <c r="AD128" s="31"/>
      <c r="AE128" s="30" t="s">
        <v>80</v>
      </c>
      <c r="AF128" s="31"/>
      <c r="AG128" s="30" t="s">
        <v>80</v>
      </c>
      <c r="AH128" s="31"/>
      <c r="AI128" s="30" t="s">
        <v>80</v>
      </c>
      <c r="AJ128" s="31"/>
      <c r="AK128" s="30" t="s">
        <v>80</v>
      </c>
      <c r="AL128" s="31"/>
      <c r="AM128" s="30" t="s">
        <v>80</v>
      </c>
      <c r="AN128" s="31"/>
      <c r="AO128" s="30" t="s">
        <v>80</v>
      </c>
      <c r="AP128" s="31"/>
    </row>
    <row r="129" spans="1:42" x14ac:dyDescent="0.25">
      <c r="A129" s="10" t="s">
        <v>1411</v>
      </c>
      <c r="B129" s="10"/>
      <c r="C129" s="30">
        <v>352</v>
      </c>
      <c r="D129" s="31">
        <v>1.697539050632E-3</v>
      </c>
      <c r="E129" s="30">
        <v>653</v>
      </c>
      <c r="F129" s="31">
        <v>2.4995023961539098E-3</v>
      </c>
      <c r="G129" s="30">
        <v>140</v>
      </c>
      <c r="H129" s="31">
        <v>4.33902675629856E-4</v>
      </c>
      <c r="I129" s="30" t="s">
        <v>80</v>
      </c>
      <c r="J129" s="31"/>
      <c r="K129" s="30" t="s">
        <v>80</v>
      </c>
      <c r="L129" s="31"/>
      <c r="M129" s="30" t="s">
        <v>80</v>
      </c>
      <c r="N129" s="31"/>
      <c r="O129" s="30" t="s">
        <v>80</v>
      </c>
      <c r="P129" s="31"/>
      <c r="Q129" s="30" t="s">
        <v>80</v>
      </c>
      <c r="R129" s="31"/>
      <c r="S129" s="30" t="s">
        <v>80</v>
      </c>
      <c r="T129" s="31"/>
      <c r="U129" s="30" t="s">
        <v>80</v>
      </c>
      <c r="V129" s="31"/>
      <c r="W129" s="30" t="s">
        <v>80</v>
      </c>
      <c r="X129" s="31"/>
      <c r="Y129" s="30" t="s">
        <v>80</v>
      </c>
      <c r="Z129" s="31"/>
      <c r="AA129" s="30" t="s">
        <v>80</v>
      </c>
      <c r="AB129" s="31"/>
      <c r="AC129" s="30" t="s">
        <v>80</v>
      </c>
      <c r="AD129" s="31"/>
      <c r="AE129" s="30" t="s">
        <v>80</v>
      </c>
      <c r="AF129" s="31"/>
      <c r="AG129" s="30" t="s">
        <v>80</v>
      </c>
      <c r="AH129" s="31"/>
      <c r="AI129" s="30" t="s">
        <v>80</v>
      </c>
      <c r="AJ129" s="31"/>
      <c r="AK129" s="30" t="s">
        <v>80</v>
      </c>
      <c r="AL129" s="31"/>
      <c r="AM129" s="30" t="s">
        <v>80</v>
      </c>
      <c r="AN129" s="31"/>
      <c r="AO129" s="30" t="s">
        <v>80</v>
      </c>
      <c r="AP129" s="31"/>
    </row>
    <row r="130" spans="1:42" x14ac:dyDescent="0.25">
      <c r="A130" s="10" t="s">
        <v>1414</v>
      </c>
      <c r="B130" s="10"/>
      <c r="C130" s="30" t="s">
        <v>80</v>
      </c>
      <c r="D130" s="31"/>
      <c r="E130" s="30" t="s">
        <v>80</v>
      </c>
      <c r="F130" s="31"/>
      <c r="G130" s="30" t="s">
        <v>80</v>
      </c>
      <c r="H130" s="31"/>
      <c r="I130" s="30">
        <v>14322</v>
      </c>
      <c r="J130" s="31">
        <v>2.3625632210832598E-2</v>
      </c>
      <c r="K130" s="30">
        <v>13645</v>
      </c>
      <c r="L130" s="31">
        <v>2.2760481998452101E-2</v>
      </c>
      <c r="M130" s="30" t="s">
        <v>80</v>
      </c>
      <c r="N130" s="31"/>
      <c r="O130" s="30" t="s">
        <v>80</v>
      </c>
      <c r="P130" s="31"/>
      <c r="Q130" s="30" t="s">
        <v>80</v>
      </c>
      <c r="R130" s="31"/>
      <c r="S130" s="30" t="s">
        <v>80</v>
      </c>
      <c r="T130" s="31"/>
      <c r="U130" s="30" t="s">
        <v>80</v>
      </c>
      <c r="V130" s="31"/>
      <c r="W130" s="30" t="s">
        <v>80</v>
      </c>
      <c r="X130" s="31"/>
      <c r="Y130" s="30" t="s">
        <v>80</v>
      </c>
      <c r="Z130" s="31"/>
      <c r="AA130" s="30" t="s">
        <v>80</v>
      </c>
      <c r="AB130" s="31"/>
      <c r="AC130" s="30" t="s">
        <v>80</v>
      </c>
      <c r="AD130" s="31"/>
      <c r="AE130" s="30" t="s">
        <v>80</v>
      </c>
      <c r="AF130" s="31"/>
      <c r="AG130" s="30" t="s">
        <v>80</v>
      </c>
      <c r="AH130" s="31"/>
      <c r="AI130" s="30" t="s">
        <v>80</v>
      </c>
      <c r="AJ130" s="31"/>
      <c r="AK130" s="30" t="s">
        <v>80</v>
      </c>
      <c r="AL130" s="31"/>
      <c r="AM130" s="30" t="s">
        <v>80</v>
      </c>
      <c r="AN130" s="31"/>
      <c r="AO130" s="30" t="s">
        <v>80</v>
      </c>
      <c r="AP130" s="31"/>
    </row>
    <row r="131" spans="1:42" x14ac:dyDescent="0.25">
      <c r="A131" s="10" t="s">
        <v>1415</v>
      </c>
      <c r="B131" s="10"/>
      <c r="C131" s="30" t="s">
        <v>80</v>
      </c>
      <c r="D131" s="31"/>
      <c r="E131" s="30" t="s">
        <v>80</v>
      </c>
      <c r="F131" s="31"/>
      <c r="G131" s="30" t="s">
        <v>80</v>
      </c>
      <c r="H131" s="31"/>
      <c r="I131" s="30">
        <v>27789</v>
      </c>
      <c r="J131" s="31">
        <v>4.5840852779418198E-2</v>
      </c>
      <c r="K131" s="30">
        <v>32026</v>
      </c>
      <c r="L131" s="31">
        <v>5.3420827884384403E-2</v>
      </c>
      <c r="M131" s="30">
        <v>16456</v>
      </c>
      <c r="N131" s="31">
        <v>2.60378098872792E-2</v>
      </c>
      <c r="O131" s="30" t="s">
        <v>80</v>
      </c>
      <c r="P131" s="31"/>
      <c r="Q131" s="30" t="s">
        <v>80</v>
      </c>
      <c r="R131" s="31"/>
      <c r="S131" s="30" t="s">
        <v>80</v>
      </c>
      <c r="T131" s="31"/>
      <c r="U131" s="30" t="s">
        <v>80</v>
      </c>
      <c r="V131" s="31"/>
      <c r="W131" s="30" t="s">
        <v>80</v>
      </c>
      <c r="X131" s="31"/>
      <c r="Y131" s="30" t="s">
        <v>80</v>
      </c>
      <c r="Z131" s="31"/>
      <c r="AA131" s="30" t="s">
        <v>80</v>
      </c>
      <c r="AB131" s="31"/>
      <c r="AC131" s="30" t="s">
        <v>80</v>
      </c>
      <c r="AD131" s="31"/>
      <c r="AE131" s="30" t="s">
        <v>80</v>
      </c>
      <c r="AF131" s="31"/>
      <c r="AG131" s="30" t="s">
        <v>80</v>
      </c>
      <c r="AH131" s="31"/>
      <c r="AI131" s="30" t="s">
        <v>80</v>
      </c>
      <c r="AJ131" s="31"/>
      <c r="AK131" s="30" t="s">
        <v>80</v>
      </c>
      <c r="AL131" s="31"/>
      <c r="AM131" s="30" t="s">
        <v>80</v>
      </c>
      <c r="AN131" s="31"/>
      <c r="AO131" s="30" t="s">
        <v>80</v>
      </c>
      <c r="AP131" s="31"/>
    </row>
    <row r="132" spans="1:42" x14ac:dyDescent="0.25">
      <c r="A132" s="10" t="s">
        <v>1391</v>
      </c>
      <c r="B132" s="10"/>
      <c r="C132" s="30">
        <v>899</v>
      </c>
      <c r="D132" s="31">
        <v>4.33547615488115E-3</v>
      </c>
      <c r="E132" s="30">
        <v>935</v>
      </c>
      <c r="F132" s="31">
        <v>3.5789199699906601E-3</v>
      </c>
      <c r="G132" s="30">
        <v>1333</v>
      </c>
      <c r="H132" s="31">
        <v>4.1313733329614204E-3</v>
      </c>
      <c r="I132" s="30">
        <v>1662</v>
      </c>
      <c r="J132" s="31">
        <v>2.7416422800170199E-3</v>
      </c>
      <c r="K132" s="30">
        <v>5273</v>
      </c>
      <c r="L132" s="31">
        <v>8.7956043662761208E-3</v>
      </c>
      <c r="M132" s="30">
        <v>10169</v>
      </c>
      <c r="N132" s="31">
        <v>1.6090088037417499E-2</v>
      </c>
      <c r="O132" s="30">
        <v>1937</v>
      </c>
      <c r="P132" s="31">
        <v>2.3357639588124099E-3</v>
      </c>
      <c r="Q132" s="30" t="s">
        <v>80</v>
      </c>
      <c r="R132" s="31"/>
      <c r="S132" s="30" t="s">
        <v>80</v>
      </c>
      <c r="T132" s="31"/>
      <c r="U132" s="30" t="s">
        <v>80</v>
      </c>
      <c r="V132" s="31"/>
      <c r="W132" s="30" t="s">
        <v>80</v>
      </c>
      <c r="X132" s="31"/>
      <c r="Y132" s="30" t="s">
        <v>80</v>
      </c>
      <c r="Z132" s="31"/>
      <c r="AA132" s="30" t="s">
        <v>80</v>
      </c>
      <c r="AB132" s="31"/>
      <c r="AC132" s="30" t="s">
        <v>80</v>
      </c>
      <c r="AD132" s="31"/>
      <c r="AE132" s="30" t="s">
        <v>80</v>
      </c>
      <c r="AF132" s="31"/>
      <c r="AG132" s="30" t="s">
        <v>80</v>
      </c>
      <c r="AH132" s="31"/>
      <c r="AI132" s="30" t="s">
        <v>80</v>
      </c>
      <c r="AJ132" s="31"/>
      <c r="AK132" s="30" t="s">
        <v>80</v>
      </c>
      <c r="AL132" s="31"/>
      <c r="AM132" s="30" t="s">
        <v>80</v>
      </c>
      <c r="AN132" s="31"/>
      <c r="AO132" s="30" t="s">
        <v>80</v>
      </c>
      <c r="AP132" s="31"/>
    </row>
    <row r="133" spans="1:42" x14ac:dyDescent="0.25">
      <c r="A133" s="10" t="s">
        <v>1392</v>
      </c>
      <c r="B133" s="10"/>
      <c r="C133" s="30" t="s">
        <v>80</v>
      </c>
      <c r="D133" s="31"/>
      <c r="E133" s="30" t="s">
        <v>80</v>
      </c>
      <c r="F133" s="31"/>
      <c r="G133" s="30" t="s">
        <v>80</v>
      </c>
      <c r="H133" s="31"/>
      <c r="I133" s="30" t="s">
        <v>80</v>
      </c>
      <c r="J133" s="31"/>
      <c r="K133" s="30" t="s">
        <v>80</v>
      </c>
      <c r="L133" s="31"/>
      <c r="M133" s="30" t="s">
        <v>80</v>
      </c>
      <c r="N133" s="31"/>
      <c r="O133" s="30">
        <v>1397</v>
      </c>
      <c r="P133" s="31">
        <v>1.6845958959529901E-3</v>
      </c>
      <c r="Q133" s="30">
        <v>387</v>
      </c>
      <c r="R133" s="31">
        <v>4.22227265189271E-4</v>
      </c>
      <c r="S133" s="30">
        <v>14010</v>
      </c>
      <c r="T133" s="31">
        <v>1.39155413056175E-2</v>
      </c>
      <c r="U133" s="30" t="s">
        <v>80</v>
      </c>
      <c r="V133" s="31"/>
      <c r="W133" s="30" t="s">
        <v>80</v>
      </c>
      <c r="X133" s="31"/>
      <c r="Y133" s="30" t="s">
        <v>80</v>
      </c>
      <c r="Z133" s="31"/>
      <c r="AA133" s="30" t="s">
        <v>80</v>
      </c>
      <c r="AB133" s="31"/>
      <c r="AC133" s="30" t="s">
        <v>80</v>
      </c>
      <c r="AD133" s="31"/>
      <c r="AE133" s="30" t="s">
        <v>80</v>
      </c>
      <c r="AF133" s="31"/>
      <c r="AG133" s="30" t="s">
        <v>80</v>
      </c>
      <c r="AH133" s="31"/>
      <c r="AI133" s="30" t="s">
        <v>80</v>
      </c>
      <c r="AJ133" s="31"/>
      <c r="AK133" s="30" t="s">
        <v>80</v>
      </c>
      <c r="AL133" s="31"/>
      <c r="AM133" s="30" t="s">
        <v>80</v>
      </c>
      <c r="AN133" s="31"/>
      <c r="AO133" s="30" t="s">
        <v>80</v>
      </c>
      <c r="AP133" s="31"/>
    </row>
    <row r="134" spans="1:42" x14ac:dyDescent="0.25">
      <c r="A134" s="10" t="s">
        <v>1393</v>
      </c>
      <c r="B134" s="10"/>
      <c r="C134" s="30" t="s">
        <v>80</v>
      </c>
      <c r="D134" s="31"/>
      <c r="E134" s="30" t="s">
        <v>80</v>
      </c>
      <c r="F134" s="31"/>
      <c r="G134" s="30" t="s">
        <v>80</v>
      </c>
      <c r="H134" s="31"/>
      <c r="I134" s="30" t="s">
        <v>80</v>
      </c>
      <c r="J134" s="31"/>
      <c r="K134" s="30" t="s">
        <v>80</v>
      </c>
      <c r="L134" s="31"/>
      <c r="M134" s="30" t="s">
        <v>80</v>
      </c>
      <c r="N134" s="31"/>
      <c r="O134" s="30">
        <v>4575</v>
      </c>
      <c r="P134" s="31">
        <v>5.5168405325590102E-3</v>
      </c>
      <c r="Q134" s="30">
        <v>3034</v>
      </c>
      <c r="R134" s="31">
        <v>3.3101744769618801E-3</v>
      </c>
      <c r="S134" s="30" t="s">
        <v>80</v>
      </c>
      <c r="T134" s="31"/>
      <c r="U134" s="30" t="s">
        <v>80</v>
      </c>
      <c r="V134" s="31"/>
      <c r="W134" s="30" t="s">
        <v>80</v>
      </c>
      <c r="X134" s="31"/>
      <c r="Y134" s="30" t="s">
        <v>80</v>
      </c>
      <c r="Z134" s="31"/>
      <c r="AA134" s="30" t="s">
        <v>80</v>
      </c>
      <c r="AB134" s="31"/>
      <c r="AC134" s="30" t="s">
        <v>80</v>
      </c>
      <c r="AD134" s="31"/>
      <c r="AE134" s="30" t="s">
        <v>80</v>
      </c>
      <c r="AF134" s="31"/>
      <c r="AG134" s="30" t="s">
        <v>80</v>
      </c>
      <c r="AH134" s="31"/>
      <c r="AI134" s="30" t="s">
        <v>80</v>
      </c>
      <c r="AJ134" s="31"/>
      <c r="AK134" s="30" t="s">
        <v>80</v>
      </c>
      <c r="AL134" s="31"/>
      <c r="AM134" s="30" t="s">
        <v>80</v>
      </c>
      <c r="AN134" s="31"/>
      <c r="AO134" s="30" t="s">
        <v>80</v>
      </c>
      <c r="AP134" s="31"/>
    </row>
    <row r="135" spans="1:42" x14ac:dyDescent="0.25">
      <c r="A135" s="10" t="s">
        <v>1394</v>
      </c>
      <c r="B135" s="10"/>
      <c r="C135" s="30" t="s">
        <v>80</v>
      </c>
      <c r="D135" s="31"/>
      <c r="E135" s="30" t="s">
        <v>80</v>
      </c>
      <c r="F135" s="31"/>
      <c r="G135" s="30" t="s">
        <v>80</v>
      </c>
      <c r="H135" s="31"/>
      <c r="I135" s="30" t="s">
        <v>80</v>
      </c>
      <c r="J135" s="31"/>
      <c r="K135" s="30" t="s">
        <v>80</v>
      </c>
      <c r="L135" s="31"/>
      <c r="M135" s="30" t="s">
        <v>80</v>
      </c>
      <c r="N135" s="31"/>
      <c r="O135" s="30">
        <v>1390</v>
      </c>
      <c r="P135" s="31">
        <v>1.67615482847148E-3</v>
      </c>
      <c r="Q135" s="30">
        <v>863</v>
      </c>
      <c r="R135" s="31">
        <v>9.41555891106825E-4</v>
      </c>
      <c r="S135" s="30" t="s">
        <v>80</v>
      </c>
      <c r="T135" s="31"/>
      <c r="U135" s="30" t="s">
        <v>80</v>
      </c>
      <c r="V135" s="31"/>
      <c r="W135" s="30" t="s">
        <v>80</v>
      </c>
      <c r="X135" s="31"/>
      <c r="Y135" s="30" t="s">
        <v>80</v>
      </c>
      <c r="Z135" s="31"/>
      <c r="AA135" s="30" t="s">
        <v>80</v>
      </c>
      <c r="AB135" s="31"/>
      <c r="AC135" s="30" t="s">
        <v>80</v>
      </c>
      <c r="AD135" s="31"/>
      <c r="AE135" s="30" t="s">
        <v>80</v>
      </c>
      <c r="AF135" s="31"/>
      <c r="AG135" s="30" t="s">
        <v>80</v>
      </c>
      <c r="AH135" s="31"/>
      <c r="AI135" s="30" t="s">
        <v>80</v>
      </c>
      <c r="AJ135" s="31"/>
      <c r="AK135" s="30" t="s">
        <v>80</v>
      </c>
      <c r="AL135" s="31"/>
      <c r="AM135" s="30" t="s">
        <v>80</v>
      </c>
      <c r="AN135" s="31"/>
      <c r="AO135" s="30" t="s">
        <v>80</v>
      </c>
      <c r="AP135" s="31"/>
    </row>
    <row r="136" spans="1:42" x14ac:dyDescent="0.25">
      <c r="A136" s="10" t="s">
        <v>1396</v>
      </c>
      <c r="B136" s="10"/>
      <c r="C136" s="30" t="s">
        <v>80</v>
      </c>
      <c r="D136" s="31"/>
      <c r="E136" s="30" t="s">
        <v>80</v>
      </c>
      <c r="F136" s="31"/>
      <c r="G136" s="30" t="s">
        <v>80</v>
      </c>
      <c r="H136" s="31"/>
      <c r="I136" s="30" t="s">
        <v>80</v>
      </c>
      <c r="J136" s="31"/>
      <c r="K136" s="30" t="s">
        <v>80</v>
      </c>
      <c r="L136" s="31"/>
      <c r="M136" s="30" t="s">
        <v>80</v>
      </c>
      <c r="N136" s="31"/>
      <c r="O136" s="30">
        <v>91102</v>
      </c>
      <c r="P136" s="31">
        <v>0.109856875671517</v>
      </c>
      <c r="Q136" s="30">
        <v>100076</v>
      </c>
      <c r="R136" s="31">
        <v>0.10918557051959001</v>
      </c>
      <c r="S136" s="30" t="s">
        <v>80</v>
      </c>
      <c r="T136" s="31"/>
      <c r="U136" s="30" t="s">
        <v>80</v>
      </c>
      <c r="V136" s="31"/>
      <c r="W136" s="30" t="s">
        <v>80</v>
      </c>
      <c r="X136" s="31"/>
      <c r="Y136" s="30" t="s">
        <v>80</v>
      </c>
      <c r="Z136" s="31"/>
      <c r="AA136" s="30" t="s">
        <v>80</v>
      </c>
      <c r="AB136" s="31"/>
      <c r="AC136" s="30" t="s">
        <v>80</v>
      </c>
      <c r="AD136" s="31"/>
      <c r="AE136" s="30" t="s">
        <v>80</v>
      </c>
      <c r="AF136" s="31"/>
      <c r="AG136" s="30" t="s">
        <v>80</v>
      </c>
      <c r="AH136" s="31"/>
      <c r="AI136" s="30" t="s">
        <v>80</v>
      </c>
      <c r="AJ136" s="31"/>
      <c r="AK136" s="30" t="s">
        <v>80</v>
      </c>
      <c r="AL136" s="31"/>
      <c r="AM136" s="30" t="s">
        <v>80</v>
      </c>
      <c r="AN136" s="31"/>
      <c r="AO136" s="30" t="s">
        <v>80</v>
      </c>
      <c r="AP136" s="31"/>
    </row>
    <row r="137" spans="1:42" x14ac:dyDescent="0.25">
      <c r="A137" s="10" t="s">
        <v>1412</v>
      </c>
      <c r="B137" s="10"/>
      <c r="C137" s="30" t="s">
        <v>80</v>
      </c>
      <c r="D137" s="31"/>
      <c r="E137" s="30" t="s">
        <v>80</v>
      </c>
      <c r="F137" s="31"/>
      <c r="G137" s="30" t="s">
        <v>80</v>
      </c>
      <c r="H137" s="31"/>
      <c r="I137" s="30" t="s">
        <v>80</v>
      </c>
      <c r="J137" s="31"/>
      <c r="K137" s="30" t="s">
        <v>80</v>
      </c>
      <c r="L137" s="31"/>
      <c r="M137" s="30" t="s">
        <v>80</v>
      </c>
      <c r="N137" s="31"/>
      <c r="O137" s="30" t="s">
        <v>80</v>
      </c>
      <c r="P137" s="31"/>
      <c r="Q137" s="30" t="s">
        <v>80</v>
      </c>
      <c r="R137" s="31"/>
      <c r="S137" s="30" t="s">
        <v>80</v>
      </c>
      <c r="T137" s="31"/>
      <c r="U137" s="30">
        <v>16995</v>
      </c>
      <c r="V137" s="31">
        <v>1.44966971926137E-2</v>
      </c>
      <c r="W137" s="30">
        <v>14988</v>
      </c>
      <c r="X137" s="31">
        <v>1.18190800705612E-2</v>
      </c>
      <c r="Y137" s="30">
        <v>15459</v>
      </c>
      <c r="Z137" s="31">
        <v>1.1416042719143499E-2</v>
      </c>
      <c r="AA137" s="30">
        <v>9515</v>
      </c>
      <c r="AB137" s="31">
        <v>5.8717532567711802E-3</v>
      </c>
      <c r="AC137" s="30">
        <v>9221</v>
      </c>
      <c r="AD137" s="31">
        <v>5.8360390124113102E-3</v>
      </c>
      <c r="AE137" s="30" t="s">
        <v>80</v>
      </c>
      <c r="AF137" s="31"/>
      <c r="AG137" s="30" t="s">
        <v>80</v>
      </c>
      <c r="AH137" s="31"/>
      <c r="AI137" s="30" t="s">
        <v>80</v>
      </c>
      <c r="AJ137" s="31"/>
      <c r="AK137" s="30" t="s">
        <v>80</v>
      </c>
      <c r="AL137" s="31"/>
      <c r="AM137" s="30" t="s">
        <v>80</v>
      </c>
      <c r="AN137" s="31"/>
      <c r="AO137" s="30" t="s">
        <v>80</v>
      </c>
      <c r="AP137" s="31"/>
    </row>
    <row r="138" spans="1:42" x14ac:dyDescent="0.25">
      <c r="A138" s="10" t="s">
        <v>1403</v>
      </c>
      <c r="B138" s="10"/>
      <c r="C138" s="30" t="s">
        <v>80</v>
      </c>
      <c r="D138" s="31"/>
      <c r="E138" s="30" t="s">
        <v>80</v>
      </c>
      <c r="F138" s="31"/>
      <c r="G138" s="30" t="s">
        <v>80</v>
      </c>
      <c r="H138" s="31"/>
      <c r="I138" s="30" t="s">
        <v>80</v>
      </c>
      <c r="J138" s="31"/>
      <c r="K138" s="30" t="s">
        <v>80</v>
      </c>
      <c r="L138" s="31"/>
      <c r="M138" s="30" t="s">
        <v>80</v>
      </c>
      <c r="N138" s="31"/>
      <c r="O138" s="30">
        <v>15921</v>
      </c>
      <c r="P138" s="31">
        <v>1.9198605053305302E-2</v>
      </c>
      <c r="Q138" s="30">
        <v>16803</v>
      </c>
      <c r="R138" s="31">
        <v>1.8332518700194599E-2</v>
      </c>
      <c r="S138" s="30">
        <v>18470</v>
      </c>
      <c r="T138" s="31">
        <v>1.83454709432373E-2</v>
      </c>
      <c r="U138" s="30" t="s">
        <v>80</v>
      </c>
      <c r="V138" s="31"/>
      <c r="W138" s="30" t="s">
        <v>80</v>
      </c>
      <c r="X138" s="31"/>
      <c r="Y138" s="30" t="s">
        <v>80</v>
      </c>
      <c r="Z138" s="31"/>
      <c r="AA138" s="30" t="s">
        <v>80</v>
      </c>
      <c r="AB138" s="31"/>
      <c r="AC138" s="30" t="s">
        <v>80</v>
      </c>
      <c r="AD138" s="31"/>
      <c r="AE138" s="30" t="s">
        <v>80</v>
      </c>
      <c r="AF138" s="31"/>
      <c r="AG138" s="30" t="s">
        <v>80</v>
      </c>
      <c r="AH138" s="31"/>
      <c r="AI138" s="30" t="s">
        <v>80</v>
      </c>
      <c r="AJ138" s="31"/>
      <c r="AK138" s="30" t="s">
        <v>80</v>
      </c>
      <c r="AL138" s="31"/>
      <c r="AM138" s="30" t="s">
        <v>80</v>
      </c>
      <c r="AN138" s="31"/>
      <c r="AO138" s="30" t="s">
        <v>80</v>
      </c>
      <c r="AP138" s="31"/>
    </row>
    <row r="139" spans="1:42" x14ac:dyDescent="0.25">
      <c r="A139" s="10" t="s">
        <v>1405</v>
      </c>
      <c r="B139" s="10"/>
      <c r="C139" s="30" t="s">
        <v>80</v>
      </c>
      <c r="D139" s="31"/>
      <c r="E139" s="30" t="s">
        <v>80</v>
      </c>
      <c r="F139" s="31"/>
      <c r="G139" s="30" t="s">
        <v>80</v>
      </c>
      <c r="H139" s="31"/>
      <c r="I139" s="30" t="s">
        <v>80</v>
      </c>
      <c r="J139" s="31"/>
      <c r="K139" s="30" t="s">
        <v>80</v>
      </c>
      <c r="L139" s="31"/>
      <c r="M139" s="30" t="s">
        <v>80</v>
      </c>
      <c r="N139" s="31"/>
      <c r="O139" s="30">
        <v>34279</v>
      </c>
      <c r="P139" s="31">
        <v>4.13359074569596E-2</v>
      </c>
      <c r="Q139" s="30">
        <v>42998</v>
      </c>
      <c r="R139" s="31">
        <v>4.69119585235356E-2</v>
      </c>
      <c r="S139" s="30">
        <v>52524</v>
      </c>
      <c r="T139" s="31">
        <v>5.2169870916220697E-2</v>
      </c>
      <c r="U139" s="30" t="s">
        <v>80</v>
      </c>
      <c r="V139" s="31"/>
      <c r="W139" s="30" t="s">
        <v>80</v>
      </c>
      <c r="X139" s="31"/>
      <c r="Y139" s="30" t="s">
        <v>80</v>
      </c>
      <c r="Z139" s="31"/>
      <c r="AA139" s="30" t="s">
        <v>80</v>
      </c>
      <c r="AB139" s="31"/>
      <c r="AC139" s="30" t="s">
        <v>80</v>
      </c>
      <c r="AD139" s="31"/>
      <c r="AE139" s="30" t="s">
        <v>80</v>
      </c>
      <c r="AF139" s="31"/>
      <c r="AG139" s="30" t="s">
        <v>80</v>
      </c>
      <c r="AH139" s="31"/>
      <c r="AI139" s="30" t="s">
        <v>80</v>
      </c>
      <c r="AJ139" s="31"/>
      <c r="AK139" s="30" t="s">
        <v>80</v>
      </c>
      <c r="AL139" s="31"/>
      <c r="AM139" s="30" t="s">
        <v>80</v>
      </c>
      <c r="AN139" s="31"/>
      <c r="AO139" s="30" t="s">
        <v>80</v>
      </c>
      <c r="AP139" s="31"/>
    </row>
    <row r="140" spans="1:42" x14ac:dyDescent="0.25">
      <c r="A140" s="6" t="s">
        <v>1417</v>
      </c>
      <c r="B140" s="6"/>
      <c r="C140" s="34">
        <v>166412</v>
      </c>
      <c r="D140" s="35">
        <v>1</v>
      </c>
      <c r="E140" s="34">
        <v>206933</v>
      </c>
      <c r="F140" s="35">
        <v>1</v>
      </c>
      <c r="G140" s="34">
        <v>253128</v>
      </c>
      <c r="H140" s="35">
        <v>1</v>
      </c>
      <c r="I140" s="34" t="s">
        <v>80</v>
      </c>
      <c r="J140" s="35"/>
      <c r="K140" s="34" t="s">
        <v>80</v>
      </c>
      <c r="L140" s="35"/>
      <c r="M140" s="34" t="s">
        <v>80</v>
      </c>
      <c r="N140" s="35"/>
      <c r="O140" s="34" t="s">
        <v>80</v>
      </c>
      <c r="P140" s="35"/>
      <c r="Q140" s="34" t="s">
        <v>80</v>
      </c>
      <c r="R140" s="35"/>
      <c r="S140" s="34" t="s">
        <v>80</v>
      </c>
      <c r="T140" s="35"/>
      <c r="U140" s="34" t="s">
        <v>80</v>
      </c>
      <c r="V140" s="35"/>
      <c r="W140" s="34" t="s">
        <v>80</v>
      </c>
      <c r="X140" s="35"/>
      <c r="Y140" s="34" t="s">
        <v>80</v>
      </c>
      <c r="Z140" s="35"/>
      <c r="AA140" s="34" t="s">
        <v>80</v>
      </c>
      <c r="AB140" s="35"/>
      <c r="AC140" s="34" t="s">
        <v>80</v>
      </c>
      <c r="AD140" s="35"/>
      <c r="AE140" s="34" t="s">
        <v>80</v>
      </c>
      <c r="AF140" s="35"/>
      <c r="AG140" s="34" t="s">
        <v>80</v>
      </c>
      <c r="AH140" s="35"/>
      <c r="AI140" s="34" t="s">
        <v>80</v>
      </c>
      <c r="AJ140" s="35"/>
      <c r="AK140" s="34" t="s">
        <v>80</v>
      </c>
      <c r="AL140" s="35"/>
      <c r="AM140" s="34" t="s">
        <v>80</v>
      </c>
      <c r="AN140" s="35"/>
      <c r="AO140" s="34" t="s">
        <v>80</v>
      </c>
      <c r="AP140" s="35"/>
    </row>
    <row r="141" spans="1:42" x14ac:dyDescent="0.25">
      <c r="A141" s="10" t="s">
        <v>1408</v>
      </c>
      <c r="B141" s="10"/>
      <c r="C141" s="30">
        <v>-4602</v>
      </c>
      <c r="D141" s="31"/>
      <c r="E141" s="30">
        <v>-2218</v>
      </c>
      <c r="F141" s="31"/>
      <c r="G141" s="30">
        <v>-3316</v>
      </c>
      <c r="H141" s="31"/>
      <c r="I141" s="30" t="s">
        <v>80</v>
      </c>
      <c r="J141" s="31"/>
      <c r="K141" s="30" t="s">
        <v>80</v>
      </c>
      <c r="L141" s="31"/>
      <c r="M141" s="30" t="s">
        <v>80</v>
      </c>
      <c r="N141" s="31"/>
      <c r="O141" s="30" t="s">
        <v>80</v>
      </c>
      <c r="P141" s="31"/>
      <c r="Q141" s="30" t="s">
        <v>80</v>
      </c>
      <c r="R141" s="31"/>
      <c r="S141" s="30" t="s">
        <v>80</v>
      </c>
      <c r="T141" s="31"/>
      <c r="U141" s="30" t="s">
        <v>80</v>
      </c>
      <c r="V141" s="31"/>
      <c r="W141" s="30" t="s">
        <v>80</v>
      </c>
      <c r="X141" s="31"/>
      <c r="Y141" s="30" t="s">
        <v>80</v>
      </c>
      <c r="Z141" s="31"/>
      <c r="AA141" s="30" t="s">
        <v>80</v>
      </c>
      <c r="AB141" s="31"/>
      <c r="AC141" s="30" t="s">
        <v>80</v>
      </c>
      <c r="AD141" s="31"/>
      <c r="AE141" s="30" t="s">
        <v>80</v>
      </c>
      <c r="AF141" s="31"/>
      <c r="AG141" s="30" t="s">
        <v>80</v>
      </c>
      <c r="AH141" s="31"/>
      <c r="AI141" s="30" t="s">
        <v>80</v>
      </c>
      <c r="AJ141" s="31"/>
      <c r="AK141" s="30" t="s">
        <v>80</v>
      </c>
      <c r="AL141" s="31"/>
      <c r="AM141" s="30" t="s">
        <v>80</v>
      </c>
      <c r="AN141" s="31"/>
      <c r="AO141" s="30" t="s">
        <v>80</v>
      </c>
      <c r="AP141" s="31"/>
    </row>
    <row r="142" spans="1:42" x14ac:dyDescent="0.25">
      <c r="A142" s="10" t="s">
        <v>1410</v>
      </c>
      <c r="B142" s="10"/>
      <c r="C142" s="30">
        <v>3491</v>
      </c>
      <c r="D142" s="31">
        <v>2.04135333949267E-2</v>
      </c>
      <c r="E142" s="30">
        <v>3857</v>
      </c>
      <c r="F142" s="31">
        <v>1.8441221892316999E-2</v>
      </c>
      <c r="G142" s="30">
        <v>7135</v>
      </c>
      <c r="H142" s="31">
        <v>2.7822838514451501E-2</v>
      </c>
      <c r="I142" s="30" t="s">
        <v>80</v>
      </c>
      <c r="J142" s="31"/>
      <c r="K142" s="30" t="s">
        <v>80</v>
      </c>
      <c r="L142" s="31"/>
      <c r="M142" s="30" t="s">
        <v>80</v>
      </c>
      <c r="N142" s="31"/>
      <c r="O142" s="30" t="s">
        <v>80</v>
      </c>
      <c r="P142" s="31"/>
      <c r="Q142" s="30" t="s">
        <v>80</v>
      </c>
      <c r="R142" s="31"/>
      <c r="S142" s="30" t="s">
        <v>80</v>
      </c>
      <c r="T142" s="31"/>
      <c r="U142" s="30" t="s">
        <v>80</v>
      </c>
      <c r="V142" s="31"/>
      <c r="W142" s="30" t="s">
        <v>80</v>
      </c>
      <c r="X142" s="31"/>
      <c r="Y142" s="30" t="s">
        <v>80</v>
      </c>
      <c r="Z142" s="31"/>
      <c r="AA142" s="30" t="s">
        <v>80</v>
      </c>
      <c r="AB142" s="31"/>
      <c r="AC142" s="30" t="s">
        <v>80</v>
      </c>
      <c r="AD142" s="31"/>
      <c r="AE142" s="30" t="s">
        <v>80</v>
      </c>
      <c r="AF142" s="31"/>
      <c r="AG142" s="30" t="s">
        <v>80</v>
      </c>
      <c r="AH142" s="31"/>
      <c r="AI142" s="30" t="s">
        <v>80</v>
      </c>
      <c r="AJ142" s="31"/>
      <c r="AK142" s="30" t="s">
        <v>80</v>
      </c>
      <c r="AL142" s="31"/>
      <c r="AM142" s="30" t="s">
        <v>80</v>
      </c>
      <c r="AN142" s="31"/>
      <c r="AO142" s="30" t="s">
        <v>80</v>
      </c>
      <c r="AP142" s="31"/>
    </row>
    <row r="143" spans="1:42" x14ac:dyDescent="0.25">
      <c r="A143" s="10" t="s">
        <v>1411</v>
      </c>
      <c r="B143" s="10"/>
      <c r="C143" s="30">
        <v>298</v>
      </c>
      <c r="D143" s="31">
        <v>1.74254739378063E-3</v>
      </c>
      <c r="E143" s="30">
        <v>575</v>
      </c>
      <c r="F143" s="31">
        <v>2.7492099009806298E-3</v>
      </c>
      <c r="G143" s="30">
        <v>39</v>
      </c>
      <c r="H143" s="31">
        <v>1.5207998627380601E-4</v>
      </c>
      <c r="I143" s="30" t="s">
        <v>80</v>
      </c>
      <c r="J143" s="31"/>
      <c r="K143" s="30" t="s">
        <v>80</v>
      </c>
      <c r="L143" s="31"/>
      <c r="M143" s="30" t="s">
        <v>80</v>
      </c>
      <c r="N143" s="31"/>
      <c r="O143" s="30" t="s">
        <v>80</v>
      </c>
      <c r="P143" s="31"/>
      <c r="Q143" s="30" t="s">
        <v>80</v>
      </c>
      <c r="R143" s="31"/>
      <c r="S143" s="30" t="s">
        <v>80</v>
      </c>
      <c r="T143" s="31"/>
      <c r="U143" s="30" t="s">
        <v>80</v>
      </c>
      <c r="V143" s="31"/>
      <c r="W143" s="30" t="s">
        <v>80</v>
      </c>
      <c r="X143" s="31"/>
      <c r="Y143" s="30" t="s">
        <v>80</v>
      </c>
      <c r="Z143" s="31"/>
      <c r="AA143" s="30" t="s">
        <v>80</v>
      </c>
      <c r="AB143" s="31"/>
      <c r="AC143" s="30" t="s">
        <v>80</v>
      </c>
      <c r="AD143" s="31"/>
      <c r="AE143" s="30" t="s">
        <v>80</v>
      </c>
      <c r="AF143" s="31"/>
      <c r="AG143" s="30" t="s">
        <v>80</v>
      </c>
      <c r="AH143" s="31"/>
      <c r="AI143" s="30" t="s">
        <v>80</v>
      </c>
      <c r="AJ143" s="31"/>
      <c r="AK143" s="30" t="s">
        <v>80</v>
      </c>
      <c r="AL143" s="31"/>
      <c r="AM143" s="30" t="s">
        <v>80</v>
      </c>
      <c r="AN143" s="31"/>
      <c r="AO143" s="30" t="s">
        <v>80</v>
      </c>
      <c r="AP143" s="31"/>
    </row>
    <row r="144" spans="1:42" x14ac:dyDescent="0.25">
      <c r="A144" s="10" t="s">
        <v>1391</v>
      </c>
      <c r="B144" s="10"/>
      <c r="C144" s="30">
        <v>349</v>
      </c>
      <c r="D144" s="31">
        <v>2.0407685920451001E-3</v>
      </c>
      <c r="E144" s="30">
        <v>227</v>
      </c>
      <c r="F144" s="31">
        <v>1.0853402565610499E-3</v>
      </c>
      <c r="G144" s="30">
        <v>313</v>
      </c>
      <c r="H144" s="31">
        <v>1.2205393770179801E-3</v>
      </c>
      <c r="I144" s="30" t="s">
        <v>80</v>
      </c>
      <c r="J144" s="31"/>
      <c r="K144" s="30" t="s">
        <v>80</v>
      </c>
      <c r="L144" s="31"/>
      <c r="M144" s="30" t="s">
        <v>80</v>
      </c>
      <c r="N144" s="31"/>
      <c r="O144" s="30" t="s">
        <v>80</v>
      </c>
      <c r="P144" s="31"/>
      <c r="Q144" s="30" t="s">
        <v>80</v>
      </c>
      <c r="R144" s="31"/>
      <c r="S144" s="30" t="s">
        <v>80</v>
      </c>
      <c r="T144" s="31"/>
      <c r="U144" s="30" t="s">
        <v>80</v>
      </c>
      <c r="V144" s="31"/>
      <c r="W144" s="30" t="s">
        <v>80</v>
      </c>
      <c r="X144" s="31"/>
      <c r="Y144" s="30" t="s">
        <v>80</v>
      </c>
      <c r="Z144" s="31"/>
      <c r="AA144" s="30" t="s">
        <v>80</v>
      </c>
      <c r="AB144" s="31"/>
      <c r="AC144" s="30" t="s">
        <v>80</v>
      </c>
      <c r="AD144" s="31"/>
      <c r="AE144" s="30" t="s">
        <v>80</v>
      </c>
      <c r="AF144" s="31"/>
      <c r="AG144" s="30" t="s">
        <v>80</v>
      </c>
      <c r="AH144" s="31"/>
      <c r="AI144" s="30" t="s">
        <v>80</v>
      </c>
      <c r="AJ144" s="31"/>
      <c r="AK144" s="30" t="s">
        <v>80</v>
      </c>
      <c r="AL144" s="31"/>
      <c r="AM144" s="30" t="s">
        <v>80</v>
      </c>
      <c r="AN144" s="31"/>
      <c r="AO144" s="30" t="s">
        <v>80</v>
      </c>
      <c r="AP144" s="31"/>
    </row>
    <row r="145" spans="1:42" x14ac:dyDescent="0.25">
      <c r="A145" s="10" t="s">
        <v>1400</v>
      </c>
      <c r="B145" s="10"/>
      <c r="C145" s="30">
        <v>280</v>
      </c>
      <c r="D145" s="31">
        <v>1.6372928532167E-3</v>
      </c>
      <c r="E145" s="30">
        <v>49</v>
      </c>
      <c r="F145" s="31">
        <v>2.3428049590965401E-4</v>
      </c>
      <c r="G145" s="30">
        <v>602</v>
      </c>
      <c r="H145" s="31">
        <v>2.3474910701751601E-3</v>
      </c>
      <c r="I145" s="30" t="s">
        <v>80</v>
      </c>
      <c r="J145" s="31"/>
      <c r="K145" s="30" t="s">
        <v>80</v>
      </c>
      <c r="L145" s="31"/>
      <c r="M145" s="30" t="s">
        <v>80</v>
      </c>
      <c r="N145" s="31"/>
      <c r="O145" s="30" t="s">
        <v>80</v>
      </c>
      <c r="P145" s="31"/>
      <c r="Q145" s="30" t="s">
        <v>80</v>
      </c>
      <c r="R145" s="31"/>
      <c r="S145" s="30" t="s">
        <v>80</v>
      </c>
      <c r="T145" s="31"/>
      <c r="U145" s="30" t="s">
        <v>80</v>
      </c>
      <c r="V145" s="31"/>
      <c r="W145" s="30" t="s">
        <v>80</v>
      </c>
      <c r="X145" s="31"/>
      <c r="Y145" s="30" t="s">
        <v>80</v>
      </c>
      <c r="Z145" s="31"/>
      <c r="AA145" s="30" t="s">
        <v>80</v>
      </c>
      <c r="AB145" s="31"/>
      <c r="AC145" s="30" t="s">
        <v>80</v>
      </c>
      <c r="AD145" s="31"/>
      <c r="AE145" s="30" t="s">
        <v>80</v>
      </c>
      <c r="AF145" s="31"/>
      <c r="AG145" s="30" t="s">
        <v>80</v>
      </c>
      <c r="AH145" s="31"/>
      <c r="AI145" s="30" t="s">
        <v>80</v>
      </c>
      <c r="AJ145" s="31"/>
      <c r="AK145" s="30" t="s">
        <v>80</v>
      </c>
      <c r="AL145" s="31"/>
      <c r="AM145" s="30" t="s">
        <v>80</v>
      </c>
      <c r="AN145" s="31"/>
      <c r="AO145" s="30" t="s">
        <v>80</v>
      </c>
      <c r="AP145" s="31"/>
    </row>
    <row r="146" spans="1:42" x14ac:dyDescent="0.25">
      <c r="A146" s="10" t="s">
        <v>1401</v>
      </c>
      <c r="B146" s="10"/>
      <c r="C146" s="30">
        <v>1</v>
      </c>
      <c r="D146" s="31">
        <v>5.8474744757739096E-6</v>
      </c>
      <c r="E146" s="30">
        <v>1</v>
      </c>
      <c r="F146" s="31">
        <v>4.7812346104010998E-6</v>
      </c>
      <c r="G146" s="30">
        <v>10</v>
      </c>
      <c r="H146" s="31">
        <v>3.8994868275334999E-5</v>
      </c>
      <c r="I146" s="30" t="s">
        <v>80</v>
      </c>
      <c r="J146" s="31"/>
      <c r="K146" s="30" t="s">
        <v>80</v>
      </c>
      <c r="L146" s="31"/>
      <c r="M146" s="30" t="s">
        <v>80</v>
      </c>
      <c r="N146" s="31"/>
      <c r="O146" s="30" t="s">
        <v>80</v>
      </c>
      <c r="P146" s="31"/>
      <c r="Q146" s="30" t="s">
        <v>80</v>
      </c>
      <c r="R146" s="31"/>
      <c r="S146" s="30" t="s">
        <v>80</v>
      </c>
      <c r="T146" s="31"/>
      <c r="U146" s="30" t="s">
        <v>80</v>
      </c>
      <c r="V146" s="31"/>
      <c r="W146" s="30" t="s">
        <v>80</v>
      </c>
      <c r="X146" s="31"/>
      <c r="Y146" s="30" t="s">
        <v>80</v>
      </c>
      <c r="Z146" s="31"/>
      <c r="AA146" s="30" t="s">
        <v>80</v>
      </c>
      <c r="AB146" s="31"/>
      <c r="AC146" s="30" t="s">
        <v>80</v>
      </c>
      <c r="AD146" s="31"/>
      <c r="AE146" s="30" t="s">
        <v>80</v>
      </c>
      <c r="AF146" s="31"/>
      <c r="AG146" s="30" t="s">
        <v>80</v>
      </c>
      <c r="AH146" s="31"/>
      <c r="AI146" s="30" t="s">
        <v>80</v>
      </c>
      <c r="AJ146" s="31"/>
      <c r="AK146" s="30" t="s">
        <v>80</v>
      </c>
      <c r="AL146" s="31"/>
      <c r="AM146" s="30" t="s">
        <v>80</v>
      </c>
      <c r="AN146" s="31"/>
      <c r="AO146" s="30" t="s">
        <v>80</v>
      </c>
      <c r="AP146" s="31"/>
    </row>
    <row r="147" spans="1:42" x14ac:dyDescent="0.25">
      <c r="A147" s="10" t="s">
        <v>1402</v>
      </c>
      <c r="B147" s="10"/>
      <c r="C147" s="30">
        <v>2482</v>
      </c>
      <c r="D147" s="31">
        <v>1.45134316488709E-2</v>
      </c>
      <c r="E147" s="30">
        <v>2877</v>
      </c>
      <c r="F147" s="31">
        <v>1.3755611974123999E-2</v>
      </c>
      <c r="G147" s="30">
        <v>4321</v>
      </c>
      <c r="H147" s="31">
        <v>1.6849682581772201E-2</v>
      </c>
      <c r="I147" s="30" t="s">
        <v>80</v>
      </c>
      <c r="J147" s="31"/>
      <c r="K147" s="30" t="s">
        <v>80</v>
      </c>
      <c r="L147" s="31"/>
      <c r="M147" s="30" t="s">
        <v>80</v>
      </c>
      <c r="N147" s="31"/>
      <c r="O147" s="30" t="s">
        <v>80</v>
      </c>
      <c r="P147" s="31"/>
      <c r="Q147" s="30" t="s">
        <v>80</v>
      </c>
      <c r="R147" s="31"/>
      <c r="S147" s="30" t="s">
        <v>80</v>
      </c>
      <c r="T147" s="31"/>
      <c r="U147" s="30" t="s">
        <v>80</v>
      </c>
      <c r="V147" s="31"/>
      <c r="W147" s="30" t="s">
        <v>80</v>
      </c>
      <c r="X147" s="31"/>
      <c r="Y147" s="30" t="s">
        <v>80</v>
      </c>
      <c r="Z147" s="31"/>
      <c r="AA147" s="30" t="s">
        <v>80</v>
      </c>
      <c r="AB147" s="31"/>
      <c r="AC147" s="30" t="s">
        <v>80</v>
      </c>
      <c r="AD147" s="31"/>
      <c r="AE147" s="30" t="s">
        <v>80</v>
      </c>
      <c r="AF147" s="31"/>
      <c r="AG147" s="30" t="s">
        <v>80</v>
      </c>
      <c r="AH147" s="31"/>
      <c r="AI147" s="30" t="s">
        <v>80</v>
      </c>
      <c r="AJ147" s="31"/>
      <c r="AK147" s="30" t="s">
        <v>80</v>
      </c>
      <c r="AL147" s="31"/>
      <c r="AM147" s="30" t="s">
        <v>80</v>
      </c>
      <c r="AN147" s="31"/>
      <c r="AO147" s="30" t="s">
        <v>80</v>
      </c>
      <c r="AP147" s="31"/>
    </row>
    <row r="148" spans="1:42" x14ac:dyDescent="0.25">
      <c r="A148" s="10" t="s">
        <v>1406</v>
      </c>
      <c r="B148" s="10"/>
      <c r="C148" s="30">
        <v>164113</v>
      </c>
      <c r="D148" s="31">
        <v>0.95964657864268399</v>
      </c>
      <c r="E148" s="30">
        <v>201565</v>
      </c>
      <c r="F148" s="31">
        <v>0.963729554245497</v>
      </c>
      <c r="G148" s="30">
        <v>244024</v>
      </c>
      <c r="H148" s="31">
        <v>0.95156837360203395</v>
      </c>
      <c r="I148" s="30" t="s">
        <v>80</v>
      </c>
      <c r="J148" s="31"/>
      <c r="K148" s="30" t="s">
        <v>80</v>
      </c>
      <c r="L148" s="31"/>
      <c r="M148" s="30" t="s">
        <v>80</v>
      </c>
      <c r="N148" s="31"/>
      <c r="O148" s="30" t="s">
        <v>80</v>
      </c>
      <c r="P148" s="31"/>
      <c r="Q148" s="30" t="s">
        <v>80</v>
      </c>
      <c r="R148" s="31"/>
      <c r="S148" s="30" t="s">
        <v>80</v>
      </c>
      <c r="T148" s="31"/>
      <c r="U148" s="30" t="s">
        <v>80</v>
      </c>
      <c r="V148" s="31"/>
      <c r="W148" s="30" t="s">
        <v>80</v>
      </c>
      <c r="X148" s="31"/>
      <c r="Y148" s="30" t="s">
        <v>80</v>
      </c>
      <c r="Z148" s="31"/>
      <c r="AA148" s="30" t="s">
        <v>80</v>
      </c>
      <c r="AB148" s="31"/>
      <c r="AC148" s="30" t="s">
        <v>80</v>
      </c>
      <c r="AD148" s="31"/>
      <c r="AE148" s="30" t="s">
        <v>80</v>
      </c>
      <c r="AF148" s="31"/>
      <c r="AG148" s="30" t="s">
        <v>80</v>
      </c>
      <c r="AH148" s="31"/>
      <c r="AI148" s="30" t="s">
        <v>80</v>
      </c>
      <c r="AJ148" s="31"/>
      <c r="AK148" s="30" t="s">
        <v>80</v>
      </c>
      <c r="AL148" s="31"/>
      <c r="AM148" s="30" t="s">
        <v>80</v>
      </c>
      <c r="AN148" s="31"/>
      <c r="AO148" s="30" t="s">
        <v>80</v>
      </c>
      <c r="AP148" s="31"/>
    </row>
    <row r="149" spans="1:42" x14ac:dyDescent="0.25">
      <c r="A149" s="6" t="s">
        <v>99</v>
      </c>
      <c r="B149" s="6"/>
      <c r="C149" s="34">
        <v>1410</v>
      </c>
      <c r="D149" s="35">
        <v>1</v>
      </c>
      <c r="E149" s="34">
        <v>1530</v>
      </c>
      <c r="F149" s="35">
        <v>1</v>
      </c>
      <c r="G149" s="34">
        <v>2646</v>
      </c>
      <c r="H149" s="35">
        <v>1</v>
      </c>
      <c r="I149" s="34">
        <v>6690</v>
      </c>
      <c r="J149" s="35">
        <v>1</v>
      </c>
      <c r="K149" s="34">
        <v>7535</v>
      </c>
      <c r="L149" s="35">
        <v>1</v>
      </c>
      <c r="M149" s="34">
        <v>8244</v>
      </c>
      <c r="N149" s="35">
        <v>1</v>
      </c>
      <c r="O149" s="34" t="s">
        <v>80</v>
      </c>
      <c r="P149" s="35"/>
      <c r="Q149" s="34" t="s">
        <v>80</v>
      </c>
      <c r="R149" s="35"/>
      <c r="S149" s="34" t="s">
        <v>80</v>
      </c>
      <c r="T149" s="35"/>
      <c r="U149" s="34" t="s">
        <v>80</v>
      </c>
      <c r="V149" s="35"/>
      <c r="W149" s="34" t="s">
        <v>80</v>
      </c>
      <c r="X149" s="35"/>
      <c r="Y149" s="34" t="s">
        <v>80</v>
      </c>
      <c r="Z149" s="35"/>
      <c r="AA149" s="34" t="s">
        <v>80</v>
      </c>
      <c r="AB149" s="35"/>
      <c r="AC149" s="34" t="s">
        <v>80</v>
      </c>
      <c r="AD149" s="35"/>
      <c r="AE149" s="34" t="s">
        <v>80</v>
      </c>
      <c r="AF149" s="35"/>
      <c r="AG149" s="34" t="s">
        <v>80</v>
      </c>
      <c r="AH149" s="35"/>
      <c r="AI149" s="34" t="s">
        <v>80</v>
      </c>
      <c r="AJ149" s="35"/>
      <c r="AK149" s="34" t="s">
        <v>80</v>
      </c>
      <c r="AL149" s="35"/>
      <c r="AM149" s="34" t="s">
        <v>80</v>
      </c>
      <c r="AN149" s="35"/>
      <c r="AO149" s="34" t="s">
        <v>80</v>
      </c>
      <c r="AP149" s="35"/>
    </row>
    <row r="150" spans="1:42" x14ac:dyDescent="0.25">
      <c r="A150" s="10" t="s">
        <v>1408</v>
      </c>
      <c r="B150" s="10"/>
      <c r="C150" s="30" t="s">
        <v>80</v>
      </c>
      <c r="D150" s="31"/>
      <c r="E150" s="30" t="s">
        <v>80</v>
      </c>
      <c r="F150" s="31"/>
      <c r="G150" s="30" t="s">
        <v>80</v>
      </c>
      <c r="H150" s="31"/>
      <c r="I150" s="30">
        <v>29</v>
      </c>
      <c r="J150" s="31"/>
      <c r="K150" s="30" t="s">
        <v>80</v>
      </c>
      <c r="L150" s="31"/>
      <c r="M150" s="30" t="s">
        <v>80</v>
      </c>
      <c r="N150" s="31"/>
      <c r="O150" s="30" t="s">
        <v>80</v>
      </c>
      <c r="P150" s="31"/>
      <c r="Q150" s="30" t="s">
        <v>80</v>
      </c>
      <c r="R150" s="31"/>
      <c r="S150" s="30" t="s">
        <v>80</v>
      </c>
      <c r="T150" s="31"/>
      <c r="U150" s="30" t="s">
        <v>80</v>
      </c>
      <c r="V150" s="31"/>
      <c r="W150" s="30" t="s">
        <v>80</v>
      </c>
      <c r="X150" s="31"/>
      <c r="Y150" s="30" t="s">
        <v>80</v>
      </c>
      <c r="Z150" s="31"/>
      <c r="AA150" s="30" t="s">
        <v>80</v>
      </c>
      <c r="AB150" s="31"/>
      <c r="AC150" s="30" t="s">
        <v>80</v>
      </c>
      <c r="AD150" s="31"/>
      <c r="AE150" s="30" t="s">
        <v>80</v>
      </c>
      <c r="AF150" s="31"/>
      <c r="AG150" s="30" t="s">
        <v>80</v>
      </c>
      <c r="AH150" s="31"/>
      <c r="AI150" s="30" t="s">
        <v>80</v>
      </c>
      <c r="AJ150" s="31"/>
      <c r="AK150" s="30" t="s">
        <v>80</v>
      </c>
      <c r="AL150" s="31"/>
      <c r="AM150" s="30" t="s">
        <v>80</v>
      </c>
      <c r="AN150" s="31"/>
      <c r="AO150" s="30" t="s">
        <v>80</v>
      </c>
      <c r="AP150" s="31"/>
    </row>
    <row r="151" spans="1:42" x14ac:dyDescent="0.25">
      <c r="A151" s="10" t="s">
        <v>1410</v>
      </c>
      <c r="B151" s="10"/>
      <c r="C151" s="30">
        <v>14</v>
      </c>
      <c r="D151" s="31">
        <v>9.9290780141843994E-3</v>
      </c>
      <c r="E151" s="30">
        <v>3</v>
      </c>
      <c r="F151" s="31">
        <v>1.9607843137254902E-3</v>
      </c>
      <c r="G151" s="30">
        <v>4</v>
      </c>
      <c r="H151" s="31">
        <v>1.5117157974300799E-3</v>
      </c>
      <c r="I151" s="30" t="s">
        <v>80</v>
      </c>
      <c r="J151" s="31"/>
      <c r="K151" s="30" t="s">
        <v>80</v>
      </c>
      <c r="L151" s="31"/>
      <c r="M151" s="30" t="s">
        <v>80</v>
      </c>
      <c r="N151" s="31"/>
      <c r="O151" s="30" t="s">
        <v>80</v>
      </c>
      <c r="P151" s="31"/>
      <c r="Q151" s="30" t="s">
        <v>80</v>
      </c>
      <c r="R151" s="31"/>
      <c r="S151" s="30" t="s">
        <v>80</v>
      </c>
      <c r="T151" s="31"/>
      <c r="U151" s="30" t="s">
        <v>80</v>
      </c>
      <c r="V151" s="31"/>
      <c r="W151" s="30" t="s">
        <v>80</v>
      </c>
      <c r="X151" s="31"/>
      <c r="Y151" s="30" t="s">
        <v>80</v>
      </c>
      <c r="Z151" s="31"/>
      <c r="AA151" s="30" t="s">
        <v>80</v>
      </c>
      <c r="AB151" s="31"/>
      <c r="AC151" s="30" t="s">
        <v>80</v>
      </c>
      <c r="AD151" s="31"/>
      <c r="AE151" s="30" t="s">
        <v>80</v>
      </c>
      <c r="AF151" s="31"/>
      <c r="AG151" s="30" t="s">
        <v>80</v>
      </c>
      <c r="AH151" s="31"/>
      <c r="AI151" s="30" t="s">
        <v>80</v>
      </c>
      <c r="AJ151" s="31"/>
      <c r="AK151" s="30" t="s">
        <v>80</v>
      </c>
      <c r="AL151" s="31"/>
      <c r="AM151" s="30" t="s">
        <v>80</v>
      </c>
      <c r="AN151" s="31"/>
      <c r="AO151" s="30" t="s">
        <v>80</v>
      </c>
      <c r="AP151" s="31"/>
    </row>
    <row r="152" spans="1:42" x14ac:dyDescent="0.25">
      <c r="A152" s="10" t="s">
        <v>1411</v>
      </c>
      <c r="B152" s="10"/>
      <c r="C152" s="30">
        <v>9</v>
      </c>
      <c r="D152" s="31">
        <v>6.3829787234042498E-3</v>
      </c>
      <c r="E152" s="30">
        <v>13</v>
      </c>
      <c r="F152" s="31">
        <v>8.4967320261437902E-3</v>
      </c>
      <c r="G152" s="30">
        <v>48</v>
      </c>
      <c r="H152" s="31">
        <v>1.8140589569161002E-2</v>
      </c>
      <c r="I152" s="30" t="s">
        <v>80</v>
      </c>
      <c r="J152" s="31"/>
      <c r="K152" s="30" t="s">
        <v>80</v>
      </c>
      <c r="L152" s="31"/>
      <c r="M152" s="30" t="s">
        <v>80</v>
      </c>
      <c r="N152" s="31"/>
      <c r="O152" s="30" t="s">
        <v>80</v>
      </c>
      <c r="P152" s="31"/>
      <c r="Q152" s="30" t="s">
        <v>80</v>
      </c>
      <c r="R152" s="31"/>
      <c r="S152" s="30" t="s">
        <v>80</v>
      </c>
      <c r="T152" s="31"/>
      <c r="U152" s="30" t="s">
        <v>80</v>
      </c>
      <c r="V152" s="31"/>
      <c r="W152" s="30" t="s">
        <v>80</v>
      </c>
      <c r="X152" s="31"/>
      <c r="Y152" s="30" t="s">
        <v>80</v>
      </c>
      <c r="Z152" s="31"/>
      <c r="AA152" s="30" t="s">
        <v>80</v>
      </c>
      <c r="AB152" s="31"/>
      <c r="AC152" s="30" t="s">
        <v>80</v>
      </c>
      <c r="AD152" s="31"/>
      <c r="AE152" s="30" t="s">
        <v>80</v>
      </c>
      <c r="AF152" s="31"/>
      <c r="AG152" s="30" t="s">
        <v>80</v>
      </c>
      <c r="AH152" s="31"/>
      <c r="AI152" s="30" t="s">
        <v>80</v>
      </c>
      <c r="AJ152" s="31"/>
      <c r="AK152" s="30" t="s">
        <v>80</v>
      </c>
      <c r="AL152" s="31"/>
      <c r="AM152" s="30" t="s">
        <v>80</v>
      </c>
      <c r="AN152" s="31"/>
      <c r="AO152" s="30" t="s">
        <v>80</v>
      </c>
      <c r="AP152" s="31"/>
    </row>
    <row r="153" spans="1:42" x14ac:dyDescent="0.25">
      <c r="A153" s="10" t="s">
        <v>1414</v>
      </c>
      <c r="B153" s="10"/>
      <c r="C153" s="30" t="s">
        <v>80</v>
      </c>
      <c r="D153" s="31"/>
      <c r="E153" s="30" t="s">
        <v>80</v>
      </c>
      <c r="F153" s="31"/>
      <c r="G153" s="30" t="s">
        <v>80</v>
      </c>
      <c r="H153" s="31"/>
      <c r="I153" s="30">
        <v>79</v>
      </c>
      <c r="J153" s="31">
        <v>1.1860081068908601E-2</v>
      </c>
      <c r="K153" s="30">
        <v>177</v>
      </c>
      <c r="L153" s="31">
        <v>2.3490378234903801E-2</v>
      </c>
      <c r="M153" s="30" t="s">
        <v>80</v>
      </c>
      <c r="N153" s="31"/>
      <c r="O153" s="30" t="s">
        <v>80</v>
      </c>
      <c r="P153" s="31"/>
      <c r="Q153" s="30" t="s">
        <v>80</v>
      </c>
      <c r="R153" s="31"/>
      <c r="S153" s="30" t="s">
        <v>80</v>
      </c>
      <c r="T153" s="31"/>
      <c r="U153" s="30" t="s">
        <v>80</v>
      </c>
      <c r="V153" s="31"/>
      <c r="W153" s="30" t="s">
        <v>80</v>
      </c>
      <c r="X153" s="31"/>
      <c r="Y153" s="30" t="s">
        <v>80</v>
      </c>
      <c r="Z153" s="31"/>
      <c r="AA153" s="30" t="s">
        <v>80</v>
      </c>
      <c r="AB153" s="31"/>
      <c r="AC153" s="30" t="s">
        <v>80</v>
      </c>
      <c r="AD153" s="31"/>
      <c r="AE153" s="30" t="s">
        <v>80</v>
      </c>
      <c r="AF153" s="31"/>
      <c r="AG153" s="30" t="s">
        <v>80</v>
      </c>
      <c r="AH153" s="31"/>
      <c r="AI153" s="30" t="s">
        <v>80</v>
      </c>
      <c r="AJ153" s="31"/>
      <c r="AK153" s="30" t="s">
        <v>80</v>
      </c>
      <c r="AL153" s="31"/>
      <c r="AM153" s="30" t="s">
        <v>80</v>
      </c>
      <c r="AN153" s="31"/>
      <c r="AO153" s="30" t="s">
        <v>80</v>
      </c>
      <c r="AP153" s="31"/>
    </row>
    <row r="154" spans="1:42" x14ac:dyDescent="0.25">
      <c r="A154" s="10" t="s">
        <v>1402</v>
      </c>
      <c r="B154" s="10"/>
      <c r="C154" s="30">
        <v>22</v>
      </c>
      <c r="D154" s="31">
        <v>1.56028368794326E-2</v>
      </c>
      <c r="E154" s="30">
        <v>3</v>
      </c>
      <c r="F154" s="31">
        <v>1.9607843137254902E-3</v>
      </c>
      <c r="G154" s="30">
        <v>6</v>
      </c>
      <c r="H154" s="31">
        <v>2.26757369614512E-3</v>
      </c>
      <c r="I154" s="30" t="s">
        <v>80</v>
      </c>
      <c r="J154" s="31"/>
      <c r="K154" s="30" t="s">
        <v>80</v>
      </c>
      <c r="L154" s="31"/>
      <c r="M154" s="30">
        <v>289</v>
      </c>
      <c r="N154" s="31">
        <v>3.5055798156234802E-2</v>
      </c>
      <c r="O154" s="30" t="s">
        <v>80</v>
      </c>
      <c r="P154" s="31"/>
      <c r="Q154" s="30" t="s">
        <v>80</v>
      </c>
      <c r="R154" s="31"/>
      <c r="S154" s="30" t="s">
        <v>80</v>
      </c>
      <c r="T154" s="31"/>
      <c r="U154" s="30" t="s">
        <v>80</v>
      </c>
      <c r="V154" s="31"/>
      <c r="W154" s="30" t="s">
        <v>80</v>
      </c>
      <c r="X154" s="31"/>
      <c r="Y154" s="30" t="s">
        <v>80</v>
      </c>
      <c r="Z154" s="31"/>
      <c r="AA154" s="30" t="s">
        <v>80</v>
      </c>
      <c r="AB154" s="31"/>
      <c r="AC154" s="30" t="s">
        <v>80</v>
      </c>
      <c r="AD154" s="31"/>
      <c r="AE154" s="30" t="s">
        <v>80</v>
      </c>
      <c r="AF154" s="31"/>
      <c r="AG154" s="30" t="s">
        <v>80</v>
      </c>
      <c r="AH154" s="31"/>
      <c r="AI154" s="30" t="s">
        <v>80</v>
      </c>
      <c r="AJ154" s="31"/>
      <c r="AK154" s="30" t="s">
        <v>80</v>
      </c>
      <c r="AL154" s="31"/>
      <c r="AM154" s="30" t="s">
        <v>80</v>
      </c>
      <c r="AN154" s="31"/>
      <c r="AO154" s="30" t="s">
        <v>80</v>
      </c>
      <c r="AP154" s="31"/>
    </row>
    <row r="155" spans="1:42" x14ac:dyDescent="0.25">
      <c r="A155" s="10" t="s">
        <v>1406</v>
      </c>
      <c r="B155" s="10"/>
      <c r="C155" s="30">
        <v>1365</v>
      </c>
      <c r="D155" s="31">
        <v>0.96808510638297895</v>
      </c>
      <c r="E155" s="30">
        <v>1511</v>
      </c>
      <c r="F155" s="31">
        <v>0.98758169934640505</v>
      </c>
      <c r="G155" s="30">
        <v>2588</v>
      </c>
      <c r="H155" s="31">
        <v>0.97808012093726404</v>
      </c>
      <c r="I155" s="30">
        <v>6582</v>
      </c>
      <c r="J155" s="31">
        <v>0.98813991893109099</v>
      </c>
      <c r="K155" s="30">
        <v>7358</v>
      </c>
      <c r="L155" s="31">
        <v>0.97650962176509604</v>
      </c>
      <c r="M155" s="30">
        <v>7955</v>
      </c>
      <c r="N155" s="31">
        <v>0.96494420184376495</v>
      </c>
      <c r="O155" s="30" t="s">
        <v>80</v>
      </c>
      <c r="P155" s="31"/>
      <c r="Q155" s="30" t="s">
        <v>80</v>
      </c>
      <c r="R155" s="31"/>
      <c r="S155" s="30" t="s">
        <v>80</v>
      </c>
      <c r="T155" s="31"/>
      <c r="U155" s="30" t="s">
        <v>80</v>
      </c>
      <c r="V155" s="31"/>
      <c r="W155" s="30" t="s">
        <v>80</v>
      </c>
      <c r="X155" s="31"/>
      <c r="Y155" s="30" t="s">
        <v>80</v>
      </c>
      <c r="Z155" s="31"/>
      <c r="AA155" s="30" t="s">
        <v>80</v>
      </c>
      <c r="AB155" s="31"/>
      <c r="AC155" s="30" t="s">
        <v>80</v>
      </c>
      <c r="AD155" s="31"/>
      <c r="AE155" s="30" t="s">
        <v>80</v>
      </c>
      <c r="AF155" s="31"/>
      <c r="AG155" s="30" t="s">
        <v>80</v>
      </c>
      <c r="AH155" s="31"/>
      <c r="AI155" s="30" t="s">
        <v>80</v>
      </c>
      <c r="AJ155" s="31"/>
      <c r="AK155" s="30" t="s">
        <v>80</v>
      </c>
      <c r="AL155" s="31"/>
      <c r="AM155" s="30" t="s">
        <v>80</v>
      </c>
      <c r="AN155" s="31"/>
      <c r="AO155" s="30" t="s">
        <v>80</v>
      </c>
      <c r="AP155" s="31"/>
    </row>
    <row r="156" spans="1:42" x14ac:dyDescent="0.25">
      <c r="A156" s="7" t="s">
        <v>87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44"/>
  <sheetViews>
    <sheetView workbookViewId="0">
      <selection activeCell="G13" sqref="G13"/>
    </sheetView>
  </sheetViews>
  <sheetFormatPr baseColWidth="10" defaultRowHeight="15" x14ac:dyDescent="0.25"/>
  <cols>
    <col min="1" max="1" width="35.140625" customWidth="1"/>
    <col min="2" max="2" width="0" hidden="1" customWidth="1"/>
    <col min="3" max="3" width="11.85546875" customWidth="1"/>
    <col min="4" max="4" width="7" customWidth="1"/>
    <col min="5" max="5" width="11.85546875" customWidth="1"/>
    <col min="6" max="6" width="7" customWidth="1"/>
    <col min="7" max="7" width="11.85546875" customWidth="1"/>
    <col min="8" max="8" width="7" customWidth="1"/>
    <col min="9" max="9" width="11.85546875" customWidth="1"/>
    <col min="10" max="10" width="7" customWidth="1"/>
    <col min="11" max="11" width="11.85546875" customWidth="1"/>
    <col min="12" max="12" width="7" customWidth="1"/>
    <col min="13" max="13" width="11.85546875" customWidth="1"/>
    <col min="14" max="14" width="7" customWidth="1"/>
    <col min="15" max="15" width="11.85546875" customWidth="1"/>
    <col min="16" max="16" width="7" customWidth="1"/>
    <col min="17" max="17" width="11.85546875" customWidth="1"/>
    <col min="18" max="18" width="7" customWidth="1"/>
    <col min="19" max="19" width="11.85546875" customWidth="1"/>
    <col min="20" max="20" width="7" customWidth="1"/>
    <col min="21" max="21" width="11.85546875" customWidth="1"/>
    <col min="22" max="22" width="7" customWidth="1"/>
    <col min="23" max="23" width="11.85546875" customWidth="1"/>
    <col min="24" max="24" width="7" customWidth="1"/>
    <col min="25" max="25" width="11.85546875" customWidth="1"/>
    <col min="26" max="26" width="7" customWidth="1"/>
    <col min="27" max="27" width="11.85546875" customWidth="1"/>
    <col min="28" max="28" width="7" customWidth="1"/>
    <col min="29" max="29" width="11.85546875" customWidth="1"/>
    <col min="30" max="30" width="7" customWidth="1"/>
    <col min="31" max="31" width="11.85546875" customWidth="1"/>
    <col min="32" max="32" width="7" customWidth="1"/>
    <col min="33" max="33" width="11.85546875" customWidth="1"/>
    <col min="34" max="34" width="7" customWidth="1"/>
    <col min="35" max="35" width="11.85546875" customWidth="1"/>
    <col min="36" max="36" width="7" customWidth="1"/>
    <col min="37" max="37" width="11.85546875" customWidth="1"/>
    <col min="38" max="38" width="7" customWidth="1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0.25" x14ac:dyDescent="0.25">
      <c r="A2" s="8" t="s">
        <v>1418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3" t="s">
        <v>89</v>
      </c>
      <c r="B4" s="3"/>
      <c r="C4" s="28" t="s">
        <v>4</v>
      </c>
      <c r="D4" s="28"/>
      <c r="E4" s="28" t="s">
        <v>10</v>
      </c>
      <c r="F4" s="28"/>
      <c r="G4" s="28" t="s">
        <v>11</v>
      </c>
      <c r="H4" s="28"/>
      <c r="I4" s="28" t="s">
        <v>12</v>
      </c>
      <c r="J4" s="28"/>
      <c r="K4" s="28" t="s">
        <v>13</v>
      </c>
      <c r="L4" s="28"/>
      <c r="M4" s="28" t="s">
        <v>14</v>
      </c>
      <c r="N4" s="28"/>
      <c r="O4" s="28" t="s">
        <v>17</v>
      </c>
      <c r="P4" s="28"/>
      <c r="Q4" s="28" t="s">
        <v>19</v>
      </c>
      <c r="R4" s="28"/>
      <c r="S4" s="28" t="s">
        <v>20</v>
      </c>
      <c r="T4" s="28"/>
      <c r="U4" s="28" t="s">
        <v>21</v>
      </c>
      <c r="V4" s="28"/>
      <c r="W4" s="28" t="s">
        <v>22</v>
      </c>
      <c r="X4" s="28"/>
      <c r="Y4" s="28" t="s">
        <v>23</v>
      </c>
      <c r="Z4" s="28"/>
      <c r="AA4" s="28" t="s">
        <v>24</v>
      </c>
      <c r="AB4" s="28"/>
      <c r="AC4" s="28" t="s">
        <v>25</v>
      </c>
      <c r="AD4" s="28"/>
      <c r="AE4" s="28" t="s">
        <v>26</v>
      </c>
      <c r="AF4" s="28"/>
      <c r="AG4" s="28" t="s">
        <v>27</v>
      </c>
      <c r="AH4" s="28"/>
      <c r="AI4" s="28" t="s">
        <v>28</v>
      </c>
      <c r="AJ4" s="28"/>
      <c r="AK4" s="28" t="s">
        <v>29</v>
      </c>
      <c r="AL4" s="28"/>
    </row>
    <row r="5" spans="1:38" x14ac:dyDescent="0.25">
      <c r="A5" s="9" t="s">
        <v>31</v>
      </c>
      <c r="B5" s="9"/>
      <c r="C5" s="29" t="s">
        <v>35</v>
      </c>
      <c r="D5" s="29"/>
      <c r="E5" s="29" t="s">
        <v>36</v>
      </c>
      <c r="F5" s="29"/>
      <c r="G5" s="29" t="s">
        <v>37</v>
      </c>
      <c r="H5" s="29"/>
      <c r="I5" s="29" t="s">
        <v>38</v>
      </c>
      <c r="J5" s="29"/>
      <c r="K5" s="29" t="s">
        <v>39</v>
      </c>
      <c r="L5" s="29"/>
      <c r="M5" s="29" t="s">
        <v>40</v>
      </c>
      <c r="N5" s="29"/>
      <c r="O5" s="29" t="s">
        <v>43</v>
      </c>
      <c r="P5" s="29"/>
      <c r="Q5" s="29" t="s">
        <v>45</v>
      </c>
      <c r="R5" s="29"/>
      <c r="S5" s="29" t="s">
        <v>46</v>
      </c>
      <c r="T5" s="29"/>
      <c r="U5" s="29" t="s">
        <v>47</v>
      </c>
      <c r="V5" s="29"/>
      <c r="W5" s="29" t="s">
        <v>48</v>
      </c>
      <c r="X5" s="29"/>
      <c r="Y5" s="29" t="s">
        <v>49</v>
      </c>
      <c r="Z5" s="29"/>
      <c r="AA5" s="29" t="s">
        <v>50</v>
      </c>
      <c r="AB5" s="29"/>
      <c r="AC5" s="29" t="s">
        <v>51</v>
      </c>
      <c r="AD5" s="29"/>
      <c r="AE5" s="29" t="s">
        <v>52</v>
      </c>
      <c r="AF5" s="29"/>
      <c r="AG5" s="29" t="s">
        <v>53</v>
      </c>
      <c r="AH5" s="29"/>
      <c r="AI5" s="29" t="s">
        <v>54</v>
      </c>
      <c r="AJ5" s="29"/>
      <c r="AK5" s="29" t="s">
        <v>55</v>
      </c>
      <c r="AL5" s="29"/>
    </row>
    <row r="6" spans="1:38" x14ac:dyDescent="0.25">
      <c r="A6" s="6" t="s">
        <v>0</v>
      </c>
      <c r="B6" s="6"/>
      <c r="C6" s="34" t="s">
        <v>80</v>
      </c>
      <c r="D6" s="35"/>
      <c r="E6" s="34" t="s">
        <v>80</v>
      </c>
      <c r="F6" s="35"/>
      <c r="G6" s="34" t="s">
        <v>80</v>
      </c>
      <c r="H6" s="35"/>
      <c r="I6" s="34" t="s">
        <v>80</v>
      </c>
      <c r="J6" s="35"/>
      <c r="K6" s="34" t="s">
        <v>80</v>
      </c>
      <c r="L6" s="35"/>
      <c r="M6" s="34" t="s">
        <v>80</v>
      </c>
      <c r="N6" s="35"/>
      <c r="O6" s="34" t="s">
        <v>80</v>
      </c>
      <c r="P6" s="35"/>
      <c r="Q6" s="34">
        <v>108833</v>
      </c>
      <c r="R6" s="35">
        <v>1</v>
      </c>
      <c r="S6" s="34">
        <v>124091</v>
      </c>
      <c r="T6" s="35">
        <v>1</v>
      </c>
      <c r="U6" s="34">
        <v>160962</v>
      </c>
      <c r="V6" s="35">
        <v>1</v>
      </c>
      <c r="W6" s="34">
        <v>197704</v>
      </c>
      <c r="X6" s="35">
        <v>1</v>
      </c>
      <c r="Y6" s="34">
        <v>216667</v>
      </c>
      <c r="Z6" s="35">
        <v>1</v>
      </c>
      <c r="AA6" s="34">
        <v>202281</v>
      </c>
      <c r="AB6" s="35">
        <v>1</v>
      </c>
      <c r="AC6" s="34">
        <v>214994</v>
      </c>
      <c r="AD6" s="35">
        <v>1</v>
      </c>
      <c r="AE6" s="34">
        <v>347491</v>
      </c>
      <c r="AF6" s="35">
        <v>1</v>
      </c>
      <c r="AG6" s="34">
        <v>462742</v>
      </c>
      <c r="AH6" s="35">
        <v>1</v>
      </c>
      <c r="AI6" s="34">
        <v>505520</v>
      </c>
      <c r="AJ6" s="35">
        <v>1</v>
      </c>
      <c r="AK6" s="34">
        <v>523767</v>
      </c>
      <c r="AL6" s="35">
        <v>1</v>
      </c>
    </row>
    <row r="7" spans="1:38" x14ac:dyDescent="0.25">
      <c r="A7" s="10" t="s">
        <v>1419</v>
      </c>
      <c r="B7" s="10"/>
      <c r="C7" s="30" t="s">
        <v>80</v>
      </c>
      <c r="D7" s="31"/>
      <c r="E7" s="30" t="s">
        <v>80</v>
      </c>
      <c r="F7" s="31"/>
      <c r="G7" s="30" t="s">
        <v>80</v>
      </c>
      <c r="H7" s="31"/>
      <c r="I7" s="30" t="s">
        <v>80</v>
      </c>
      <c r="J7" s="31"/>
      <c r="K7" s="30" t="s">
        <v>80</v>
      </c>
      <c r="L7" s="31"/>
      <c r="M7" s="30" t="s">
        <v>80</v>
      </c>
      <c r="N7" s="31"/>
      <c r="O7" s="30" t="s">
        <v>80</v>
      </c>
      <c r="P7" s="31"/>
      <c r="Q7" s="30">
        <v>108833</v>
      </c>
      <c r="R7" s="31">
        <v>1</v>
      </c>
      <c r="S7" s="30">
        <v>124091</v>
      </c>
      <c r="T7" s="31">
        <v>1</v>
      </c>
      <c r="U7" s="30">
        <v>160962</v>
      </c>
      <c r="V7" s="31">
        <v>1</v>
      </c>
      <c r="W7" s="30">
        <v>197704</v>
      </c>
      <c r="X7" s="31">
        <v>1</v>
      </c>
      <c r="Y7" s="30">
        <v>216667</v>
      </c>
      <c r="Z7" s="31">
        <v>1</v>
      </c>
      <c r="AA7" s="30">
        <v>202281</v>
      </c>
      <c r="AB7" s="31">
        <v>1</v>
      </c>
      <c r="AC7" s="30">
        <v>214994</v>
      </c>
      <c r="AD7" s="31">
        <v>1</v>
      </c>
      <c r="AE7" s="30">
        <v>347491</v>
      </c>
      <c r="AF7" s="31">
        <v>1</v>
      </c>
      <c r="AG7" s="30">
        <v>462742</v>
      </c>
      <c r="AH7" s="31">
        <v>1</v>
      </c>
      <c r="AI7" s="30">
        <v>505520</v>
      </c>
      <c r="AJ7" s="31">
        <v>1</v>
      </c>
      <c r="AK7" s="30">
        <v>523767</v>
      </c>
      <c r="AL7" s="31">
        <v>1</v>
      </c>
    </row>
    <row r="8" spans="1:38" x14ac:dyDescent="0.25">
      <c r="A8" s="6" t="s">
        <v>1407</v>
      </c>
      <c r="B8" s="6"/>
      <c r="C8" s="34">
        <v>17971</v>
      </c>
      <c r="D8" s="35">
        <v>1</v>
      </c>
      <c r="E8" s="34">
        <v>20764</v>
      </c>
      <c r="F8" s="35">
        <v>1</v>
      </c>
      <c r="G8" s="34">
        <v>22637</v>
      </c>
      <c r="H8" s="35">
        <v>1</v>
      </c>
      <c r="I8" s="34" t="s">
        <v>80</v>
      </c>
      <c r="J8" s="35"/>
      <c r="K8" s="34" t="s">
        <v>80</v>
      </c>
      <c r="L8" s="35"/>
      <c r="M8" s="34" t="s">
        <v>80</v>
      </c>
      <c r="N8" s="35"/>
      <c r="O8" s="34" t="s">
        <v>80</v>
      </c>
      <c r="P8" s="35"/>
      <c r="Q8" s="34">
        <v>63267</v>
      </c>
      <c r="R8" s="35">
        <v>1</v>
      </c>
      <c r="S8" s="34">
        <v>69522</v>
      </c>
      <c r="T8" s="35">
        <v>1</v>
      </c>
      <c r="U8" s="34">
        <v>81218</v>
      </c>
      <c r="V8" s="35">
        <v>1</v>
      </c>
      <c r="W8" s="34">
        <v>136950</v>
      </c>
      <c r="X8" s="35">
        <v>1</v>
      </c>
      <c r="Y8" s="34">
        <v>147974</v>
      </c>
      <c r="Z8" s="35">
        <v>1</v>
      </c>
      <c r="AA8" s="34">
        <v>154383</v>
      </c>
      <c r="AB8" s="35">
        <v>1</v>
      </c>
      <c r="AC8" s="34">
        <v>174222</v>
      </c>
      <c r="AD8" s="35">
        <v>1</v>
      </c>
      <c r="AE8" s="34">
        <v>195022</v>
      </c>
      <c r="AF8" s="35">
        <v>1</v>
      </c>
      <c r="AG8" s="34">
        <v>214727</v>
      </c>
      <c r="AH8" s="35">
        <v>1</v>
      </c>
      <c r="AI8" s="34">
        <v>239231</v>
      </c>
      <c r="AJ8" s="35">
        <v>1</v>
      </c>
      <c r="AK8" s="34">
        <v>265307</v>
      </c>
      <c r="AL8" s="35">
        <v>1</v>
      </c>
    </row>
    <row r="9" spans="1:38" x14ac:dyDescent="0.25">
      <c r="A9" s="10" t="s">
        <v>1419</v>
      </c>
      <c r="B9" s="10"/>
      <c r="C9" s="30">
        <v>17971</v>
      </c>
      <c r="D9" s="31">
        <v>1</v>
      </c>
      <c r="E9" s="30">
        <v>20764</v>
      </c>
      <c r="F9" s="31">
        <v>1</v>
      </c>
      <c r="G9" s="30">
        <v>22637</v>
      </c>
      <c r="H9" s="31">
        <v>1</v>
      </c>
      <c r="I9" s="30" t="s">
        <v>80</v>
      </c>
      <c r="J9" s="31"/>
      <c r="K9" s="30" t="s">
        <v>80</v>
      </c>
      <c r="L9" s="31"/>
      <c r="M9" s="30" t="s">
        <v>80</v>
      </c>
      <c r="N9" s="31"/>
      <c r="O9" s="30" t="s">
        <v>80</v>
      </c>
      <c r="P9" s="31"/>
      <c r="Q9" s="30">
        <v>63267</v>
      </c>
      <c r="R9" s="31">
        <v>1</v>
      </c>
      <c r="S9" s="30">
        <v>69522</v>
      </c>
      <c r="T9" s="31">
        <v>1</v>
      </c>
      <c r="U9" s="30">
        <v>81218</v>
      </c>
      <c r="V9" s="31">
        <v>1</v>
      </c>
      <c r="W9" s="30">
        <v>136950</v>
      </c>
      <c r="X9" s="31">
        <v>1</v>
      </c>
      <c r="Y9" s="30">
        <v>147974</v>
      </c>
      <c r="Z9" s="31">
        <v>1</v>
      </c>
      <c r="AA9" s="30">
        <v>154383</v>
      </c>
      <c r="AB9" s="31">
        <v>1</v>
      </c>
      <c r="AC9" s="30">
        <v>174222</v>
      </c>
      <c r="AD9" s="31">
        <v>1</v>
      </c>
      <c r="AE9" s="30">
        <v>195022</v>
      </c>
      <c r="AF9" s="31">
        <v>1</v>
      </c>
      <c r="AG9" s="30">
        <v>214727</v>
      </c>
      <c r="AH9" s="31">
        <v>1</v>
      </c>
      <c r="AI9" s="30">
        <v>239231</v>
      </c>
      <c r="AJ9" s="31">
        <v>1</v>
      </c>
      <c r="AK9" s="30">
        <v>265307</v>
      </c>
      <c r="AL9" s="31">
        <v>1</v>
      </c>
    </row>
    <row r="10" spans="1:38" x14ac:dyDescent="0.25">
      <c r="A10" s="6" t="s">
        <v>418</v>
      </c>
      <c r="B10" s="6"/>
      <c r="C10" s="34" t="s">
        <v>80</v>
      </c>
      <c r="D10" s="35"/>
      <c r="E10" s="34" t="s">
        <v>80</v>
      </c>
      <c r="F10" s="35"/>
      <c r="G10" s="34" t="s">
        <v>80</v>
      </c>
      <c r="H10" s="35"/>
      <c r="I10" s="34" t="s">
        <v>80</v>
      </c>
      <c r="J10" s="35"/>
      <c r="K10" s="34" t="s">
        <v>80</v>
      </c>
      <c r="L10" s="35"/>
      <c r="M10" s="34" t="s">
        <v>80</v>
      </c>
      <c r="N10" s="35"/>
      <c r="O10" s="34" t="s">
        <v>80</v>
      </c>
      <c r="P10" s="35"/>
      <c r="Q10" s="34">
        <v>21905</v>
      </c>
      <c r="R10" s="35">
        <v>1</v>
      </c>
      <c r="S10" s="34">
        <v>24965</v>
      </c>
      <c r="T10" s="35">
        <v>1</v>
      </c>
      <c r="U10" s="34">
        <v>31944</v>
      </c>
      <c r="V10" s="35">
        <v>1</v>
      </c>
      <c r="W10" s="34">
        <v>42665</v>
      </c>
      <c r="X10" s="35">
        <v>1</v>
      </c>
      <c r="Y10" s="34">
        <v>48116</v>
      </c>
      <c r="Z10" s="35">
        <v>1</v>
      </c>
      <c r="AA10" s="34">
        <v>38943</v>
      </c>
      <c r="AB10" s="35">
        <v>1</v>
      </c>
      <c r="AC10" s="34">
        <v>43822</v>
      </c>
      <c r="AD10" s="35">
        <v>1</v>
      </c>
      <c r="AE10" s="34">
        <v>61022</v>
      </c>
      <c r="AF10" s="35">
        <v>1</v>
      </c>
      <c r="AG10" s="34">
        <v>69561</v>
      </c>
      <c r="AH10" s="35">
        <v>1</v>
      </c>
      <c r="AI10" s="34">
        <v>75843</v>
      </c>
      <c r="AJ10" s="35">
        <v>1</v>
      </c>
      <c r="AK10" s="34">
        <v>81894</v>
      </c>
      <c r="AL10" s="35">
        <v>1</v>
      </c>
    </row>
    <row r="11" spans="1:38" x14ac:dyDescent="0.25">
      <c r="A11" s="10" t="s">
        <v>1419</v>
      </c>
      <c r="B11" s="10"/>
      <c r="C11" s="30" t="s">
        <v>80</v>
      </c>
      <c r="D11" s="31"/>
      <c r="E11" s="30" t="s">
        <v>80</v>
      </c>
      <c r="F11" s="31"/>
      <c r="G11" s="30" t="s">
        <v>80</v>
      </c>
      <c r="H11" s="31"/>
      <c r="I11" s="30" t="s">
        <v>80</v>
      </c>
      <c r="J11" s="31"/>
      <c r="K11" s="30" t="s">
        <v>80</v>
      </c>
      <c r="L11" s="31"/>
      <c r="M11" s="30" t="s">
        <v>80</v>
      </c>
      <c r="N11" s="31"/>
      <c r="O11" s="30" t="s">
        <v>80</v>
      </c>
      <c r="P11" s="31"/>
      <c r="Q11" s="30">
        <v>21905</v>
      </c>
      <c r="R11" s="31">
        <v>1</v>
      </c>
      <c r="S11" s="30">
        <v>24965</v>
      </c>
      <c r="T11" s="31">
        <v>1</v>
      </c>
      <c r="U11" s="30">
        <v>31944</v>
      </c>
      <c r="V11" s="31">
        <v>1</v>
      </c>
      <c r="W11" s="30">
        <v>42665</v>
      </c>
      <c r="X11" s="31">
        <v>1</v>
      </c>
      <c r="Y11" s="30">
        <v>48116</v>
      </c>
      <c r="Z11" s="31">
        <v>1</v>
      </c>
      <c r="AA11" s="30">
        <v>38943</v>
      </c>
      <c r="AB11" s="31">
        <v>1</v>
      </c>
      <c r="AC11" s="30">
        <v>43822</v>
      </c>
      <c r="AD11" s="31">
        <v>1</v>
      </c>
      <c r="AE11" s="30">
        <v>61022</v>
      </c>
      <c r="AF11" s="31">
        <v>1</v>
      </c>
      <c r="AG11" s="30">
        <v>69561</v>
      </c>
      <c r="AH11" s="31">
        <v>1</v>
      </c>
      <c r="AI11" s="30">
        <v>75843</v>
      </c>
      <c r="AJ11" s="31">
        <v>1</v>
      </c>
      <c r="AK11" s="30">
        <v>81894</v>
      </c>
      <c r="AL11" s="31">
        <v>1</v>
      </c>
    </row>
    <row r="12" spans="1:38" x14ac:dyDescent="0.25">
      <c r="A12" s="6" t="s">
        <v>1282</v>
      </c>
      <c r="B12" s="6"/>
      <c r="C12" s="34" t="s">
        <v>80</v>
      </c>
      <c r="D12" s="35"/>
      <c r="E12" s="34" t="s">
        <v>80</v>
      </c>
      <c r="F12" s="35"/>
      <c r="G12" s="34" t="s">
        <v>80</v>
      </c>
      <c r="H12" s="35"/>
      <c r="I12" s="34" t="s">
        <v>80</v>
      </c>
      <c r="J12" s="35"/>
      <c r="K12" s="34" t="s">
        <v>80</v>
      </c>
      <c r="L12" s="35"/>
      <c r="M12" s="34" t="s">
        <v>80</v>
      </c>
      <c r="N12" s="35"/>
      <c r="O12" s="34" t="s">
        <v>80</v>
      </c>
      <c r="P12" s="35"/>
      <c r="Q12" s="34">
        <v>23642</v>
      </c>
      <c r="R12" s="35">
        <v>1</v>
      </c>
      <c r="S12" s="34">
        <v>27383</v>
      </c>
      <c r="T12" s="35">
        <v>1</v>
      </c>
      <c r="U12" s="34">
        <v>44635</v>
      </c>
      <c r="V12" s="35">
        <v>1</v>
      </c>
      <c r="W12" s="34">
        <v>60754</v>
      </c>
      <c r="X12" s="35">
        <v>1</v>
      </c>
      <c r="Y12" s="34">
        <v>68693</v>
      </c>
      <c r="Z12" s="35">
        <v>1</v>
      </c>
      <c r="AA12" s="34">
        <v>47898</v>
      </c>
      <c r="AB12" s="35">
        <v>1</v>
      </c>
      <c r="AC12" s="34">
        <v>40772</v>
      </c>
      <c r="AD12" s="35">
        <v>1</v>
      </c>
      <c r="AE12" s="34">
        <v>152469</v>
      </c>
      <c r="AF12" s="35">
        <v>1</v>
      </c>
      <c r="AG12" s="34">
        <v>248015</v>
      </c>
      <c r="AH12" s="35">
        <v>1</v>
      </c>
      <c r="AI12" s="34">
        <v>266289</v>
      </c>
      <c r="AJ12" s="35">
        <v>1</v>
      </c>
      <c r="AK12" s="34">
        <v>258460</v>
      </c>
      <c r="AL12" s="35">
        <v>1</v>
      </c>
    </row>
    <row r="13" spans="1:38" x14ac:dyDescent="0.25">
      <c r="A13" s="10" t="s">
        <v>1419</v>
      </c>
      <c r="B13" s="10"/>
      <c r="C13" s="30" t="s">
        <v>80</v>
      </c>
      <c r="D13" s="31"/>
      <c r="E13" s="30" t="s">
        <v>80</v>
      </c>
      <c r="F13" s="31"/>
      <c r="G13" s="30" t="s">
        <v>80</v>
      </c>
      <c r="H13" s="31"/>
      <c r="I13" s="30" t="s">
        <v>80</v>
      </c>
      <c r="J13" s="31"/>
      <c r="K13" s="30" t="s">
        <v>80</v>
      </c>
      <c r="L13" s="31"/>
      <c r="M13" s="30" t="s">
        <v>80</v>
      </c>
      <c r="N13" s="31"/>
      <c r="O13" s="30" t="s">
        <v>80</v>
      </c>
      <c r="P13" s="31"/>
      <c r="Q13" s="30">
        <v>23642</v>
      </c>
      <c r="R13" s="31">
        <v>1</v>
      </c>
      <c r="S13" s="30">
        <v>27383</v>
      </c>
      <c r="T13" s="31">
        <v>1</v>
      </c>
      <c r="U13" s="30">
        <v>44635</v>
      </c>
      <c r="V13" s="31">
        <v>1</v>
      </c>
      <c r="W13" s="30">
        <v>60754</v>
      </c>
      <c r="X13" s="31">
        <v>1</v>
      </c>
      <c r="Y13" s="30">
        <v>68693</v>
      </c>
      <c r="Z13" s="31">
        <v>1</v>
      </c>
      <c r="AA13" s="30">
        <v>47898</v>
      </c>
      <c r="AB13" s="31">
        <v>1</v>
      </c>
      <c r="AC13" s="30">
        <v>40772</v>
      </c>
      <c r="AD13" s="31">
        <v>1</v>
      </c>
      <c r="AE13" s="30">
        <v>152469</v>
      </c>
      <c r="AF13" s="31">
        <v>1</v>
      </c>
      <c r="AG13" s="30">
        <v>248015</v>
      </c>
      <c r="AH13" s="31">
        <v>1</v>
      </c>
      <c r="AI13" s="30">
        <v>266289</v>
      </c>
      <c r="AJ13" s="31">
        <v>1</v>
      </c>
      <c r="AK13" s="30">
        <v>258460</v>
      </c>
      <c r="AL13" s="31">
        <v>1</v>
      </c>
    </row>
    <row r="14" spans="1:38" x14ac:dyDescent="0.25">
      <c r="A14" s="6" t="s">
        <v>1420</v>
      </c>
      <c r="B14" s="6"/>
      <c r="C14" s="34" t="s">
        <v>80</v>
      </c>
      <c r="D14" s="35"/>
      <c r="E14" s="34" t="s">
        <v>80</v>
      </c>
      <c r="F14" s="35"/>
      <c r="G14" s="34" t="s">
        <v>80</v>
      </c>
      <c r="H14" s="35"/>
      <c r="I14" s="34" t="s">
        <v>80</v>
      </c>
      <c r="J14" s="35"/>
      <c r="K14" s="34" t="s">
        <v>80</v>
      </c>
      <c r="L14" s="35"/>
      <c r="M14" s="34" t="s">
        <v>80</v>
      </c>
      <c r="N14" s="35"/>
      <c r="O14" s="34" t="s">
        <v>80</v>
      </c>
      <c r="P14" s="35"/>
      <c r="Q14" s="34">
        <v>23106</v>
      </c>
      <c r="R14" s="35">
        <v>1</v>
      </c>
      <c r="S14" s="34">
        <v>26211</v>
      </c>
      <c r="T14" s="35">
        <v>1</v>
      </c>
      <c r="U14" s="34">
        <v>33208</v>
      </c>
      <c r="V14" s="35">
        <v>1</v>
      </c>
      <c r="W14" s="34">
        <v>44050</v>
      </c>
      <c r="X14" s="35">
        <v>1</v>
      </c>
      <c r="Y14" s="34">
        <v>49832</v>
      </c>
      <c r="Z14" s="35">
        <v>1</v>
      </c>
      <c r="AA14" s="34">
        <v>40946</v>
      </c>
      <c r="AB14" s="35">
        <v>1</v>
      </c>
      <c r="AC14" s="34">
        <v>46095</v>
      </c>
      <c r="AD14" s="35">
        <v>1</v>
      </c>
      <c r="AE14" s="34">
        <v>61988</v>
      </c>
      <c r="AF14" s="35">
        <v>1</v>
      </c>
      <c r="AG14" s="34">
        <v>70974</v>
      </c>
      <c r="AH14" s="35">
        <v>1</v>
      </c>
      <c r="AI14" s="34">
        <v>77556</v>
      </c>
      <c r="AJ14" s="35">
        <v>1</v>
      </c>
      <c r="AK14" s="34">
        <v>83618</v>
      </c>
      <c r="AL14" s="35">
        <v>1</v>
      </c>
    </row>
    <row r="15" spans="1:38" x14ac:dyDescent="0.25">
      <c r="A15" s="10" t="s">
        <v>1419</v>
      </c>
      <c r="B15" s="10"/>
      <c r="C15" s="30" t="s">
        <v>80</v>
      </c>
      <c r="D15" s="31"/>
      <c r="E15" s="30" t="s">
        <v>80</v>
      </c>
      <c r="F15" s="31"/>
      <c r="G15" s="30" t="s">
        <v>80</v>
      </c>
      <c r="H15" s="31"/>
      <c r="I15" s="30" t="s">
        <v>80</v>
      </c>
      <c r="J15" s="31"/>
      <c r="K15" s="30" t="s">
        <v>80</v>
      </c>
      <c r="L15" s="31"/>
      <c r="M15" s="30" t="s">
        <v>80</v>
      </c>
      <c r="N15" s="31"/>
      <c r="O15" s="30" t="s">
        <v>80</v>
      </c>
      <c r="P15" s="31"/>
      <c r="Q15" s="30">
        <v>23106</v>
      </c>
      <c r="R15" s="31">
        <v>1</v>
      </c>
      <c r="S15" s="30">
        <v>26211</v>
      </c>
      <c r="T15" s="31">
        <v>1</v>
      </c>
      <c r="U15" s="30">
        <v>33208</v>
      </c>
      <c r="V15" s="31">
        <v>1</v>
      </c>
      <c r="W15" s="30">
        <v>44050</v>
      </c>
      <c r="X15" s="31">
        <v>1</v>
      </c>
      <c r="Y15" s="30">
        <v>49832</v>
      </c>
      <c r="Z15" s="31">
        <v>1</v>
      </c>
      <c r="AA15" s="30">
        <v>40946</v>
      </c>
      <c r="AB15" s="31">
        <v>1</v>
      </c>
      <c r="AC15" s="30">
        <v>46095</v>
      </c>
      <c r="AD15" s="31">
        <v>1</v>
      </c>
      <c r="AE15" s="30">
        <v>61988</v>
      </c>
      <c r="AF15" s="31">
        <v>1</v>
      </c>
      <c r="AG15" s="30">
        <v>70974</v>
      </c>
      <c r="AH15" s="31">
        <v>1</v>
      </c>
      <c r="AI15" s="30">
        <v>77556</v>
      </c>
      <c r="AJ15" s="31">
        <v>1</v>
      </c>
      <c r="AK15" s="30">
        <v>83618</v>
      </c>
      <c r="AL15" s="31">
        <v>1</v>
      </c>
    </row>
    <row r="16" spans="1:38" x14ac:dyDescent="0.25">
      <c r="A16" s="6" t="s">
        <v>1421</v>
      </c>
      <c r="B16" s="6"/>
      <c r="C16" s="34" t="s">
        <v>80</v>
      </c>
      <c r="D16" s="35"/>
      <c r="E16" s="34" t="s">
        <v>80</v>
      </c>
      <c r="F16" s="35"/>
      <c r="G16" s="34" t="s">
        <v>80</v>
      </c>
      <c r="H16" s="35"/>
      <c r="I16" s="34" t="s">
        <v>80</v>
      </c>
      <c r="J16" s="35"/>
      <c r="K16" s="34" t="s">
        <v>80</v>
      </c>
      <c r="L16" s="35"/>
      <c r="M16" s="34" t="s">
        <v>80</v>
      </c>
      <c r="N16" s="35"/>
      <c r="O16" s="34" t="s">
        <v>80</v>
      </c>
      <c r="P16" s="35"/>
      <c r="Q16" s="34">
        <v>5991</v>
      </c>
      <c r="R16" s="35">
        <v>1</v>
      </c>
      <c r="S16" s="34">
        <v>6878</v>
      </c>
      <c r="T16" s="35">
        <v>1</v>
      </c>
      <c r="U16" s="34">
        <v>9048</v>
      </c>
      <c r="V16" s="35">
        <v>1</v>
      </c>
      <c r="W16" s="34">
        <v>11636</v>
      </c>
      <c r="X16" s="35">
        <v>1</v>
      </c>
      <c r="Y16" s="34">
        <v>12795</v>
      </c>
      <c r="Z16" s="35">
        <v>1</v>
      </c>
      <c r="AA16" s="34">
        <v>10049</v>
      </c>
      <c r="AB16" s="35">
        <v>1</v>
      </c>
      <c r="AC16" s="34">
        <v>10556</v>
      </c>
      <c r="AD16" s="35">
        <v>1</v>
      </c>
      <c r="AE16" s="34">
        <v>15963</v>
      </c>
      <c r="AF16" s="35">
        <v>1</v>
      </c>
      <c r="AG16" s="34">
        <v>17832</v>
      </c>
      <c r="AH16" s="35">
        <v>1</v>
      </c>
      <c r="AI16" s="34">
        <v>19532</v>
      </c>
      <c r="AJ16" s="35">
        <v>1</v>
      </c>
      <c r="AK16" s="34">
        <v>21772</v>
      </c>
      <c r="AL16" s="35">
        <v>1</v>
      </c>
    </row>
    <row r="17" spans="1:38" x14ac:dyDescent="0.25">
      <c r="A17" s="10" t="s">
        <v>1419</v>
      </c>
      <c r="B17" s="10"/>
      <c r="C17" s="30" t="s">
        <v>80</v>
      </c>
      <c r="D17" s="31"/>
      <c r="E17" s="30" t="s">
        <v>80</v>
      </c>
      <c r="F17" s="31"/>
      <c r="G17" s="30" t="s">
        <v>80</v>
      </c>
      <c r="H17" s="31"/>
      <c r="I17" s="30" t="s">
        <v>80</v>
      </c>
      <c r="J17" s="31"/>
      <c r="K17" s="30" t="s">
        <v>80</v>
      </c>
      <c r="L17" s="31"/>
      <c r="M17" s="30" t="s">
        <v>80</v>
      </c>
      <c r="N17" s="31"/>
      <c r="O17" s="30" t="s">
        <v>80</v>
      </c>
      <c r="P17" s="31"/>
      <c r="Q17" s="30">
        <v>5991</v>
      </c>
      <c r="R17" s="31">
        <v>1</v>
      </c>
      <c r="S17" s="30">
        <v>6878</v>
      </c>
      <c r="T17" s="31">
        <v>1</v>
      </c>
      <c r="U17" s="30">
        <v>9048</v>
      </c>
      <c r="V17" s="31">
        <v>1</v>
      </c>
      <c r="W17" s="30">
        <v>11636</v>
      </c>
      <c r="X17" s="31">
        <v>1</v>
      </c>
      <c r="Y17" s="30">
        <v>12795</v>
      </c>
      <c r="Z17" s="31">
        <v>1</v>
      </c>
      <c r="AA17" s="30">
        <v>10049</v>
      </c>
      <c r="AB17" s="31">
        <v>1</v>
      </c>
      <c r="AC17" s="30">
        <v>10556</v>
      </c>
      <c r="AD17" s="31">
        <v>1</v>
      </c>
      <c r="AE17" s="30">
        <v>15963</v>
      </c>
      <c r="AF17" s="31">
        <v>1</v>
      </c>
      <c r="AG17" s="30">
        <v>17832</v>
      </c>
      <c r="AH17" s="31">
        <v>1</v>
      </c>
      <c r="AI17" s="30">
        <v>19532</v>
      </c>
      <c r="AJ17" s="31">
        <v>1</v>
      </c>
      <c r="AK17" s="30">
        <v>21772</v>
      </c>
      <c r="AL17" s="31">
        <v>1</v>
      </c>
    </row>
    <row r="18" spans="1:38" x14ac:dyDescent="0.25">
      <c r="A18" s="6" t="s">
        <v>463</v>
      </c>
      <c r="B18" s="6"/>
      <c r="C18" s="34" t="s">
        <v>80</v>
      </c>
      <c r="D18" s="35"/>
      <c r="E18" s="34" t="s">
        <v>80</v>
      </c>
      <c r="F18" s="35"/>
      <c r="G18" s="34" t="s">
        <v>80</v>
      </c>
      <c r="H18" s="35"/>
      <c r="I18" s="34" t="s">
        <v>80</v>
      </c>
      <c r="J18" s="35"/>
      <c r="K18" s="34" t="s">
        <v>80</v>
      </c>
      <c r="L18" s="35"/>
      <c r="M18" s="34" t="s">
        <v>80</v>
      </c>
      <c r="N18" s="35"/>
      <c r="O18" s="34">
        <v>13508</v>
      </c>
      <c r="P18" s="35">
        <v>1</v>
      </c>
      <c r="Q18" s="34">
        <v>17108</v>
      </c>
      <c r="R18" s="35">
        <v>1</v>
      </c>
      <c r="S18" s="34">
        <v>19308</v>
      </c>
      <c r="T18" s="35">
        <v>1</v>
      </c>
      <c r="U18" s="34">
        <v>23908</v>
      </c>
      <c r="V18" s="35">
        <v>1</v>
      </c>
      <c r="W18" s="34">
        <v>31958</v>
      </c>
      <c r="X18" s="35">
        <v>1</v>
      </c>
      <c r="Y18" s="34">
        <v>36528</v>
      </c>
      <c r="Z18" s="35">
        <v>1</v>
      </c>
      <c r="AA18" s="34">
        <v>30508</v>
      </c>
      <c r="AB18" s="35">
        <v>1</v>
      </c>
      <c r="AC18" s="34">
        <v>35048</v>
      </c>
      <c r="AD18" s="35">
        <v>1</v>
      </c>
      <c r="AE18" s="34">
        <v>45408</v>
      </c>
      <c r="AF18" s="35">
        <v>1</v>
      </c>
      <c r="AG18" s="34">
        <v>52418</v>
      </c>
      <c r="AH18" s="35">
        <v>1</v>
      </c>
      <c r="AI18" s="34">
        <v>56188</v>
      </c>
      <c r="AJ18" s="35">
        <v>1</v>
      </c>
      <c r="AK18" s="34">
        <v>58788</v>
      </c>
      <c r="AL18" s="35">
        <v>1</v>
      </c>
    </row>
    <row r="19" spans="1:38" x14ac:dyDescent="0.25">
      <c r="A19" s="10" t="s">
        <v>1419</v>
      </c>
      <c r="B19" s="10"/>
      <c r="C19" s="30" t="s">
        <v>80</v>
      </c>
      <c r="D19" s="31"/>
      <c r="E19" s="30" t="s">
        <v>80</v>
      </c>
      <c r="F19" s="31"/>
      <c r="G19" s="30" t="s">
        <v>80</v>
      </c>
      <c r="H19" s="31"/>
      <c r="I19" s="30" t="s">
        <v>80</v>
      </c>
      <c r="J19" s="31"/>
      <c r="K19" s="30" t="s">
        <v>80</v>
      </c>
      <c r="L19" s="31"/>
      <c r="M19" s="30" t="s">
        <v>80</v>
      </c>
      <c r="N19" s="31"/>
      <c r="O19" s="30">
        <v>13508</v>
      </c>
      <c r="P19" s="31">
        <v>1</v>
      </c>
      <c r="Q19" s="30">
        <v>17108</v>
      </c>
      <c r="R19" s="31">
        <v>1</v>
      </c>
      <c r="S19" s="30">
        <v>19308</v>
      </c>
      <c r="T19" s="31">
        <v>1</v>
      </c>
      <c r="U19" s="30">
        <v>23908</v>
      </c>
      <c r="V19" s="31">
        <v>1</v>
      </c>
      <c r="W19" s="30">
        <v>31958</v>
      </c>
      <c r="X19" s="31">
        <v>1</v>
      </c>
      <c r="Y19" s="30">
        <v>36528</v>
      </c>
      <c r="Z19" s="31">
        <v>1</v>
      </c>
      <c r="AA19" s="30">
        <v>30508</v>
      </c>
      <c r="AB19" s="31">
        <v>1</v>
      </c>
      <c r="AC19" s="30">
        <v>35048</v>
      </c>
      <c r="AD19" s="31">
        <v>1</v>
      </c>
      <c r="AE19" s="30">
        <v>45408</v>
      </c>
      <c r="AF19" s="31">
        <v>1</v>
      </c>
      <c r="AG19" s="30">
        <v>52418</v>
      </c>
      <c r="AH19" s="31">
        <v>1</v>
      </c>
      <c r="AI19" s="30">
        <v>56188</v>
      </c>
      <c r="AJ19" s="31">
        <v>1</v>
      </c>
      <c r="AK19" s="30">
        <v>58788</v>
      </c>
      <c r="AL19" s="31">
        <v>1</v>
      </c>
    </row>
    <row r="20" spans="1:38" x14ac:dyDescent="0.25">
      <c r="A20" s="6" t="s">
        <v>1422</v>
      </c>
      <c r="B20" s="6"/>
      <c r="C20" s="34" t="s">
        <v>80</v>
      </c>
      <c r="D20" s="35"/>
      <c r="E20" s="34" t="s">
        <v>80</v>
      </c>
      <c r="F20" s="35"/>
      <c r="G20" s="34" t="s">
        <v>80</v>
      </c>
      <c r="H20" s="35"/>
      <c r="I20" s="34" t="s">
        <v>80</v>
      </c>
      <c r="J20" s="35"/>
      <c r="K20" s="34" t="s">
        <v>80</v>
      </c>
      <c r="L20" s="35"/>
      <c r="M20" s="34" t="s">
        <v>80</v>
      </c>
      <c r="N20" s="35"/>
      <c r="O20" s="34" t="s">
        <v>80</v>
      </c>
      <c r="P20" s="35"/>
      <c r="Q20" s="34">
        <v>14537</v>
      </c>
      <c r="R20" s="35">
        <v>1</v>
      </c>
      <c r="S20" s="34">
        <v>15829</v>
      </c>
      <c r="T20" s="35">
        <v>1</v>
      </c>
      <c r="U20" s="34">
        <v>18170</v>
      </c>
      <c r="V20" s="35">
        <v>1</v>
      </c>
      <c r="W20" s="34">
        <v>17684</v>
      </c>
      <c r="X20" s="35">
        <v>1</v>
      </c>
      <c r="Y20" s="34">
        <v>18763</v>
      </c>
      <c r="Z20" s="35">
        <v>1</v>
      </c>
      <c r="AA20" s="34">
        <v>32627</v>
      </c>
      <c r="AB20" s="35">
        <v>1</v>
      </c>
      <c r="AC20" s="34">
        <v>21451</v>
      </c>
      <c r="AD20" s="35">
        <v>1</v>
      </c>
      <c r="AE20" s="34">
        <v>35897</v>
      </c>
      <c r="AF20" s="35">
        <v>1</v>
      </c>
      <c r="AG20" s="34">
        <v>34454</v>
      </c>
      <c r="AH20" s="35">
        <v>1</v>
      </c>
      <c r="AI20" s="34">
        <v>36353</v>
      </c>
      <c r="AJ20" s="35">
        <v>1</v>
      </c>
      <c r="AK20" s="34">
        <v>39809</v>
      </c>
      <c r="AL20" s="35">
        <v>1</v>
      </c>
    </row>
    <row r="21" spans="1:38" x14ac:dyDescent="0.25">
      <c r="A21" s="10" t="s">
        <v>1419</v>
      </c>
      <c r="B21" s="10"/>
      <c r="C21" s="30" t="s">
        <v>80</v>
      </c>
      <c r="D21" s="31"/>
      <c r="E21" s="30" t="s">
        <v>80</v>
      </c>
      <c r="F21" s="31"/>
      <c r="G21" s="30" t="s">
        <v>80</v>
      </c>
      <c r="H21" s="31"/>
      <c r="I21" s="30" t="s">
        <v>80</v>
      </c>
      <c r="J21" s="31"/>
      <c r="K21" s="30" t="s">
        <v>80</v>
      </c>
      <c r="L21" s="31"/>
      <c r="M21" s="30" t="s">
        <v>80</v>
      </c>
      <c r="N21" s="31"/>
      <c r="O21" s="30" t="s">
        <v>80</v>
      </c>
      <c r="P21" s="31"/>
      <c r="Q21" s="30">
        <v>14537</v>
      </c>
      <c r="R21" s="31">
        <v>1</v>
      </c>
      <c r="S21" s="30">
        <v>15829</v>
      </c>
      <c r="T21" s="31">
        <v>1</v>
      </c>
      <c r="U21" s="30">
        <v>18170</v>
      </c>
      <c r="V21" s="31">
        <v>1</v>
      </c>
      <c r="W21" s="30">
        <v>17684</v>
      </c>
      <c r="X21" s="31">
        <v>1</v>
      </c>
      <c r="Y21" s="30">
        <v>18763</v>
      </c>
      <c r="Z21" s="31">
        <v>1</v>
      </c>
      <c r="AA21" s="30">
        <v>32627</v>
      </c>
      <c r="AB21" s="31">
        <v>1</v>
      </c>
      <c r="AC21" s="30">
        <v>21451</v>
      </c>
      <c r="AD21" s="31">
        <v>1</v>
      </c>
      <c r="AE21" s="30">
        <v>35897</v>
      </c>
      <c r="AF21" s="31">
        <v>1</v>
      </c>
      <c r="AG21" s="30">
        <v>34454</v>
      </c>
      <c r="AH21" s="31">
        <v>1</v>
      </c>
      <c r="AI21" s="30">
        <v>36353</v>
      </c>
      <c r="AJ21" s="31">
        <v>1</v>
      </c>
      <c r="AK21" s="30">
        <v>39809</v>
      </c>
      <c r="AL21" s="31">
        <v>1</v>
      </c>
    </row>
    <row r="22" spans="1:38" x14ac:dyDescent="0.25">
      <c r="A22" s="6" t="s">
        <v>804</v>
      </c>
      <c r="B22" s="6"/>
      <c r="C22" s="34" t="s">
        <v>80</v>
      </c>
      <c r="D22" s="35"/>
      <c r="E22" s="34" t="s">
        <v>80</v>
      </c>
      <c r="F22" s="35"/>
      <c r="G22" s="34" t="s">
        <v>80</v>
      </c>
      <c r="H22" s="35"/>
      <c r="I22" s="34" t="s">
        <v>80</v>
      </c>
      <c r="J22" s="35"/>
      <c r="K22" s="34" t="s">
        <v>80</v>
      </c>
      <c r="L22" s="35"/>
      <c r="M22" s="34" t="s">
        <v>80</v>
      </c>
      <c r="N22" s="35"/>
      <c r="O22" s="34" t="s">
        <v>80</v>
      </c>
      <c r="P22" s="35"/>
      <c r="Q22" s="34">
        <v>16362</v>
      </c>
      <c r="R22" s="35">
        <v>1</v>
      </c>
      <c r="S22" s="34">
        <v>12679</v>
      </c>
      <c r="T22" s="35">
        <v>1</v>
      </c>
      <c r="U22" s="34">
        <v>12644</v>
      </c>
      <c r="V22" s="35">
        <v>1</v>
      </c>
      <c r="W22" s="34">
        <v>24453</v>
      </c>
      <c r="X22" s="35">
        <v>1</v>
      </c>
      <c r="Y22" s="34">
        <v>26700</v>
      </c>
      <c r="Z22" s="35">
        <v>1</v>
      </c>
      <c r="AA22" s="34">
        <v>26720</v>
      </c>
      <c r="AB22" s="35">
        <v>1</v>
      </c>
      <c r="AC22" s="34">
        <v>26732</v>
      </c>
      <c r="AD22" s="35">
        <v>1</v>
      </c>
      <c r="AE22" s="34">
        <v>26741</v>
      </c>
      <c r="AF22" s="35">
        <v>1</v>
      </c>
      <c r="AG22" s="34">
        <v>26825</v>
      </c>
      <c r="AH22" s="35">
        <v>1</v>
      </c>
      <c r="AI22" s="34">
        <v>28067</v>
      </c>
      <c r="AJ22" s="35">
        <v>1</v>
      </c>
      <c r="AK22" s="34">
        <v>27478</v>
      </c>
      <c r="AL22" s="35">
        <v>1</v>
      </c>
    </row>
    <row r="23" spans="1:38" x14ac:dyDescent="0.25">
      <c r="A23" s="10" t="s">
        <v>1419</v>
      </c>
      <c r="B23" s="10"/>
      <c r="C23" s="30" t="s">
        <v>80</v>
      </c>
      <c r="D23" s="31"/>
      <c r="E23" s="30" t="s">
        <v>80</v>
      </c>
      <c r="F23" s="31"/>
      <c r="G23" s="30" t="s">
        <v>80</v>
      </c>
      <c r="H23" s="31"/>
      <c r="I23" s="30" t="s">
        <v>80</v>
      </c>
      <c r="J23" s="31"/>
      <c r="K23" s="30" t="s">
        <v>80</v>
      </c>
      <c r="L23" s="31"/>
      <c r="M23" s="30" t="s">
        <v>80</v>
      </c>
      <c r="N23" s="31"/>
      <c r="O23" s="30" t="s">
        <v>80</v>
      </c>
      <c r="P23" s="31"/>
      <c r="Q23" s="30">
        <v>16362</v>
      </c>
      <c r="R23" s="31">
        <v>1</v>
      </c>
      <c r="S23" s="30">
        <v>12679</v>
      </c>
      <c r="T23" s="31">
        <v>1</v>
      </c>
      <c r="U23" s="30">
        <v>12644</v>
      </c>
      <c r="V23" s="31">
        <v>1</v>
      </c>
      <c r="W23" s="30">
        <v>24453</v>
      </c>
      <c r="X23" s="31">
        <v>1</v>
      </c>
      <c r="Y23" s="30">
        <v>26700</v>
      </c>
      <c r="Z23" s="31">
        <v>1</v>
      </c>
      <c r="AA23" s="30">
        <v>26720</v>
      </c>
      <c r="AB23" s="31">
        <v>1</v>
      </c>
      <c r="AC23" s="30">
        <v>26732</v>
      </c>
      <c r="AD23" s="31">
        <v>1</v>
      </c>
      <c r="AE23" s="30">
        <v>26741</v>
      </c>
      <c r="AF23" s="31">
        <v>1</v>
      </c>
      <c r="AG23" s="30">
        <v>26825</v>
      </c>
      <c r="AH23" s="31">
        <v>1</v>
      </c>
      <c r="AI23" s="30">
        <v>28067</v>
      </c>
      <c r="AJ23" s="31">
        <v>1</v>
      </c>
      <c r="AK23" s="30">
        <v>27478</v>
      </c>
      <c r="AL23" s="31">
        <v>1</v>
      </c>
    </row>
    <row r="24" spans="1:38" x14ac:dyDescent="0.25">
      <c r="A24" s="6" t="s">
        <v>1416</v>
      </c>
      <c r="B24" s="6"/>
      <c r="C24" s="34" t="s">
        <v>80</v>
      </c>
      <c r="D24" s="35"/>
      <c r="E24" s="34" t="s">
        <v>80</v>
      </c>
      <c r="F24" s="35"/>
      <c r="G24" s="34" t="s">
        <v>80</v>
      </c>
      <c r="H24" s="35"/>
      <c r="I24" s="34" t="s">
        <v>80</v>
      </c>
      <c r="J24" s="35"/>
      <c r="K24" s="34" t="s">
        <v>80</v>
      </c>
      <c r="L24" s="35"/>
      <c r="M24" s="34" t="s">
        <v>80</v>
      </c>
      <c r="N24" s="35"/>
      <c r="O24" s="34" t="s">
        <v>80</v>
      </c>
      <c r="P24" s="35"/>
      <c r="Q24" s="34">
        <v>1198476</v>
      </c>
      <c r="R24" s="35">
        <v>1</v>
      </c>
      <c r="S24" s="34">
        <v>1268119</v>
      </c>
      <c r="T24" s="35">
        <v>1</v>
      </c>
      <c r="U24" s="34">
        <v>1354147</v>
      </c>
      <c r="V24" s="35">
        <v>1</v>
      </c>
      <c r="W24" s="34">
        <v>1620470</v>
      </c>
      <c r="X24" s="35">
        <v>1</v>
      </c>
      <c r="Y24" s="34">
        <v>1580010</v>
      </c>
      <c r="Z24" s="35">
        <v>1</v>
      </c>
      <c r="AA24" s="34">
        <v>1787904</v>
      </c>
      <c r="AB24" s="35">
        <v>1</v>
      </c>
      <c r="AC24" s="34">
        <v>1850879</v>
      </c>
      <c r="AD24" s="35">
        <v>1</v>
      </c>
      <c r="AE24" s="34">
        <v>2070072</v>
      </c>
      <c r="AF24" s="35">
        <v>1</v>
      </c>
      <c r="AG24" s="34">
        <v>2274859</v>
      </c>
      <c r="AH24" s="35">
        <v>1</v>
      </c>
      <c r="AI24" s="34">
        <v>2471209</v>
      </c>
      <c r="AJ24" s="35">
        <v>1</v>
      </c>
      <c r="AK24" s="34">
        <v>2598663</v>
      </c>
      <c r="AL24" s="35">
        <v>1</v>
      </c>
    </row>
    <row r="25" spans="1:38" x14ac:dyDescent="0.25">
      <c r="A25" s="10" t="s">
        <v>1419</v>
      </c>
      <c r="B25" s="10"/>
      <c r="C25" s="30" t="s">
        <v>80</v>
      </c>
      <c r="D25" s="31"/>
      <c r="E25" s="30" t="s">
        <v>80</v>
      </c>
      <c r="F25" s="31"/>
      <c r="G25" s="30" t="s">
        <v>80</v>
      </c>
      <c r="H25" s="31"/>
      <c r="I25" s="30" t="s">
        <v>80</v>
      </c>
      <c r="J25" s="31"/>
      <c r="K25" s="30" t="s">
        <v>80</v>
      </c>
      <c r="L25" s="31"/>
      <c r="M25" s="30" t="s">
        <v>80</v>
      </c>
      <c r="N25" s="31"/>
      <c r="O25" s="30" t="s">
        <v>80</v>
      </c>
      <c r="P25" s="31"/>
      <c r="Q25" s="30">
        <v>1198476</v>
      </c>
      <c r="R25" s="31">
        <v>1</v>
      </c>
      <c r="S25" s="30">
        <v>1268119</v>
      </c>
      <c r="T25" s="31">
        <v>1</v>
      </c>
      <c r="U25" s="30">
        <v>1354147</v>
      </c>
      <c r="V25" s="31">
        <v>1</v>
      </c>
      <c r="W25" s="30">
        <v>1620470</v>
      </c>
      <c r="X25" s="31">
        <v>1</v>
      </c>
      <c r="Y25" s="30">
        <v>1580010</v>
      </c>
      <c r="Z25" s="31">
        <v>1</v>
      </c>
      <c r="AA25" s="30">
        <v>1787904</v>
      </c>
      <c r="AB25" s="31">
        <v>1</v>
      </c>
      <c r="AC25" s="30">
        <v>1850879</v>
      </c>
      <c r="AD25" s="31">
        <v>1</v>
      </c>
      <c r="AE25" s="30">
        <v>2070072</v>
      </c>
      <c r="AF25" s="31">
        <v>1</v>
      </c>
      <c r="AG25" s="30">
        <v>2274859</v>
      </c>
      <c r="AH25" s="31">
        <v>1</v>
      </c>
      <c r="AI25" s="30">
        <v>2471209</v>
      </c>
      <c r="AJ25" s="31">
        <v>1</v>
      </c>
      <c r="AK25" s="30">
        <v>2598663</v>
      </c>
      <c r="AL25" s="31">
        <v>1</v>
      </c>
    </row>
    <row r="26" spans="1:38" x14ac:dyDescent="0.25">
      <c r="A26" s="6" t="s">
        <v>1417</v>
      </c>
      <c r="B26" s="6"/>
      <c r="C26" s="34" t="s">
        <v>80</v>
      </c>
      <c r="D26" s="35"/>
      <c r="E26" s="34" t="s">
        <v>80</v>
      </c>
      <c r="F26" s="35"/>
      <c r="G26" s="34" t="s">
        <v>80</v>
      </c>
      <c r="H26" s="35"/>
      <c r="I26" s="34" t="s">
        <v>80</v>
      </c>
      <c r="J26" s="35"/>
      <c r="K26" s="34" t="s">
        <v>80</v>
      </c>
      <c r="L26" s="35"/>
      <c r="M26" s="34" t="s">
        <v>80</v>
      </c>
      <c r="N26" s="35"/>
      <c r="O26" s="34" t="s">
        <v>80</v>
      </c>
      <c r="P26" s="35"/>
      <c r="Q26" s="34">
        <v>1061124</v>
      </c>
      <c r="R26" s="35">
        <v>1</v>
      </c>
      <c r="S26" s="34">
        <v>1125418</v>
      </c>
      <c r="T26" s="35">
        <v>1</v>
      </c>
      <c r="U26" s="34">
        <v>1206563</v>
      </c>
      <c r="V26" s="35">
        <v>1</v>
      </c>
      <c r="W26" s="34">
        <v>1446006</v>
      </c>
      <c r="X26" s="35">
        <v>1</v>
      </c>
      <c r="Y26" s="34">
        <v>1384012</v>
      </c>
      <c r="Z26" s="35">
        <v>1</v>
      </c>
      <c r="AA26" s="34">
        <v>1562800</v>
      </c>
      <c r="AB26" s="35">
        <v>1</v>
      </c>
      <c r="AC26" s="34">
        <v>1613639</v>
      </c>
      <c r="AD26" s="35">
        <v>1</v>
      </c>
      <c r="AE26" s="34">
        <v>1831040</v>
      </c>
      <c r="AF26" s="35">
        <v>1</v>
      </c>
      <c r="AG26" s="34">
        <v>2025654</v>
      </c>
      <c r="AH26" s="35">
        <v>1</v>
      </c>
      <c r="AI26" s="34">
        <v>2222781</v>
      </c>
      <c r="AJ26" s="35">
        <v>1</v>
      </c>
      <c r="AK26" s="34">
        <v>2346450</v>
      </c>
      <c r="AL26" s="35">
        <v>1</v>
      </c>
    </row>
    <row r="27" spans="1:38" x14ac:dyDescent="0.25">
      <c r="A27" s="10" t="s">
        <v>1419</v>
      </c>
      <c r="B27" s="10"/>
      <c r="C27" s="30" t="s">
        <v>80</v>
      </c>
      <c r="D27" s="31"/>
      <c r="E27" s="30" t="s">
        <v>80</v>
      </c>
      <c r="F27" s="31"/>
      <c r="G27" s="30" t="s">
        <v>80</v>
      </c>
      <c r="H27" s="31"/>
      <c r="I27" s="30" t="s">
        <v>80</v>
      </c>
      <c r="J27" s="31"/>
      <c r="K27" s="30" t="s">
        <v>80</v>
      </c>
      <c r="L27" s="31"/>
      <c r="M27" s="30" t="s">
        <v>80</v>
      </c>
      <c r="N27" s="31"/>
      <c r="O27" s="30" t="s">
        <v>80</v>
      </c>
      <c r="P27" s="31"/>
      <c r="Q27" s="30">
        <v>1061124</v>
      </c>
      <c r="R27" s="31">
        <v>1</v>
      </c>
      <c r="S27" s="30">
        <v>1125418</v>
      </c>
      <c r="T27" s="31">
        <v>1</v>
      </c>
      <c r="U27" s="30">
        <v>1206563</v>
      </c>
      <c r="V27" s="31">
        <v>1</v>
      </c>
      <c r="W27" s="30">
        <v>1446006</v>
      </c>
      <c r="X27" s="31">
        <v>1</v>
      </c>
      <c r="Y27" s="30">
        <v>1384012</v>
      </c>
      <c r="Z27" s="31">
        <v>1</v>
      </c>
      <c r="AA27" s="30">
        <v>1562800</v>
      </c>
      <c r="AB27" s="31">
        <v>1</v>
      </c>
      <c r="AC27" s="30">
        <v>1613639</v>
      </c>
      <c r="AD27" s="31">
        <v>1</v>
      </c>
      <c r="AE27" s="30">
        <v>1831040</v>
      </c>
      <c r="AF27" s="31">
        <v>1</v>
      </c>
      <c r="AG27" s="30">
        <v>2025654</v>
      </c>
      <c r="AH27" s="31">
        <v>1</v>
      </c>
      <c r="AI27" s="30">
        <v>2222781</v>
      </c>
      <c r="AJ27" s="31">
        <v>1</v>
      </c>
      <c r="AK27" s="30">
        <v>2346450</v>
      </c>
      <c r="AL27" s="31">
        <v>1</v>
      </c>
    </row>
    <row r="28" spans="1:38" x14ac:dyDescent="0.25">
      <c r="A28" s="6" t="s">
        <v>408</v>
      </c>
      <c r="B28" s="6"/>
      <c r="C28" s="34" t="s">
        <v>80</v>
      </c>
      <c r="D28" s="35"/>
      <c r="E28" s="34" t="s">
        <v>80</v>
      </c>
      <c r="F28" s="35"/>
      <c r="G28" s="34" t="s">
        <v>80</v>
      </c>
      <c r="H28" s="35"/>
      <c r="I28" s="34" t="s">
        <v>80</v>
      </c>
      <c r="J28" s="35"/>
      <c r="K28" s="34" t="s">
        <v>80</v>
      </c>
      <c r="L28" s="35"/>
      <c r="M28" s="34" t="s">
        <v>80</v>
      </c>
      <c r="N28" s="35"/>
      <c r="O28" s="34" t="s">
        <v>80</v>
      </c>
      <c r="P28" s="35"/>
      <c r="Q28" s="34">
        <v>1325</v>
      </c>
      <c r="R28" s="35">
        <v>1</v>
      </c>
      <c r="S28" s="34">
        <v>1170</v>
      </c>
      <c r="T28" s="35">
        <v>1</v>
      </c>
      <c r="U28" s="34">
        <v>1688</v>
      </c>
      <c r="V28" s="35">
        <v>1</v>
      </c>
      <c r="W28" s="34">
        <v>2217</v>
      </c>
      <c r="X28" s="35">
        <v>1</v>
      </c>
      <c r="Y28" s="34">
        <v>2087</v>
      </c>
      <c r="Z28" s="35">
        <v>1</v>
      </c>
      <c r="AA28" s="34">
        <v>2287</v>
      </c>
      <c r="AB28" s="35">
        <v>1</v>
      </c>
      <c r="AC28" s="34">
        <v>2590</v>
      </c>
      <c r="AD28" s="35">
        <v>1</v>
      </c>
      <c r="AE28" s="34">
        <v>4368</v>
      </c>
      <c r="AF28" s="35">
        <v>1</v>
      </c>
      <c r="AG28" s="34">
        <v>4485</v>
      </c>
      <c r="AH28" s="35">
        <v>1</v>
      </c>
      <c r="AI28" s="34">
        <v>5251</v>
      </c>
      <c r="AJ28" s="35">
        <v>1</v>
      </c>
      <c r="AK28" s="34">
        <v>5524</v>
      </c>
      <c r="AL28" s="35">
        <v>1</v>
      </c>
    </row>
    <row r="29" spans="1:38" x14ac:dyDescent="0.25">
      <c r="A29" s="10" t="s">
        <v>1419</v>
      </c>
      <c r="B29" s="10"/>
      <c r="C29" s="30" t="s">
        <v>80</v>
      </c>
      <c r="D29" s="31"/>
      <c r="E29" s="30" t="s">
        <v>80</v>
      </c>
      <c r="F29" s="31"/>
      <c r="G29" s="30" t="s">
        <v>80</v>
      </c>
      <c r="H29" s="31"/>
      <c r="I29" s="30" t="s">
        <v>80</v>
      </c>
      <c r="J29" s="31"/>
      <c r="K29" s="30" t="s">
        <v>80</v>
      </c>
      <c r="L29" s="31"/>
      <c r="M29" s="30" t="s">
        <v>80</v>
      </c>
      <c r="N29" s="31"/>
      <c r="O29" s="30" t="s">
        <v>80</v>
      </c>
      <c r="P29" s="31"/>
      <c r="Q29" s="30">
        <v>1325</v>
      </c>
      <c r="R29" s="31">
        <v>1</v>
      </c>
      <c r="S29" s="30">
        <v>1170</v>
      </c>
      <c r="T29" s="31">
        <v>1</v>
      </c>
      <c r="U29" s="30">
        <v>1688</v>
      </c>
      <c r="V29" s="31">
        <v>1</v>
      </c>
      <c r="W29" s="30">
        <v>2217</v>
      </c>
      <c r="X29" s="31">
        <v>1</v>
      </c>
      <c r="Y29" s="30">
        <v>2087</v>
      </c>
      <c r="Z29" s="31">
        <v>1</v>
      </c>
      <c r="AA29" s="30">
        <v>2287</v>
      </c>
      <c r="AB29" s="31">
        <v>1</v>
      </c>
      <c r="AC29" s="30">
        <v>2590</v>
      </c>
      <c r="AD29" s="31">
        <v>1</v>
      </c>
      <c r="AE29" s="30">
        <v>4368</v>
      </c>
      <c r="AF29" s="31">
        <v>1</v>
      </c>
      <c r="AG29" s="30">
        <v>4485</v>
      </c>
      <c r="AH29" s="31">
        <v>1</v>
      </c>
      <c r="AI29" s="30">
        <v>5251</v>
      </c>
      <c r="AJ29" s="31">
        <v>1</v>
      </c>
      <c r="AK29" s="30">
        <v>5524</v>
      </c>
      <c r="AL29" s="31">
        <v>1</v>
      </c>
    </row>
    <row r="30" spans="1:38" x14ac:dyDescent="0.25">
      <c r="A30" s="6" t="s">
        <v>1242</v>
      </c>
      <c r="B30" s="6"/>
      <c r="C30" s="34" t="s">
        <v>80</v>
      </c>
      <c r="D30" s="35"/>
      <c r="E30" s="34" t="s">
        <v>80</v>
      </c>
      <c r="F30" s="35"/>
      <c r="G30" s="34" t="s">
        <v>80</v>
      </c>
      <c r="H30" s="35"/>
      <c r="I30" s="34" t="s">
        <v>80</v>
      </c>
      <c r="J30" s="35"/>
      <c r="K30" s="34" t="s">
        <v>80</v>
      </c>
      <c r="L30" s="35"/>
      <c r="M30" s="34" t="s">
        <v>80</v>
      </c>
      <c r="N30" s="35"/>
      <c r="O30" s="34" t="s">
        <v>80</v>
      </c>
      <c r="P30" s="35"/>
      <c r="Q30" s="34">
        <v>1325</v>
      </c>
      <c r="R30" s="35">
        <v>1</v>
      </c>
      <c r="S30" s="34">
        <v>1170</v>
      </c>
      <c r="T30" s="35">
        <v>1</v>
      </c>
      <c r="U30" s="34">
        <v>1688</v>
      </c>
      <c r="V30" s="35">
        <v>1</v>
      </c>
      <c r="W30" s="34">
        <v>2217</v>
      </c>
      <c r="X30" s="35">
        <v>1</v>
      </c>
      <c r="Y30" s="34">
        <v>2087</v>
      </c>
      <c r="Z30" s="35">
        <v>1</v>
      </c>
      <c r="AA30" s="34">
        <v>2287</v>
      </c>
      <c r="AB30" s="35">
        <v>1</v>
      </c>
      <c r="AC30" s="34">
        <v>2590</v>
      </c>
      <c r="AD30" s="35">
        <v>1</v>
      </c>
      <c r="AE30" s="34">
        <v>3564</v>
      </c>
      <c r="AF30" s="35">
        <v>1</v>
      </c>
      <c r="AG30" s="34">
        <v>3685</v>
      </c>
      <c r="AH30" s="35">
        <v>1</v>
      </c>
      <c r="AI30" s="34">
        <v>4198</v>
      </c>
      <c r="AJ30" s="35">
        <v>1</v>
      </c>
      <c r="AK30" s="34">
        <v>4494</v>
      </c>
      <c r="AL30" s="35">
        <v>1</v>
      </c>
    </row>
    <row r="31" spans="1:38" x14ac:dyDescent="0.25">
      <c r="A31" s="10" t="s">
        <v>1419</v>
      </c>
      <c r="B31" s="10"/>
      <c r="C31" s="30" t="s">
        <v>80</v>
      </c>
      <c r="D31" s="31"/>
      <c r="E31" s="30" t="s">
        <v>80</v>
      </c>
      <c r="F31" s="31"/>
      <c r="G31" s="30" t="s">
        <v>80</v>
      </c>
      <c r="H31" s="31"/>
      <c r="I31" s="30" t="s">
        <v>80</v>
      </c>
      <c r="J31" s="31"/>
      <c r="K31" s="30" t="s">
        <v>80</v>
      </c>
      <c r="L31" s="31"/>
      <c r="M31" s="30" t="s">
        <v>80</v>
      </c>
      <c r="N31" s="31"/>
      <c r="O31" s="30" t="s">
        <v>80</v>
      </c>
      <c r="P31" s="31"/>
      <c r="Q31" s="30">
        <v>1325</v>
      </c>
      <c r="R31" s="31">
        <v>1</v>
      </c>
      <c r="S31" s="30">
        <v>1170</v>
      </c>
      <c r="T31" s="31">
        <v>1</v>
      </c>
      <c r="U31" s="30">
        <v>1688</v>
      </c>
      <c r="V31" s="31">
        <v>1</v>
      </c>
      <c r="W31" s="30">
        <v>2217</v>
      </c>
      <c r="X31" s="31">
        <v>1</v>
      </c>
      <c r="Y31" s="30">
        <v>2087</v>
      </c>
      <c r="Z31" s="31">
        <v>1</v>
      </c>
      <c r="AA31" s="30">
        <v>2287</v>
      </c>
      <c r="AB31" s="31">
        <v>1</v>
      </c>
      <c r="AC31" s="30">
        <v>2590</v>
      </c>
      <c r="AD31" s="31">
        <v>1</v>
      </c>
      <c r="AE31" s="30">
        <v>3564</v>
      </c>
      <c r="AF31" s="31">
        <v>1</v>
      </c>
      <c r="AG31" s="30">
        <v>3685</v>
      </c>
      <c r="AH31" s="31">
        <v>1</v>
      </c>
      <c r="AI31" s="30">
        <v>4198</v>
      </c>
      <c r="AJ31" s="31">
        <v>1</v>
      </c>
      <c r="AK31" s="30">
        <v>4494</v>
      </c>
      <c r="AL31" s="31">
        <v>1</v>
      </c>
    </row>
    <row r="32" spans="1:38" x14ac:dyDescent="0.25">
      <c r="A32" s="6" t="s">
        <v>1309</v>
      </c>
      <c r="B32" s="6"/>
      <c r="C32" s="34" t="s">
        <v>80</v>
      </c>
      <c r="D32" s="35"/>
      <c r="E32" s="34" t="s">
        <v>80</v>
      </c>
      <c r="F32" s="35"/>
      <c r="G32" s="34" t="s">
        <v>80</v>
      </c>
      <c r="H32" s="35"/>
      <c r="I32" s="34" t="s">
        <v>80</v>
      </c>
      <c r="J32" s="35"/>
      <c r="K32" s="34" t="s">
        <v>80</v>
      </c>
      <c r="L32" s="35"/>
      <c r="M32" s="34" t="s">
        <v>80</v>
      </c>
      <c r="N32" s="35"/>
      <c r="O32" s="34" t="s">
        <v>80</v>
      </c>
      <c r="P32" s="35"/>
      <c r="Q32" s="34">
        <v>-3914</v>
      </c>
      <c r="R32" s="35"/>
      <c r="S32" s="34">
        <v>-4083</v>
      </c>
      <c r="T32" s="35"/>
      <c r="U32" s="34">
        <v>-4780</v>
      </c>
      <c r="V32" s="35"/>
      <c r="W32" s="34">
        <v>-4501</v>
      </c>
      <c r="X32" s="35"/>
      <c r="Y32" s="34">
        <v>-4578</v>
      </c>
      <c r="Z32" s="35"/>
      <c r="AA32" s="34">
        <v>-7435</v>
      </c>
      <c r="AB32" s="35"/>
      <c r="AC32" s="34">
        <v>-4523</v>
      </c>
      <c r="AD32" s="35"/>
      <c r="AE32" s="34">
        <v>-11791</v>
      </c>
      <c r="AF32" s="35"/>
      <c r="AG32" s="34">
        <v>-9064</v>
      </c>
      <c r="AH32" s="35"/>
      <c r="AI32" s="34">
        <v>-8272</v>
      </c>
      <c r="AJ32" s="35"/>
      <c r="AK32" s="34">
        <v>-11106</v>
      </c>
      <c r="AL32" s="35"/>
    </row>
    <row r="33" spans="1:38" x14ac:dyDescent="0.25">
      <c r="A33" s="10" t="s">
        <v>1419</v>
      </c>
      <c r="B33" s="10"/>
      <c r="C33" s="30" t="s">
        <v>80</v>
      </c>
      <c r="D33" s="31"/>
      <c r="E33" s="30" t="s">
        <v>80</v>
      </c>
      <c r="F33" s="31"/>
      <c r="G33" s="30" t="s">
        <v>80</v>
      </c>
      <c r="H33" s="31"/>
      <c r="I33" s="30" t="s">
        <v>80</v>
      </c>
      <c r="J33" s="31"/>
      <c r="K33" s="30" t="s">
        <v>80</v>
      </c>
      <c r="L33" s="31"/>
      <c r="M33" s="30" t="s">
        <v>80</v>
      </c>
      <c r="N33" s="31"/>
      <c r="O33" s="30" t="s">
        <v>80</v>
      </c>
      <c r="P33" s="31"/>
      <c r="Q33" s="30">
        <v>-3914</v>
      </c>
      <c r="R33" s="31">
        <v>1</v>
      </c>
      <c r="S33" s="30">
        <v>-4083</v>
      </c>
      <c r="T33" s="31">
        <v>1</v>
      </c>
      <c r="U33" s="30">
        <v>-4780</v>
      </c>
      <c r="V33" s="31">
        <v>1</v>
      </c>
      <c r="W33" s="30">
        <v>-4501</v>
      </c>
      <c r="X33" s="31">
        <v>1</v>
      </c>
      <c r="Y33" s="30">
        <v>-4578</v>
      </c>
      <c r="Z33" s="31">
        <v>1</v>
      </c>
      <c r="AA33" s="30">
        <v>-7435</v>
      </c>
      <c r="AB33" s="31">
        <v>1</v>
      </c>
      <c r="AC33" s="30">
        <v>-4523</v>
      </c>
      <c r="AD33" s="31">
        <v>1</v>
      </c>
      <c r="AE33" s="30">
        <v>-11791</v>
      </c>
      <c r="AF33" s="31">
        <v>1</v>
      </c>
      <c r="AG33" s="30">
        <v>-9064</v>
      </c>
      <c r="AH33" s="31">
        <v>1</v>
      </c>
      <c r="AI33" s="30">
        <v>-8272</v>
      </c>
      <c r="AJ33" s="31">
        <v>1</v>
      </c>
      <c r="AK33" s="30">
        <v>-11106</v>
      </c>
      <c r="AL33" s="31">
        <v>1</v>
      </c>
    </row>
    <row r="34" spans="1:38" x14ac:dyDescent="0.25">
      <c r="A34" s="6" t="s">
        <v>92</v>
      </c>
      <c r="B34" s="6"/>
      <c r="C34" s="34" t="s">
        <v>80</v>
      </c>
      <c r="D34" s="35"/>
      <c r="E34" s="34" t="s">
        <v>80</v>
      </c>
      <c r="F34" s="35"/>
      <c r="G34" s="34" t="s">
        <v>80</v>
      </c>
      <c r="H34" s="35"/>
      <c r="I34" s="34" t="s">
        <v>80</v>
      </c>
      <c r="J34" s="35"/>
      <c r="K34" s="34" t="s">
        <v>80</v>
      </c>
      <c r="L34" s="35"/>
      <c r="M34" s="34" t="s">
        <v>80</v>
      </c>
      <c r="N34" s="35"/>
      <c r="O34" s="34" t="s">
        <v>80</v>
      </c>
      <c r="P34" s="35"/>
      <c r="Q34" s="34">
        <v>45660</v>
      </c>
      <c r="R34" s="35">
        <v>1</v>
      </c>
      <c r="S34" s="34">
        <v>53057</v>
      </c>
      <c r="T34" s="35">
        <v>1</v>
      </c>
      <c r="U34" s="34">
        <v>63366</v>
      </c>
      <c r="V34" s="35">
        <v>1</v>
      </c>
      <c r="W34" s="34">
        <v>76829</v>
      </c>
      <c r="X34" s="35">
        <v>1</v>
      </c>
      <c r="Y34" s="34">
        <v>80577</v>
      </c>
      <c r="Z34" s="35">
        <v>1</v>
      </c>
      <c r="AA34" s="34">
        <v>85695</v>
      </c>
      <c r="AB34" s="35">
        <v>1</v>
      </c>
      <c r="AC34" s="34">
        <v>93953</v>
      </c>
      <c r="AD34" s="35">
        <v>1</v>
      </c>
      <c r="AE34" s="34">
        <v>116159</v>
      </c>
      <c r="AF34" s="35">
        <v>1</v>
      </c>
      <c r="AG34" s="34">
        <v>127482</v>
      </c>
      <c r="AH34" s="35">
        <v>1</v>
      </c>
      <c r="AI34" s="34">
        <v>138316</v>
      </c>
      <c r="AJ34" s="35">
        <v>1</v>
      </c>
      <c r="AK34" s="34">
        <v>146578</v>
      </c>
      <c r="AL34" s="35">
        <v>1</v>
      </c>
    </row>
    <row r="35" spans="1:38" x14ac:dyDescent="0.25">
      <c r="A35" s="10" t="s">
        <v>1419</v>
      </c>
      <c r="B35" s="10"/>
      <c r="C35" s="30" t="s">
        <v>80</v>
      </c>
      <c r="D35" s="31"/>
      <c r="E35" s="30" t="s">
        <v>80</v>
      </c>
      <c r="F35" s="31"/>
      <c r="G35" s="30" t="s">
        <v>80</v>
      </c>
      <c r="H35" s="31"/>
      <c r="I35" s="30" t="s">
        <v>80</v>
      </c>
      <c r="J35" s="31"/>
      <c r="K35" s="30" t="s">
        <v>80</v>
      </c>
      <c r="L35" s="31"/>
      <c r="M35" s="30" t="s">
        <v>80</v>
      </c>
      <c r="N35" s="31"/>
      <c r="O35" s="30" t="s">
        <v>80</v>
      </c>
      <c r="P35" s="31"/>
      <c r="Q35" s="30">
        <v>45660</v>
      </c>
      <c r="R35" s="31">
        <v>1</v>
      </c>
      <c r="S35" s="30">
        <v>53057</v>
      </c>
      <c r="T35" s="31">
        <v>1</v>
      </c>
      <c r="U35" s="30">
        <v>63366</v>
      </c>
      <c r="V35" s="31">
        <v>1</v>
      </c>
      <c r="W35" s="30">
        <v>76829</v>
      </c>
      <c r="X35" s="31">
        <v>1</v>
      </c>
      <c r="Y35" s="30">
        <v>80577</v>
      </c>
      <c r="Z35" s="31">
        <v>1</v>
      </c>
      <c r="AA35" s="30">
        <v>85695</v>
      </c>
      <c r="AB35" s="31">
        <v>1</v>
      </c>
      <c r="AC35" s="30">
        <v>93953</v>
      </c>
      <c r="AD35" s="31">
        <v>1</v>
      </c>
      <c r="AE35" s="30">
        <v>116159</v>
      </c>
      <c r="AF35" s="31">
        <v>1</v>
      </c>
      <c r="AG35" s="30">
        <v>127482</v>
      </c>
      <c r="AH35" s="31">
        <v>1</v>
      </c>
      <c r="AI35" s="30">
        <v>138316</v>
      </c>
      <c r="AJ35" s="31">
        <v>1</v>
      </c>
      <c r="AK35" s="30">
        <v>146578</v>
      </c>
      <c r="AL35" s="31">
        <v>1</v>
      </c>
    </row>
    <row r="36" spans="1:38" x14ac:dyDescent="0.25">
      <c r="A36" s="6" t="s">
        <v>99</v>
      </c>
      <c r="B36" s="6"/>
      <c r="C36" s="34" t="s">
        <v>80</v>
      </c>
      <c r="D36" s="35"/>
      <c r="E36" s="34" t="s">
        <v>80</v>
      </c>
      <c r="F36" s="35"/>
      <c r="G36" s="34" t="s">
        <v>80</v>
      </c>
      <c r="H36" s="35"/>
      <c r="I36" s="34" t="s">
        <v>80</v>
      </c>
      <c r="J36" s="35"/>
      <c r="K36" s="34" t="s">
        <v>80</v>
      </c>
      <c r="L36" s="35"/>
      <c r="M36" s="34" t="s">
        <v>80</v>
      </c>
      <c r="N36" s="35"/>
      <c r="O36" s="34" t="s">
        <v>80</v>
      </c>
      <c r="P36" s="35"/>
      <c r="Q36" s="34">
        <v>10687</v>
      </c>
      <c r="R36" s="35">
        <v>1</v>
      </c>
      <c r="S36" s="34">
        <v>13313</v>
      </c>
      <c r="T36" s="35">
        <v>1</v>
      </c>
      <c r="U36" s="34">
        <v>15213</v>
      </c>
      <c r="V36" s="35">
        <v>1</v>
      </c>
      <c r="W36" s="34">
        <v>16079</v>
      </c>
      <c r="X36" s="35">
        <v>1</v>
      </c>
      <c r="Y36" s="34">
        <v>15347</v>
      </c>
      <c r="Z36" s="35">
        <v>1</v>
      </c>
      <c r="AA36" s="34">
        <v>21930</v>
      </c>
      <c r="AB36" s="35">
        <v>1</v>
      </c>
      <c r="AC36" s="34">
        <v>11351</v>
      </c>
      <c r="AD36" s="35">
        <v>1</v>
      </c>
      <c r="AE36" s="34">
        <v>11881</v>
      </c>
      <c r="AF36" s="35">
        <v>1</v>
      </c>
      <c r="AG36" s="34">
        <v>15942</v>
      </c>
      <c r="AH36" s="35">
        <v>1</v>
      </c>
      <c r="AI36" s="34">
        <v>18122</v>
      </c>
      <c r="AJ36" s="35">
        <v>1</v>
      </c>
      <c r="AK36" s="34">
        <v>21589</v>
      </c>
      <c r="AL36" s="35">
        <v>1</v>
      </c>
    </row>
    <row r="37" spans="1:38" x14ac:dyDescent="0.25">
      <c r="A37" s="10" t="s">
        <v>1419</v>
      </c>
      <c r="B37" s="10"/>
      <c r="C37" s="30" t="s">
        <v>80</v>
      </c>
      <c r="D37" s="31"/>
      <c r="E37" s="30" t="s">
        <v>80</v>
      </c>
      <c r="F37" s="31"/>
      <c r="G37" s="30" t="s">
        <v>80</v>
      </c>
      <c r="H37" s="31"/>
      <c r="I37" s="30" t="s">
        <v>80</v>
      </c>
      <c r="J37" s="31"/>
      <c r="K37" s="30" t="s">
        <v>80</v>
      </c>
      <c r="L37" s="31"/>
      <c r="M37" s="30" t="s">
        <v>80</v>
      </c>
      <c r="N37" s="31"/>
      <c r="O37" s="30" t="s">
        <v>80</v>
      </c>
      <c r="P37" s="31"/>
      <c r="Q37" s="30">
        <v>10687</v>
      </c>
      <c r="R37" s="31">
        <v>1</v>
      </c>
      <c r="S37" s="30">
        <v>13313</v>
      </c>
      <c r="T37" s="31">
        <v>1</v>
      </c>
      <c r="U37" s="30">
        <v>15213</v>
      </c>
      <c r="V37" s="31">
        <v>1</v>
      </c>
      <c r="W37" s="30">
        <v>16079</v>
      </c>
      <c r="X37" s="31">
        <v>1</v>
      </c>
      <c r="Y37" s="30">
        <v>15347</v>
      </c>
      <c r="Z37" s="31">
        <v>1</v>
      </c>
      <c r="AA37" s="30">
        <v>21930</v>
      </c>
      <c r="AB37" s="31">
        <v>1</v>
      </c>
      <c r="AC37" s="30">
        <v>11351</v>
      </c>
      <c r="AD37" s="31">
        <v>1</v>
      </c>
      <c r="AE37" s="30">
        <v>11881</v>
      </c>
      <c r="AF37" s="31">
        <v>1</v>
      </c>
      <c r="AG37" s="30">
        <v>15942</v>
      </c>
      <c r="AH37" s="31">
        <v>1</v>
      </c>
      <c r="AI37" s="30">
        <v>18122</v>
      </c>
      <c r="AJ37" s="31">
        <v>1</v>
      </c>
      <c r="AK37" s="30">
        <v>21589</v>
      </c>
      <c r="AL37" s="31">
        <v>1</v>
      </c>
    </row>
    <row r="38" spans="1:38" x14ac:dyDescent="0.25">
      <c r="A38" s="6" t="s">
        <v>103</v>
      </c>
      <c r="B38" s="6"/>
      <c r="C38" s="34" t="s">
        <v>80</v>
      </c>
      <c r="D38" s="35"/>
      <c r="E38" s="34" t="s">
        <v>80</v>
      </c>
      <c r="F38" s="35"/>
      <c r="G38" s="34" t="s">
        <v>80</v>
      </c>
      <c r="H38" s="35"/>
      <c r="I38" s="34" t="s">
        <v>80</v>
      </c>
      <c r="J38" s="35"/>
      <c r="K38" s="34" t="s">
        <v>80</v>
      </c>
      <c r="L38" s="35"/>
      <c r="M38" s="34" t="s">
        <v>80</v>
      </c>
      <c r="N38" s="35"/>
      <c r="O38" s="34" t="s">
        <v>80</v>
      </c>
      <c r="P38" s="35"/>
      <c r="Q38" s="34">
        <v>52599</v>
      </c>
      <c r="R38" s="35">
        <v>1</v>
      </c>
      <c r="S38" s="34">
        <v>58430</v>
      </c>
      <c r="T38" s="35">
        <v>1</v>
      </c>
      <c r="U38" s="34">
        <v>69170</v>
      </c>
      <c r="V38" s="35">
        <v>1</v>
      </c>
      <c r="W38" s="34">
        <v>78206</v>
      </c>
      <c r="X38" s="35">
        <v>1</v>
      </c>
      <c r="Y38" s="34">
        <v>84511</v>
      </c>
      <c r="Z38" s="35">
        <v>1</v>
      </c>
      <c r="AA38" s="34">
        <v>93510</v>
      </c>
      <c r="AB38" s="35">
        <v>1</v>
      </c>
      <c r="AC38" s="34">
        <v>119049</v>
      </c>
      <c r="AD38" s="35">
        <v>1</v>
      </c>
      <c r="AE38" s="34">
        <v>122119</v>
      </c>
      <c r="AF38" s="35">
        <v>1</v>
      </c>
      <c r="AG38" s="34">
        <v>129224</v>
      </c>
      <c r="AH38" s="35">
        <v>1</v>
      </c>
      <c r="AI38" s="34">
        <v>145266</v>
      </c>
      <c r="AJ38" s="35">
        <v>1</v>
      </c>
      <c r="AK38" s="34">
        <v>161824</v>
      </c>
      <c r="AL38" s="35">
        <v>1</v>
      </c>
    </row>
    <row r="39" spans="1:38" x14ac:dyDescent="0.25">
      <c r="A39" s="10" t="s">
        <v>1419</v>
      </c>
      <c r="B39" s="10"/>
      <c r="C39" s="30" t="s">
        <v>80</v>
      </c>
      <c r="D39" s="31"/>
      <c r="E39" s="30" t="s">
        <v>80</v>
      </c>
      <c r="F39" s="31"/>
      <c r="G39" s="30" t="s">
        <v>80</v>
      </c>
      <c r="H39" s="31"/>
      <c r="I39" s="30" t="s">
        <v>80</v>
      </c>
      <c r="J39" s="31"/>
      <c r="K39" s="30" t="s">
        <v>80</v>
      </c>
      <c r="L39" s="31"/>
      <c r="M39" s="30" t="s">
        <v>80</v>
      </c>
      <c r="N39" s="31"/>
      <c r="O39" s="30" t="s">
        <v>80</v>
      </c>
      <c r="P39" s="31"/>
      <c r="Q39" s="30">
        <v>52599</v>
      </c>
      <c r="R39" s="31">
        <v>1</v>
      </c>
      <c r="S39" s="30">
        <v>58430</v>
      </c>
      <c r="T39" s="31">
        <v>1</v>
      </c>
      <c r="U39" s="30">
        <v>69170</v>
      </c>
      <c r="V39" s="31">
        <v>1</v>
      </c>
      <c r="W39" s="30">
        <v>78206</v>
      </c>
      <c r="X39" s="31">
        <v>1</v>
      </c>
      <c r="Y39" s="30">
        <v>84511</v>
      </c>
      <c r="Z39" s="31">
        <v>1</v>
      </c>
      <c r="AA39" s="30">
        <v>93510</v>
      </c>
      <c r="AB39" s="31">
        <v>1</v>
      </c>
      <c r="AC39" s="30">
        <v>119049</v>
      </c>
      <c r="AD39" s="31">
        <v>1</v>
      </c>
      <c r="AE39" s="30">
        <v>122119</v>
      </c>
      <c r="AF39" s="31">
        <v>1</v>
      </c>
      <c r="AG39" s="30">
        <v>129224</v>
      </c>
      <c r="AH39" s="31">
        <v>1</v>
      </c>
      <c r="AI39" s="30">
        <v>145266</v>
      </c>
      <c r="AJ39" s="31">
        <v>1</v>
      </c>
      <c r="AK39" s="30">
        <v>161824</v>
      </c>
      <c r="AL39" s="31">
        <v>1</v>
      </c>
    </row>
    <row r="40" spans="1:38" x14ac:dyDescent="0.25">
      <c r="A40" s="6" t="s">
        <v>63</v>
      </c>
      <c r="B40" s="6"/>
      <c r="C40" s="34" t="s">
        <v>80</v>
      </c>
      <c r="D40" s="35"/>
      <c r="E40" s="34" t="s">
        <v>80</v>
      </c>
      <c r="F40" s="35"/>
      <c r="G40" s="34" t="s">
        <v>80</v>
      </c>
      <c r="H40" s="35"/>
      <c r="I40" s="34">
        <v>140742</v>
      </c>
      <c r="J40" s="35">
        <v>1</v>
      </c>
      <c r="K40" s="34">
        <v>139970</v>
      </c>
      <c r="L40" s="35">
        <v>1</v>
      </c>
      <c r="M40" s="34">
        <v>155904</v>
      </c>
      <c r="N40" s="35">
        <v>1</v>
      </c>
      <c r="O40" s="34" t="s">
        <v>80</v>
      </c>
      <c r="P40" s="35"/>
      <c r="Q40" s="34" t="s">
        <v>80</v>
      </c>
      <c r="R40" s="35"/>
      <c r="S40" s="34" t="s">
        <v>80</v>
      </c>
      <c r="T40" s="35"/>
      <c r="U40" s="34" t="s">
        <v>80</v>
      </c>
      <c r="V40" s="35"/>
      <c r="W40" s="34" t="s">
        <v>80</v>
      </c>
      <c r="X40" s="35"/>
      <c r="Y40" s="34" t="s">
        <v>80</v>
      </c>
      <c r="Z40" s="35"/>
      <c r="AA40" s="34" t="s">
        <v>80</v>
      </c>
      <c r="AB40" s="35"/>
      <c r="AC40" s="34" t="s">
        <v>80</v>
      </c>
      <c r="AD40" s="35"/>
      <c r="AE40" s="34" t="s">
        <v>80</v>
      </c>
      <c r="AF40" s="35"/>
      <c r="AG40" s="34" t="s">
        <v>80</v>
      </c>
      <c r="AH40" s="35"/>
      <c r="AI40" s="34" t="s">
        <v>80</v>
      </c>
      <c r="AJ40" s="35"/>
      <c r="AK40" s="34" t="s">
        <v>80</v>
      </c>
      <c r="AL40" s="35"/>
    </row>
    <row r="41" spans="1:38" x14ac:dyDescent="0.25">
      <c r="A41" s="10" t="s">
        <v>1419</v>
      </c>
      <c r="B41" s="10"/>
      <c r="C41" s="30" t="s">
        <v>80</v>
      </c>
      <c r="D41" s="31"/>
      <c r="E41" s="30" t="s">
        <v>80</v>
      </c>
      <c r="F41" s="31"/>
      <c r="G41" s="30" t="s">
        <v>80</v>
      </c>
      <c r="H41" s="31"/>
      <c r="I41" s="30">
        <v>140742</v>
      </c>
      <c r="J41" s="31">
        <v>1</v>
      </c>
      <c r="K41" s="30">
        <v>139970</v>
      </c>
      <c r="L41" s="31">
        <v>1</v>
      </c>
      <c r="M41" s="30">
        <v>155904</v>
      </c>
      <c r="N41" s="31">
        <v>1</v>
      </c>
      <c r="O41" s="30" t="s">
        <v>80</v>
      </c>
      <c r="P41" s="31"/>
      <c r="Q41" s="30" t="s">
        <v>80</v>
      </c>
      <c r="R41" s="31"/>
      <c r="S41" s="30" t="s">
        <v>80</v>
      </c>
      <c r="T41" s="31"/>
      <c r="U41" s="30" t="s">
        <v>80</v>
      </c>
      <c r="V41" s="31"/>
      <c r="W41" s="30" t="s">
        <v>80</v>
      </c>
      <c r="X41" s="31"/>
      <c r="Y41" s="30" t="s">
        <v>80</v>
      </c>
      <c r="Z41" s="31"/>
      <c r="AA41" s="30" t="s">
        <v>80</v>
      </c>
      <c r="AB41" s="31"/>
      <c r="AC41" s="30" t="s">
        <v>80</v>
      </c>
      <c r="AD41" s="31"/>
      <c r="AE41" s="30" t="s">
        <v>80</v>
      </c>
      <c r="AF41" s="31"/>
      <c r="AG41" s="30" t="s">
        <v>80</v>
      </c>
      <c r="AH41" s="31"/>
      <c r="AI41" s="30" t="s">
        <v>80</v>
      </c>
      <c r="AJ41" s="31"/>
      <c r="AK41" s="30" t="s">
        <v>80</v>
      </c>
      <c r="AL41" s="31"/>
    </row>
    <row r="42" spans="1:38" x14ac:dyDescent="0.25">
      <c r="A42" s="6" t="s">
        <v>1423</v>
      </c>
      <c r="B42" s="6"/>
      <c r="C42" s="36" t="s">
        <v>80</v>
      </c>
      <c r="D42" s="37"/>
      <c r="E42" s="36" t="s">
        <v>80</v>
      </c>
      <c r="F42" s="37"/>
      <c r="G42" s="36" t="s">
        <v>80</v>
      </c>
      <c r="H42" s="37"/>
      <c r="I42" s="36" t="s">
        <v>80</v>
      </c>
      <c r="J42" s="37"/>
      <c r="K42" s="36" t="s">
        <v>80</v>
      </c>
      <c r="L42" s="37"/>
      <c r="M42" s="36" t="s">
        <v>80</v>
      </c>
      <c r="N42" s="37"/>
      <c r="O42" s="36" t="s">
        <v>80</v>
      </c>
      <c r="P42" s="37"/>
      <c r="Q42" s="36">
        <v>1191</v>
      </c>
      <c r="R42" s="37">
        <v>1</v>
      </c>
      <c r="S42" s="36">
        <v>1175</v>
      </c>
      <c r="T42" s="37">
        <v>1</v>
      </c>
      <c r="U42" s="36">
        <v>1148</v>
      </c>
      <c r="V42" s="37">
        <v>1</v>
      </c>
      <c r="W42" s="36">
        <v>1150</v>
      </c>
      <c r="X42" s="37">
        <v>1</v>
      </c>
      <c r="Y42" s="36">
        <v>1182</v>
      </c>
      <c r="Z42" s="37">
        <v>1</v>
      </c>
      <c r="AA42" s="36">
        <v>1193</v>
      </c>
      <c r="AB42" s="37">
        <v>1</v>
      </c>
      <c r="AC42" s="36">
        <v>1151</v>
      </c>
      <c r="AD42" s="37">
        <v>1</v>
      </c>
      <c r="AE42" s="36">
        <v>1154</v>
      </c>
      <c r="AF42" s="37">
        <v>1</v>
      </c>
      <c r="AG42" s="36" t="s">
        <v>80</v>
      </c>
      <c r="AH42" s="37"/>
      <c r="AI42" s="36" t="s">
        <v>80</v>
      </c>
      <c r="AJ42" s="37"/>
      <c r="AK42" s="36" t="s">
        <v>80</v>
      </c>
      <c r="AL42" s="37"/>
    </row>
    <row r="43" spans="1:38" x14ac:dyDescent="0.25">
      <c r="A43" s="10" t="s">
        <v>1419</v>
      </c>
      <c r="B43" s="10"/>
      <c r="C43" s="32" t="s">
        <v>80</v>
      </c>
      <c r="D43" s="33"/>
      <c r="E43" s="32" t="s">
        <v>80</v>
      </c>
      <c r="F43" s="33"/>
      <c r="G43" s="32" t="s">
        <v>80</v>
      </c>
      <c r="H43" s="33"/>
      <c r="I43" s="32" t="s">
        <v>80</v>
      </c>
      <c r="J43" s="33"/>
      <c r="K43" s="32" t="s">
        <v>80</v>
      </c>
      <c r="L43" s="33"/>
      <c r="M43" s="32" t="s">
        <v>80</v>
      </c>
      <c r="N43" s="33"/>
      <c r="O43" s="32" t="s">
        <v>80</v>
      </c>
      <c r="P43" s="33"/>
      <c r="Q43" s="32">
        <v>1191</v>
      </c>
      <c r="R43" s="33">
        <v>1</v>
      </c>
      <c r="S43" s="32">
        <v>1175</v>
      </c>
      <c r="T43" s="33">
        <v>1</v>
      </c>
      <c r="U43" s="32">
        <v>1148</v>
      </c>
      <c r="V43" s="33">
        <v>1</v>
      </c>
      <c r="W43" s="32">
        <v>1150</v>
      </c>
      <c r="X43" s="33">
        <v>1</v>
      </c>
      <c r="Y43" s="32">
        <v>1182</v>
      </c>
      <c r="Z43" s="33">
        <v>1</v>
      </c>
      <c r="AA43" s="32">
        <v>1193</v>
      </c>
      <c r="AB43" s="33">
        <v>1</v>
      </c>
      <c r="AC43" s="32">
        <v>1151</v>
      </c>
      <c r="AD43" s="33">
        <v>1</v>
      </c>
      <c r="AE43" s="32">
        <v>1154</v>
      </c>
      <c r="AF43" s="33">
        <v>1</v>
      </c>
      <c r="AG43" s="32" t="s">
        <v>80</v>
      </c>
      <c r="AH43" s="33"/>
      <c r="AI43" s="32" t="s">
        <v>80</v>
      </c>
      <c r="AJ43" s="33"/>
      <c r="AK43" s="32" t="s">
        <v>80</v>
      </c>
      <c r="AL43" s="33"/>
    </row>
    <row r="44" spans="1:38" x14ac:dyDescent="0.25">
      <c r="A44" s="7" t="s">
        <v>87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Adj Highlights</vt:lpstr>
      <vt:lpstr>GAAP Highlights</vt:lpstr>
      <vt:lpstr>Enterprise Value</vt:lpstr>
      <vt:lpstr>Multiples</vt:lpstr>
      <vt:lpstr>Income - Adjusted</vt:lpstr>
      <vt:lpstr>Income - GAAP</vt:lpstr>
      <vt:lpstr>Income - As Reported</vt:lpstr>
      <vt:lpstr>Reconciliation</vt:lpstr>
      <vt:lpstr>SBC &amp; Amort</vt:lpstr>
      <vt:lpstr>Bal Sheet - Standardized</vt:lpstr>
      <vt:lpstr>Bal Sheet - As Reported</vt:lpstr>
      <vt:lpstr>Bal Sheet - Common Size</vt:lpstr>
      <vt:lpstr>Cash Flow - Standardized</vt:lpstr>
      <vt:lpstr>Cash Flow - As Reported</vt:lpstr>
      <vt:lpstr>Profitability</vt:lpstr>
      <vt:lpstr>By Measure</vt:lpstr>
      <vt:lpstr>By 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Adolfo German Margain Orozco</cp:lastModifiedBy>
  <dcterms:created xsi:type="dcterms:W3CDTF">2013-04-03T15:49:21Z</dcterms:created>
  <dcterms:modified xsi:type="dcterms:W3CDTF">2026-04-27T17:23:40Z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2026-04-27T17:01:51Z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d5a35554-1f25-4b17-baf2-2853a5fc387e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